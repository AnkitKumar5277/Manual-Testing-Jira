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updateLinks="always"/>
  <mc:AlternateContent xmlns:mc="http://schemas.openxmlformats.org/markup-compatibility/2006">
    <mc:Choice Requires="x15">
      <x15ac:absPath xmlns:x15ac="http://schemas.microsoft.com/office/spreadsheetml/2010/11/ac" url="https://sbicardmail-my.sharepoint.com/personal/neha_laddha_sbicard_com/Documents/Projects/Website/Prelogin/Website Revamp/UAT/"/>
    </mc:Choice>
  </mc:AlternateContent>
  <xr:revisionPtr revIDLastSave="0" documentId="8_{6A724B02-C675-4D53-98C8-EDF7F4515CC3}" xr6:coauthVersionLast="47" xr6:coauthVersionMax="47" xr10:uidLastSave="{00000000-0000-0000-0000-000000000000}"/>
  <bookViews>
    <workbookView xWindow="-120" yWindow="-120" windowWidth="20730" windowHeight="11040" firstSheet="15" activeTab="15" xr2:uid="{00000000-000D-0000-FFFF-FFFF00000000}"/>
  </bookViews>
  <sheets>
    <sheet name="Tracker" sheetId="8" r:id="rId1"/>
    <sheet name="URLS" sheetId="5" r:id="rId2"/>
    <sheet name="Old Pages" sheetId="17" r:id="rId3"/>
    <sheet name="ExclusivePrivileges TextOverlap" sheetId="13" r:id="rId4"/>
    <sheet name="Product Videos Test Cases" sheetId="18" r:id="rId5"/>
    <sheet name="Exclusive Privileges Icons" sheetId="19" r:id="rId6"/>
    <sheet name="Explore Rewards TextOverlap" sheetId="14" r:id="rId7"/>
    <sheet name="Fees &amp; Charges Heading &amp; Label" sheetId="20" r:id="rId8"/>
    <sheet name="Home Page" sheetId="1" r:id="rId9"/>
    <sheet name="Product Details Page" sheetId="3" r:id="rId10"/>
    <sheet name="Catalogue Page" sheetId="7" r:id="rId11"/>
    <sheet name="Header &amp; Footer" sheetId="4" r:id="rId12"/>
    <sheet name="Credit Card Pages" sheetId="6" r:id="rId13"/>
    <sheet name="Similar Cards Test cases" sheetId="15" r:id="rId14"/>
    <sheet name="CataloguePage Filter Test Cases" sheetId="9" r:id="rId15"/>
    <sheet name="Assets Required by SBI Team" sheetId="16" r:id="rId16"/>
  </sheets>
  <definedNames>
    <definedName name="_xlnm._FilterDatabase" localSheetId="5" hidden="1">'Exclusive Privileges Icons'!$A$6:$G$50</definedName>
    <definedName name="_xlnm._FilterDatabase" localSheetId="13" hidden="1">'Similar Cards Test cases'!$A$1:$E$50</definedName>
    <definedName name="_xlnm._FilterDatabase" localSheetId="15" hidden="1">'Assets Required by SBI Team'!$A$1:$T$1</definedName>
    <definedName name="_xlnm._FilterDatabase" localSheetId="12" hidden="1">'Credit Card Pages'!$A$1:$U$400</definedName>
    <definedName name="_xlnm._FilterDatabase" localSheetId="9" hidden="1">'Product Details Page'!$A$1:$T$47</definedName>
    <definedName name="_xlnm._FilterDatabase" localSheetId="6" hidden="1">'Explore Rewards TextOverlap'!$A$1:$K$156</definedName>
    <definedName name="_xlnm._FilterDatabase" localSheetId="11" hidden="1">'Header &amp; Footer'!$A$1:$U$133</definedName>
    <definedName name="_xlnm._FilterDatabase" localSheetId="8" hidden="1">'Home Page'!$A$1:$T$124</definedName>
    <definedName name="_xlnm._FilterDatabase" localSheetId="2" hidden="1">'Old Pages'!$A$1:$H$183</definedName>
    <definedName name="_xlnm._FilterDatabase" localSheetId="1" hidden="1">URLS!$A$1:$P$78</definedName>
    <definedName name="_xlnm._FilterDatabase" localSheetId="7" hidden="1">'Fees &amp; Charges Heading &amp; Label'!$A$1:$E$35</definedName>
    <definedName name="_xlnm._FilterDatabase" localSheetId="14" hidden="1">'CataloguePage Filter Test Cases'!$A$1:$I$36</definedName>
    <definedName name="_xlnm._FilterDatabase" localSheetId="4" hidden="1">'Product Videos Test Cases'!$A$1:$H$48</definedName>
    <definedName name="_xlnm._FilterDatabase" localSheetId="3" hidden="1">'ExclusivePrivileges TextOverlap'!$A$1:$F$151</definedName>
    <definedName name="_xlnm._FilterDatabase" localSheetId="10" hidden="1">'Catalogue Page'!$A$1:$T$200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8" l="1" a="1"/>
  <c r="J18" i="8"/>
  <c r="I18" i="8" a="1"/>
  <c r="I18" i="8"/>
  <c r="F18" i="8" a="1"/>
  <c r="F18" i="8"/>
  <c r="D18" i="8" a="1"/>
  <c r="D18" i="8"/>
  <c r="J19" i="8" a="1"/>
  <c r="J19" i="8"/>
  <c r="I19" i="8" a="1"/>
  <c r="I19" i="8"/>
  <c r="F19" i="8" a="1"/>
  <c r="F19" i="8"/>
  <c r="J20" i="8" a="1"/>
  <c r="J20" i="8"/>
  <c r="I20" i="8" a="1"/>
  <c r="I20" i="8"/>
  <c r="I17" i="8" a="1"/>
  <c r="I17" i="8"/>
  <c r="I21" i="8" s="1"/>
  <c r="J17" i="8" a="1"/>
  <c r="J17" i="8"/>
  <c r="J21" i="8" s="1"/>
  <c r="F17" i="8" a="1"/>
  <c r="F17" i="8"/>
  <c r="G17" i="8" a="1"/>
  <c r="G17" i="8"/>
  <c r="G20" i="8" a="1"/>
  <c r="G20" i="8"/>
  <c r="G19" i="8" a="1"/>
  <c r="G19" i="8"/>
  <c r="G18" i="8" a="1"/>
  <c r="G18" i="8"/>
  <c r="F20" i="8" a="1"/>
  <c r="F20" i="8"/>
  <c r="E20" i="8" a="1"/>
  <c r="E20" i="8"/>
  <c r="E19" i="8" a="1"/>
  <c r="E19" i="8"/>
  <c r="E18" i="8" a="1"/>
  <c r="E18" i="8"/>
  <c r="E17" i="8" a="1"/>
  <c r="E17" i="8"/>
  <c r="D20" i="8" a="1"/>
  <c r="D20" i="8"/>
  <c r="D19" i="8" a="1"/>
  <c r="D19" i="8"/>
  <c r="D17" i="8" a="1"/>
  <c r="D17" i="8"/>
  <c r="G14" i="8" a="1"/>
  <c r="G14" i="8"/>
  <c r="G13" i="8" a="1"/>
  <c r="G13" i="8"/>
  <c r="G12" i="8" a="1"/>
  <c r="G12" i="8"/>
  <c r="G11" i="8" a="1"/>
  <c r="G11" i="8"/>
  <c r="F14" i="8" a="1"/>
  <c r="F14" i="8"/>
  <c r="F13" i="8" a="1"/>
  <c r="F13" i="8"/>
  <c r="F12" i="8" a="1"/>
  <c r="F12" i="8"/>
  <c r="F11" i="8" a="1"/>
  <c r="F11" i="8"/>
  <c r="E14" i="8" a="1"/>
  <c r="E14" i="8"/>
  <c r="E13" i="8" a="1"/>
  <c r="E13" i="8"/>
  <c r="E12" i="8" a="1"/>
  <c r="E12" i="8"/>
  <c r="E11" i="8" a="1"/>
  <c r="E11" i="8"/>
  <c r="D14" i="8" a="1"/>
  <c r="D14" i="8"/>
  <c r="D13" i="8" a="1"/>
  <c r="D13" i="8"/>
  <c r="D12" i="8" a="1"/>
  <c r="D12" i="8"/>
  <c r="D11" i="8" a="1"/>
  <c r="D11" i="8"/>
  <c r="G8" i="8" a="1"/>
  <c r="G8" i="8"/>
  <c r="G7" i="8" a="1"/>
  <c r="G7" i="8"/>
  <c r="G6" i="8" a="1"/>
  <c r="G6" i="8"/>
  <c r="F8" i="8" a="1"/>
  <c r="F8" i="8"/>
  <c r="F7" i="8" a="1"/>
  <c r="F7" i="8"/>
  <c r="F6" i="8" a="1"/>
  <c r="F6" i="8"/>
  <c r="F5" i="8" a="1"/>
  <c r="F5" i="8"/>
  <c r="E8" i="8" a="1"/>
  <c r="E8" i="8"/>
  <c r="E7" i="8" a="1"/>
  <c r="E7" i="8"/>
  <c r="E6" i="8" a="1"/>
  <c r="E6" i="8"/>
  <c r="D8" i="8" a="1"/>
  <c r="D8" i="8"/>
  <c r="D7" i="8" a="1"/>
  <c r="D7" i="8"/>
  <c r="D6" i="8" a="1"/>
  <c r="D6" i="8"/>
  <c r="G5" i="8" a="1"/>
  <c r="G5" i="8"/>
  <c r="E5" i="8" a="1"/>
  <c r="E5" i="8"/>
  <c r="D5" i="8" a="1"/>
  <c r="D5" i="8"/>
  <c r="G9" i="8"/>
  <c r="F9" i="8"/>
  <c r="E9" i="8"/>
  <c r="D9" i="8"/>
  <c r="G15" i="8" l="1"/>
  <c r="G21" i="8"/>
  <c r="F21" i="8"/>
  <c r="E21" i="8"/>
  <c r="D21" i="8"/>
  <c r="F15" i="8"/>
  <c r="F23" i="8" s="1"/>
  <c r="E15" i="8"/>
  <c r="E23" i="8" s="1"/>
  <c r="D15" i="8"/>
  <c r="D23" i="8" s="1"/>
  <c r="G2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tc={794FE877-B9C4-44F3-AA78-DDAF5BB128A2}</author>
  </authors>
  <commentList>
    <comment ref="F21" authorId="0" shapeId="0" xr:uid="{794FE877-B9C4-44F3-AA78-DDAF5BB128A2}">
      <text>
        <t>[Threaded comment]
Your version of Excel allows you to read this threaded comment; however, any edits to it will get removed if the file is opened in a newer version of Excel. Learn more: https://go.microsoft.com/fwlink/?linkid=870924
Comment:
    In order to check how many fixes provided and how many pending from HTML Team, check the table on the right.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<sst xmlns="http://schemas.openxmlformats.org/spreadsheetml/2006/main" count="17216" uniqueCount="4599">
  <si>
    <t>P0, P1, P2, P3</t>
  </si>
  <si>
    <t>Page</t>
  </si>
  <si>
    <t>Bugs Logged</t>
  </si>
  <si>
    <t>Resolved</t>
  </si>
  <si>
    <t>Open</t>
  </si>
  <si>
    <t>Hold</t>
  </si>
  <si>
    <t>PVT</t>
  </si>
  <si>
    <t>Homepage</t>
  </si>
  <si>
    <t>Product</t>
  </si>
  <si>
    <t>Catalogue</t>
  </si>
  <si>
    <t>Header - Footer</t>
  </si>
  <si>
    <t>Total</t>
  </si>
  <si>
    <t>UAT</t>
  </si>
  <si>
    <t>Fixed on HTML</t>
  </si>
  <si>
    <t>Pending/Reopen</t>
  </si>
  <si>
    <t>Tested on (Version Name)</t>
  </si>
  <si>
    <t>HTML/CSS</t>
  </si>
  <si>
    <t>v50</t>
  </si>
  <si>
    <t>v50 - 1</t>
  </si>
  <si>
    <t>sbi_card_catalogue-fixes-for-UAT</t>
  </si>
  <si>
    <t>v50 - 2</t>
  </si>
  <si>
    <t>Grand Total</t>
  </si>
  <si>
    <t>Sr No.</t>
  </si>
  <si>
    <t>PVT URLs</t>
  </si>
  <si>
    <t>Category</t>
  </si>
  <si>
    <t>Theme</t>
  </si>
  <si>
    <t>E-Apply</t>
  </si>
  <si>
    <t>Network Privileges</t>
  </si>
  <si>
    <t>UAT URL</t>
  </si>
  <si>
    <t>devsit URL Received on</t>
  </si>
  <si>
    <t>Content Testing</t>
  </si>
  <si>
    <t>Link Redirections</t>
  </si>
  <si>
    <t>Similar Card</t>
  </si>
  <si>
    <t>Product Videos</t>
  </si>
  <si>
    <t>Creatives Testing</t>
  </si>
  <si>
    <t>End to End Testing</t>
  </si>
  <si>
    <t>Remarks</t>
  </si>
  <si>
    <t>Home Page</t>
  </si>
  <si>
    <t>https://sbi-pvt.sbicard.com/html/en/home.html</t>
  </si>
  <si>
    <t>-</t>
  </si>
  <si>
    <t>https://sbi-devsit1.sbicard.com/html/en/home.html</t>
  </si>
  <si>
    <t>Done</t>
  </si>
  <si>
    <t>Product Details Page</t>
  </si>
  <si>
    <t>https://sbi-devsit1.sbicard.com/html/en/reliancesbicard.html</t>
  </si>
  <si>
    <t>24th Dec 2025</t>
  </si>
  <si>
    <t>Catalogue Page</t>
  </si>
  <si>
    <t>https://sbi-pvt.sbicard.com/en/personal/credit-cards.html</t>
  </si>
  <si>
    <t>https://sbi-devsit1.sbicard.com/en/personal/credit-cards.html</t>
  </si>
  <si>
    <t>14th Jan 2026</t>
  </si>
  <si>
    <t>06/02/2026 - The old pvt link https://sbi-pvt.sbicard.com/html/en/personal/credit-cards.html has been changed to the new catalogue page - https://sbi-pvt.sbicard.com/html/en/product-catalogue.html#featured
29/01/2026 - New link was shared on UAT Discussion call - https://sbi-devsit1.sbicard.com/html/en/personal/credit-cards.html#featured 
Need a confirmation whether to switch the old link with the new and start testing on the new one or to keep following the old one.</t>
  </si>
  <si>
    <t>Tata Neu Plus SBI Card</t>
  </si>
  <si>
    <t>https://sbi-pvt.sbicard.com/html/en/personal/credit-cards/tata-neu-plus-sbi-card.html</t>
  </si>
  <si>
    <t>Lifestyle Card</t>
  </si>
  <si>
    <t>Light</t>
  </si>
  <si>
    <t>Yes</t>
  </si>
  <si>
    <t>https://sbi-devsit1.sbicard.com/html/en/personal/credit-cards/tata-neu-plus-sbi-card.html</t>
  </si>
  <si>
    <t>17th Jan 2026</t>
  </si>
  <si>
    <t>06/02/2026 - Creative wise testing done op PVT</t>
  </si>
  <si>
    <t>SBI Card Elite</t>
  </si>
  <si>
    <t>https://sbi-pvt.sbicard.com/html/en/personal/credit-cards/sbi-card-elite.html</t>
  </si>
  <si>
    <t>Dark + Gold ( Elite theme)</t>
  </si>
  <si>
    <t>Yes(Mc/Rupay)</t>
  </si>
  <si>
    <t>https://sbi-devsit1.sbicard.com/html/en/personal/credit-cards/sbi-card-elite.html</t>
  </si>
  <si>
    <t>Cashback SBI Card</t>
  </si>
  <si>
    <t>https://sbi-pvt.sbicard.com/html/en/personal/credit-cards/cashback-sbi-card.html</t>
  </si>
  <si>
    <t>Reward Cards</t>
  </si>
  <si>
    <t>Light theme (Cashback theme)</t>
  </si>
  <si>
    <t>https://sbi-devsit1.sbicard.com/html/en/personal/credit-cards/cashback-sbi-card.html</t>
  </si>
  <si>
    <t>22nd Jan 2026</t>
  </si>
  <si>
    <t>06/02/2026 - Creative wise testing done on PVT</t>
  </si>
  <si>
    <t>SBI Card Pulse</t>
  </si>
  <si>
    <t>https://sbi-pvt.sbicard.com/html/en/personal/credit-cards/sbi-card-pulse.html</t>
  </si>
  <si>
    <t>Dark (Pulse theme)</t>
  </si>
  <si>
    <t>https://sbi-devsit1.sbicard.com/html/en/personal/credit-cards/sbi-card-pulse.html</t>
  </si>
  <si>
    <t>Air India SBI Signature Card</t>
  </si>
  <si>
    <t>https://sbi-pvt.sbicard.com/html/en/personal/credit-cards/air-india-sbi-signature-card.html</t>
  </si>
  <si>
    <t>Travel &amp; Fuel Card</t>
  </si>
  <si>
    <t>No</t>
  </si>
  <si>
    <t>https://sbi-devsit1.sbicard.com/html/en/personal/credit-cards/air-india-sbi-signature-card.html</t>
  </si>
  <si>
    <t>Air India SBI Platinum Card</t>
  </si>
  <si>
    <t>https://sbi-pvt.sbicard.com/html/en/personal/credit-cards/air-india-sbi-platinum-card.html</t>
  </si>
  <si>
    <t>https://sbi-devsit1.sbicard.com/html/en/personal/credit-cards/air-india-sbi-platinum-card.html</t>
  </si>
  <si>
    <t>Apollo SBI Card Select</t>
  </si>
  <si>
    <t>https://sbi-pvt.sbicard.com/html/en/personal/credit-cards/apollo-sbi-card-select.html</t>
  </si>
  <si>
    <t>https://sbi-devsit1.sbicard.com/html/en/personal/credit-cards/apollo-sbi-card-select.html</t>
  </si>
  <si>
    <t>Flipkart SBI Card</t>
  </si>
  <si>
    <t>https://sbi-pvt.sbicard.com/html/en/personal/credit-cards/flipkart-sbi-card.html</t>
  </si>
  <si>
    <t>https://sbi-devsit1.sbicard.com/html/en/personal/credit-cards/flipkart-sbi-card.html</t>
  </si>
  <si>
    <t>Landmark Rewards SBI Card Select</t>
  </si>
  <si>
    <t xml:space="preserve">https://sbi-pvt.sbicard.com/html/en/personal/credit-cards/landmark-sbi-card-select.html </t>
  </si>
  <si>
    <t>Shopping Card</t>
  </si>
  <si>
    <t xml:space="preserve">https://sbi-devsit1.sbicard.com/html/en/personal/credit-cards/landmark-sbi-card-select.html </t>
  </si>
  <si>
    <t>06/02/2026 - Creative wise testing done on PVT
29/01/2026 - Chagned to New link shared on Discussion call - https://sbi-devsit1.sbicard.com/html/en/personal/credit-cards/landmark-sbi-card-select.html 
Old link was - https://sbi-devsit1.sbicard.com/html/en/personal/credit-cards/landmark-rewards-sbi-card-select.html</t>
  </si>
  <si>
    <t>Landmark Rewards SBI Card</t>
  </si>
  <si>
    <t>https://sbi-pvt.sbicard.com/html/en/personal/credit-cards/landmark-sbi-card.html</t>
  </si>
  <si>
    <t>https://sbi-devsit1.sbicard.com/html/en/personal/credit-cards/landmark-rewards-sbi-card.html</t>
  </si>
  <si>
    <t>06/02/2026 - The PVT link is not working - https://www.loom.com/share/c46dfd9ce3264fa09bff27fd3737b6f9</t>
  </si>
  <si>
    <t>Landmark SBI Card Prime</t>
  </si>
  <si>
    <t>https://sbi-pvt.sbicard.com/html/en/personal/credit-cards/landmark-sbi-card-prime.html</t>
  </si>
  <si>
    <t>https://sbi-devsit1.sbicard.com/html/en/personal/credit-cards/landmark-sbi-card-prime.html</t>
  </si>
  <si>
    <t>Etihad Guest SBI Card</t>
  </si>
  <si>
    <t>https://sbi-pvt.sbicard.com/html/en/personal/credit-cards/etihad-guest-sbi-card.html</t>
  </si>
  <si>
    <t>https://sbi-devsit1.sbicard.com/html/en/personal/credit-cards/etihad-guest-sbi-card.html</t>
  </si>
  <si>
    <t>Doctors SBI Card</t>
  </si>
  <si>
    <t>https://sbi-pvt.sbicard.com/html/en/personal/credit-cards/doctors-sbi-card.html</t>
  </si>
  <si>
    <t>https://sbi-devsit1.sbicard.com/html/en/personal/credit-cards/doctors-sbi-card.html</t>
  </si>
  <si>
    <t>BPCL SBI Card</t>
  </si>
  <si>
    <t>https://sbi-pvt.sbicard.com/html/en/personal/credit-cards/bpcl-sbi-card.html</t>
  </si>
  <si>
    <t>Dark</t>
  </si>
  <si>
    <t>https://sbi-devsit1.sbicard.com/html/en/personal/credit-cards/bpcl-sbi-card.html</t>
  </si>
  <si>
    <t>Etihad Guest SBI Premier Card</t>
  </si>
  <si>
    <t>https://sbi-pvt.sbicard.com/html/en/personal/credit-cards/etihad-guest-sbi-premier-card.html</t>
  </si>
  <si>
    <t>https://sbi-devsit1.sbicard.com/html/en/personal/credit-cards/etihad-guest-sbi-premier-card.html</t>
  </si>
  <si>
    <t>Doctors with IMA SBI Card</t>
  </si>
  <si>
    <t>https://sbi-pvt.sbicard.com/html/en/personal/credit-cards/doctors-ima-sbi-card.html</t>
  </si>
  <si>
    <t>https://sbi-devsit1.sbicard.com/html/en/personal/credit-cards/doctors-ima-sbi-card.html</t>
  </si>
  <si>
    <t>06/02/2026 - The PVT URL is not redirecting to the card page - https://www.loom.com/share/112cdc78107d4d928ebff913384b86b7
29/01/2026 - Chagned to New link shared on Discussion call - https://sbi-devsit1.sbicard.com/html/en/personal/credit-cards/doctors-ima-sbi-card.html
Old link was - https://sbi-devsit1.sbicard.com/html/en/personal/credit-cards/doctors-with-ima-sbi-card.html</t>
  </si>
  <si>
    <t>BPCL SBI Card Octane</t>
  </si>
  <si>
    <t>https://sbi-pvt.sbicard.com/html/en/personal/credit-cards/bpcl-sbi-card-octane.html</t>
  </si>
  <si>
    <t>https://sbi-devsit1.sbicard.com/html/en/personal/credit-cards/bpcl-sbi-card-octane.html</t>
  </si>
  <si>
    <t>Club Vistara SBI Card</t>
  </si>
  <si>
    <t>https://sbi-pvt.sbicard.com/html/en/personal/credit-cards/club-vistara-sbi-card.html</t>
  </si>
  <si>
    <t>https://sbi-devsit1.sbicard.com/html/en/personal/credit-cards/club-vistara-sbi-card.html</t>
  </si>
  <si>
    <t>Apollo SBI Card</t>
  </si>
  <si>
    <t>https://sbi-pvt.sbicard.com/html/en/personal/credit-cards/apollo-sbi-card.html</t>
  </si>
  <si>
    <t>https://sbi-devsit1.sbicard.com/html/en/personal/credit-cards/apollo-sbi-card.html</t>
  </si>
  <si>
    <t>Club Vistara SBI Card Prime</t>
  </si>
  <si>
    <t>https://sbi-pvt.sbicard.com/html/en/personal/credit-cards/club-vistara-sbi-card-prime.html</t>
  </si>
  <si>
    <t>https://sbi-devsit1.sbicard.com/html/en/personal/credit-cards/club-vistara-sbi-card-prime.html</t>
  </si>
  <si>
    <t>IRCTC SBI Platinum Card</t>
  </si>
  <si>
    <t>https://sbi-pvt.sbicard.com/html/en/personal/credit-cards/irctc-sbi-platinum-card.html</t>
  </si>
  <si>
    <t>https://sbi-devsit1.sbicard.com/html/en/personal/credit-cards/irctc-sbi-platinum-card.html</t>
  </si>
  <si>
    <t>IRCTC Premier Card</t>
  </si>
  <si>
    <t>https://sbi-pvt.sbicard.com/html/en/personal/credit-cards/irctc-premier-card.html</t>
  </si>
  <si>
    <t>https://sbi-devsit1.sbicard.com/html/en/personal/credit-cards/irctc-premier-card.html</t>
  </si>
  <si>
    <t>OLA Money SBI Card</t>
  </si>
  <si>
    <t>https://sbi-pvt.sbicard.com/html/en/personal/credit-cards/ola-money-sbi-card.html</t>
  </si>
  <si>
    <t>https://sbi-devsit1.sbicard.com/html/en/personal/credit-cards/ola-money-sbi-card.html</t>
  </si>
  <si>
    <t>Krisflyer SBI Card</t>
  </si>
  <si>
    <t>https://sbi-pvt.sbicard.com/html/en/personal/credit-cards/krisflyer-sbi-card.html</t>
  </si>
  <si>
    <t>https://sbi-devsit1.sbicard.com/html/en/personal/credit-cards/krisflyer-sbi-card.html</t>
  </si>
  <si>
    <t>Krisflyer SBI Card Apex</t>
  </si>
  <si>
    <t>https://sbi-pvt.sbicard.com/html/en/personal/credit-cards/krisflyer-sbi-card-apex.html</t>
  </si>
  <si>
    <t>Dark + Gold</t>
  </si>
  <si>
    <t>https://sbi-devsit1.sbicard.com/html/en/personal/credit-cards/krisflyer-sbi-card-apex.html</t>
  </si>
  <si>
    <t>Tata Neu Infinity SBI Card</t>
  </si>
  <si>
    <t>https://sbi-pvt.sbicard.com/html/en/personal/credit-cards/tata-neu-infinity-sbi-card.html</t>
  </si>
  <si>
    <t>https://sbi-devsit1.sbicard.com/html/en/personal/credit-cards/tata-neu-infinity-sbi-card.html</t>
  </si>
  <si>
    <t>PhonePe SBI Card Purple</t>
  </si>
  <si>
    <t>https://sbi-pvt.sbicard.com/html/en/personal/credit-cards/phonepe-sbi-card-purple.html</t>
  </si>
  <si>
    <t>https://sbi-devsit1.sbicard.com/html/en/personal/credit-cards/phonepe-sbi-card-purple.html</t>
  </si>
  <si>
    <t>Paytm SBI Card Select</t>
  </si>
  <si>
    <t>https://sbi-pvt.sbicard.com/html/en/personal/credit-cards/paytm-sbi-card-select.html</t>
  </si>
  <si>
    <t>https://sbi-devsit1.sbicard.com/html/en/personal/credit-cards/paytm-sbi-card-select.html</t>
  </si>
  <si>
    <t>SBI Card Miles Elite</t>
  </si>
  <si>
    <t>https://sbi-pvt.sbicard.com/html/en/personal/credit-cards/sbi-card-miles-elite.html</t>
  </si>
  <si>
    <t>Light (Miles Theme)</t>
  </si>
  <si>
    <t>https://sbi-devsit1.sbicard.com/html/en/personal/credit-cards/sbi-card-miles-elite.html</t>
  </si>
  <si>
    <t>Indigo SBI Card Elite</t>
  </si>
  <si>
    <t>https://sbi-pvt.sbicard.com/html/en/personal/credit-cards/indigo-sbi-card-elite.html</t>
  </si>
  <si>
    <t>https://sbi-devsit1.sbicard.com/html/en/personal/credit-cards/indigo-sbi-card-elite.html</t>
  </si>
  <si>
    <t>Reliance SBI Card</t>
  </si>
  <si>
    <t>https://sbi-pvt.sbicard.com/html/en/personal/credit-cards/reliance-sbi-card.html</t>
  </si>
  <si>
    <t>https://sbi-devsit1.sbicard.com/html/en/personal/credit-cards/reliance-sbi-card.html</t>
  </si>
  <si>
    <t>Indigo SBI Card</t>
  </si>
  <si>
    <t>https://sbi-pvt.sbicard.com/html/en/personal/credit-cards/indigo-sbi-card.html</t>
  </si>
  <si>
    <t>https://sbi-devsit1.sbicard.com/html/en/personal/credit-cards/indigo-sbi-card.html</t>
  </si>
  <si>
    <t>Reliance SBI Card Prime</t>
  </si>
  <si>
    <t>https://sbi-pvt.sbicard.com/html/en/personal/credit-cards/reliance-sbi-card-prime.html</t>
  </si>
  <si>
    <t>https://sbi-devsit1.sbicard.com/html/en/personal/credit-cards/reliance-sbi-card-prime.html</t>
  </si>
  <si>
    <t>PhonePe SBI Card Select Black</t>
  </si>
  <si>
    <t>https://sbi-pvt.sbicard.com/html/en/personal/credit-cards/phonepe-sbi-card-select-black.html</t>
  </si>
  <si>
    <t>https://sbi-devsit1.sbicard.com/html/en/personal/credit-cards/phonepe-sbi-card-select-black.html</t>
  </si>
  <si>
    <t>PayTM SBI Card</t>
  </si>
  <si>
    <t>https://sbi-pvt.sbicard.com/html/en/personal/credit-cards/paytm-sbi-card.html</t>
  </si>
  <si>
    <t>https://sbi-devsit1.sbicard.com/html/en/personal/credit-cards/paytm-sbi-card.html</t>
  </si>
  <si>
    <t>SBI Card Prime</t>
  </si>
  <si>
    <t>https://sbi-pvt.sbicard.com/html/en/personal/credit-cards/sbi-card-prime.html</t>
  </si>
  <si>
    <t>Dark (Prime theme)</t>
  </si>
  <si>
    <t>https://sbi-devsit1.sbicard.com/html/en/personal/credit-cards/sbi-card-prime.html</t>
  </si>
  <si>
    <t>SBI Card Miles</t>
  </si>
  <si>
    <t xml:space="preserve">
https://sbi-pvt.sbicard.com/html/en/personal/credit-cards/sbi-card-miles.html</t>
  </si>
  <si>
    <t>https://sbi-devsit1.sbicard.com/html/en/personal/credit-cards/sbi-card-miles.html</t>
  </si>
  <si>
    <t>SBI Card Miles Prime</t>
  </si>
  <si>
    <t>https://sbi-pvt.sbicard.com/html/en/personal/credit-cards/sbi-card-miles-prime.html</t>
  </si>
  <si>
    <t>https://sbi-devsit1.sbicard.com/html/en/personal/credit-cards/sbi-card-miles-prime.html</t>
  </si>
  <si>
    <t>29th Jan 2026</t>
  </si>
  <si>
    <t>SBI Card Unnati</t>
  </si>
  <si>
    <t>https://sbi-pvt.sbicard.com/html/en/personal/credit-cards/sbi-card-unnati.html</t>
  </si>
  <si>
    <t>https://sbi-devsit1.sbicard.com/html/en/personal/credit-cards/sbi-card-unnati.html</t>
  </si>
  <si>
    <t>29nd Jan 2026</t>
  </si>
  <si>
    <t>06/02/2026 - Creative wise testing done on PVT
29/01/2026 - Old link received on 22nd Jan was not functional, new functional link received on 29th Jan</t>
  </si>
  <si>
    <t>Credit Card Page</t>
  </si>
  <si>
    <t>https://sbi-pvt.sbicard.com/en/personal/credit-cards.page</t>
  </si>
  <si>
    <t>Old Page</t>
  </si>
  <si>
    <t>https://sbi-devsit1.sbicard.com/en/personal/credit-cards.page</t>
  </si>
  <si>
    <t>About Us Page</t>
  </si>
  <si>
    <t>https://sbi-pvt.sbicard.com/en/who-we-are/about-us.page</t>
  </si>
  <si>
    <t>https://sbi-devsit1.sbicard.com/en/who-we-are/about-us.page</t>
  </si>
  <si>
    <t>ESG Page</t>
  </si>
  <si>
    <t>https://sbi-pvt.sbicard.com/en/who-we-are/esg.page</t>
  </si>
  <si>
    <t>https://sbi-devsit1.sbicard.com/en/who-we-are/esg.page</t>
  </si>
  <si>
    <t>Do Not Disturb</t>
  </si>
  <si>
    <t>https://sbi-pvt.sbicard.com//en/do-not-disturb.page</t>
  </si>
  <si>
    <t>https://sbi-devsit1.sbicard.com//en/do-not-disturb.page</t>
  </si>
  <si>
    <t>Benefits Page</t>
  </si>
  <si>
    <t>https://sbi-pvt.sbicard.com/en/personal/benefits.page</t>
  </si>
  <si>
    <t>https://sbi-devsit1.sbicard.com/en/personal/benefits.page</t>
  </si>
  <si>
    <t>SimplyClick SBI Card</t>
  </si>
  <si>
    <t>https://sbi-pvt.sbicard.com/en/personal/credit-cards/simplyclick-sbi-card.html</t>
  </si>
  <si>
    <t>Light (SimplyClick Theme)</t>
  </si>
  <si>
    <t>3rd March 2026</t>
  </si>
  <si>
    <t>SimplySave SBI Card</t>
  </si>
  <si>
    <t>https://sbi-pvt.sbicard.com/en/personal/credit-cards/simplysave-sbi-card.html</t>
  </si>
  <si>
    <t>Titan SBI Card</t>
  </si>
  <si>
    <t>https://sbi-pvt.sbicard.com/en/personal/credit-cards/titan-sbi-card.html</t>
  </si>
  <si>
    <t>Shaurya SBI Card</t>
  </si>
  <si>
    <t>https://sbi-pvt.sbicard.com/en/personal/credit-cards/shaurya-sbi-card.html</t>
  </si>
  <si>
    <t>Shaurya Select SBI Card</t>
  </si>
  <si>
    <t>https://sbi-pvt.sbicard.com/en/personal/credit-cards/shaurya-select-sbi-card.html</t>
  </si>
  <si>
    <t>BOM SBI Card Elite</t>
  </si>
  <si>
    <t>https://sbi-pvt.sbicard.com/en/personal/credit-cards/bom-sbi-card-elite.html</t>
  </si>
  <si>
    <t>Banking &amp; Partnership</t>
  </si>
  <si>
    <t>BOM SimplySave SBI Card</t>
  </si>
  <si>
    <t>https://sbi-pvt.sbicard.com/en/personal/credit-cards/bom-simplysave-sbi-card.html</t>
  </si>
  <si>
    <t>BOM SBI Card Prime</t>
  </si>
  <si>
    <t>https://sbi-pvt.sbicard.com/en/personal/credit-cards/bom-sbi-card-prime.html</t>
  </si>
  <si>
    <t>PSB SBI Card Elite</t>
  </si>
  <si>
    <t>https://sbi-pvt.sbicard.com/en/personal/credit-cards/psb-sbi-card-elite.html</t>
  </si>
  <si>
    <t>PSB SBI Card Prime</t>
  </si>
  <si>
    <t>https://sbi-pvt.sbicard.com/en/personal/credit-cards/psb-sbi-card-prime.html</t>
  </si>
  <si>
    <t>PSB SimplySave SBI Card</t>
  </si>
  <si>
    <t>https://sbi-pvt.sbicard.com/en/personal/credit-cards/psb-simplysave-sbi-card.html</t>
  </si>
  <si>
    <t>UCO Bank SBI Card Elite</t>
  </si>
  <si>
    <t>https://sbi-pvt.sbicard.com/en/personal/credit-cards/uco-bank-sbi-card-elite.html</t>
  </si>
  <si>
    <t>UCO Bank SBI Card Prime</t>
  </si>
  <si>
    <t>https://sbi-pvt.sbicard.com/en/personal/credit-cards/uco-bank-sbi-card-prime.html</t>
  </si>
  <si>
    <t>UCO Bank SimplySave SBI Card</t>
  </si>
  <si>
    <t>https://sbi-pvt.sbicard.com/en/personal/credit-cards/uco-bank-simplysave-sbi-card.html</t>
  </si>
  <si>
    <t>Central Bank of India Elite Card</t>
  </si>
  <si>
    <t>https://sbi-pvt.sbicard.com/en/personal/credit-cards/central-bank-of-india-elite-card.html</t>
  </si>
  <si>
    <t>Central Bank of India Prime Card</t>
  </si>
  <si>
    <t>https://sbi-pvt.sbicard.com/en/personal/credit-cards/central-bank-of-india-prime-card.html</t>
  </si>
  <si>
    <t>Central Bank of India SimplySave SBI Card</t>
  </si>
  <si>
    <t>https://sbi-pvt.sbicard.com/en/personal/credit-cards/central-bank-of-india-simplysave-sbi-card.html</t>
  </si>
  <si>
    <t>City Union Bank SBI Card Prime</t>
  </si>
  <si>
    <t>https://sbi-pvt.sbicard.com/en/personal/credit-cards/city-union-bank-sbi-card-prime.html</t>
  </si>
  <si>
    <t>City Union Bank SimplySave SBI Card</t>
  </si>
  <si>
    <t>https://sbi-pvt.sbicard.com/en/personal/credit-cards/city-union-bank-simplysave-sbi-card.html</t>
  </si>
  <si>
    <t>Karnataka Bank SBI Card Prime</t>
  </si>
  <si>
    <t>https://sbi-pvt.sbicard.com/en/personal/credit-cards/karnataka-bank-sbi-card-prime.html</t>
  </si>
  <si>
    <t>Karnataka Bank SimplySave SBI Card</t>
  </si>
  <si>
    <t>https://sbi-pvt.sbicard.com/en/personal/credit-cards/karnataka-bank-simplysave-sbi-card.html</t>
  </si>
  <si>
    <t>South Indian Bank SBI Card Prime</t>
  </si>
  <si>
    <t>https://sbi-pvt.sbicard.com/en/personal/credit-cards/south-indian-bank-sbi-card-prime.html</t>
  </si>
  <si>
    <t>South India Bank SBI Platinum Card</t>
  </si>
  <si>
    <t>https://sbi-pvt.sbicard.com/en/personal/credit-cards/south-india-bank-sbi-platinum-card.html</t>
  </si>
  <si>
    <t>South Indian Bank SimplySave SBI Card</t>
  </si>
  <si>
    <t>https://sbi-pvt.sbicard.com/en/personal/credit-cards/south-indian-bank-simplysave-sbi-card.html</t>
  </si>
  <si>
    <t>Karur Vysya Bank SBI Card Gold</t>
  </si>
  <si>
    <t>https://sbi-pvt.sbicard.com/en/personal/credit-cards/karur-vysya-bank-sbi-card-gold.html</t>
  </si>
  <si>
    <t>Karur Vysya Bank SBI Card Elite</t>
  </si>
  <si>
    <t>https://sbi-pvt.sbicard.com/en/personal/credit-cards/karur-vysya-bank-sbi-card-elite.html</t>
  </si>
  <si>
    <t>Karur Vysya Bank SBI Card Prime</t>
  </si>
  <si>
    <t>https://sbi-pvt.sbicard.com/en/personal/credit-cards/karur-vysya-bank-sbi-card-prime.html</t>
  </si>
  <si>
    <t>Karur Vysya Bank SBI Card SimplySave</t>
  </si>
  <si>
    <t>https://sbi-pvt.sbicard.com/en/personal/credit-cards/karur-vysya-bank-sbi-card-simplysave.html</t>
  </si>
  <si>
    <t>Karur Vysya Bank SBI Signature Credit Card</t>
  </si>
  <si>
    <t>https://sbi-pvt.sbicard.com/en/personal/credit-cards/karur-vysya-bank-sbi-signature-credit-card.html</t>
  </si>
  <si>
    <t>Karur Vysya Bank SBI Platinum Credit Card</t>
  </si>
  <si>
    <t>https://sbi-pvt.sbicard.com/en/personal/credit-cards/karur-vysya-bank-sbi-platinum-credit-card.html</t>
  </si>
  <si>
    <t>Received on</t>
  </si>
  <si>
    <t>URLs</t>
  </si>
  <si>
    <t>Skip or Test</t>
  </si>
  <si>
    <t>Testing Status</t>
  </si>
  <si>
    <t>Last Updated On</t>
  </si>
  <si>
    <t>QA Remark</t>
  </si>
  <si>
    <t>https://sbi-devsit1.sbicard.com/en/security.page</t>
  </si>
  <si>
    <t>To be Tested</t>
  </si>
  <si>
    <t>https://sbi-devsit1.sbicard.com/en/eapply.page</t>
  </si>
  <si>
    <t>https://sbi-devsit1.sbicard.com/en/most-important-terms-and-conditions.page</t>
  </si>
  <si>
    <t>https://sbi-devsit1.sbicard.com/en/personal/benefits/encash.page</t>
  </si>
  <si>
    <t>https:///sbi-devsit1.sbicard.com/en/tokenisation.page</t>
  </si>
  <si>
    <t>https:///sbi-devsit1.sbicard.com/en/personal/benefits/add-on-card.page</t>
  </si>
  <si>
    <t>Skip</t>
  </si>
  <si>
    <t>https:///sbi-devsit1.sbicard.com/en/contact-us/personal.page</t>
  </si>
  <si>
    <t>https:///sbi-devsit1.sbicard.com/en/personal/credit-cards/simplyfier.page</t>
  </si>
  <si>
    <t>https://sbi-devsit1.sbicard.com/en/faq/flexipay.page</t>
  </si>
  <si>
    <t>https://sbi-devsit1.sbicard.com/en/faq/kyc-norms.page</t>
  </si>
  <si>
    <t>https://sbi-devsit1.sbicard.com/en/faq/add-on-card.page</t>
  </si>
  <si>
    <t>https://sbi-devsit1.sbicard.com/en/tataneu-eapply.page</t>
  </si>
  <si>
    <t>https://sbi-devsit1.sbicard.com/en/fair-practice-code.page</t>
  </si>
  <si>
    <t>https://sbi-devsit1.sbicard.com/en/faq/neft-payment.page</t>
  </si>
  <si>
    <t>https://sbi-devsit1.sbicard.com/en/faq/national-automated-clearing-house.page</t>
  </si>
  <si>
    <t>https://sbi-devsit1.sbicard.com/en/faq/visa-credit-card-pay.page</t>
  </si>
  <si>
    <t>https://sbi-devsit1.sbicard.com/en/faq/over-the-counter-payment.page</t>
  </si>
  <si>
    <t>https://sbi-devsit1.sbicard.com/en/faq/pay-via-yono.page</t>
  </si>
  <si>
    <t>https://sbi-devsit1.sbicard.com/en/faq/upi.page</t>
  </si>
  <si>
    <t>https://sbi-devsit1.sbicard.com/en/faq/paynet-pay-online.page</t>
  </si>
  <si>
    <t>https://sbi-devsit1.sbicard.com/en/faq/pay-via-mobile-app.page</t>
  </si>
  <si>
    <t>https://sbi-devsit1.sbicard.com/en/faq/mastercard-moneysend.page</t>
  </si>
  <si>
    <t>https://sbi-devsit1.sbicard.com/en/faq/cheque-drop-box.page</t>
  </si>
  <si>
    <t>https://sbi-devsit1.sbicard.com/en/faq/bbps-faq.page</t>
  </si>
  <si>
    <t>https://sbi-devsit1.sbicard.com/en/faq/sbi-atm.page</t>
  </si>
  <si>
    <t>https://sbi-devsit1.sbicard.com/en/faq/debit-card.page</t>
  </si>
  <si>
    <t>https://sbi-devsit1.sbicard.com/en/faq/address-updation.page</t>
  </si>
  <si>
    <t>https://sbi-devsit1.sbicard.com/en/faq/arogya-premier-policy.page</t>
  </si>
  <si>
    <t>https://sbi-devsit1.sbicard.com/en/faq/bt-on-emi.page</t>
  </si>
  <si>
    <t>https://sbi-devsit1.sbicard.com/en/faq/card-blocking-unblocking.page</t>
  </si>
  <si>
    <t>https://sbi-devsit1.sbicard.com/en/faq/cibil-related-issues.page</t>
  </si>
  <si>
    <t>https://sbi-devsit1.sbicard.com/en/faq/closing-of-credit-card-account.page</t>
  </si>
  <si>
    <t>https://sbi-devsit1.sbicard.com/en/faq/earning-reward-points.page</t>
  </si>
  <si>
    <t>https://sbi-devsit1.sbicard.com/en/faq/ivr-one-time-password-otp.page</t>
  </si>
  <si>
    <t>https://sbi-devsit1.sbicard.com/en/faq/joining-milestone-rewards.page</t>
  </si>
  <si>
    <t>https://sbi-devsit1.sbicard.com/en/faq/motor-private-car-insurance-policy.page</t>
  </si>
  <si>
    <t>https://sbi-devsit1.sbicard.com/en/faq/offers-on-cards.page</t>
  </si>
  <si>
    <t>https://sbi-devsit1.sbicard.com/en/faq/payment-enquiry.page</t>
  </si>
  <si>
    <t>https://sbi-devsit1.sbicard.com/en/faq/cashback-sbi-card-faq.page</t>
  </si>
  <si>
    <t>https://sbi-devsit1.sbicard.com/en/faq/nominee-details.page</t>
  </si>
  <si>
    <t>https://sbi-devsit1.sbicard.com/en/faq/covid19-dispute-faq.page</t>
  </si>
  <si>
    <t>https://sbi-devsit1.sbicard.com/en/faq/tierstatus-faq.page</t>
  </si>
  <si>
    <t>https://sbi-devsit1.sbicard.com/en/faq/missed-call-service.page</t>
  </si>
  <si>
    <t>https://sbi-devsit1.sbicard.com/en/faq/arogya-plus.page</t>
  </si>
  <si>
    <t>https://sbi-devsit1.sbicard.com/en/faq/club-vistara-sbi-card-faq.page</t>
  </si>
  <si>
    <t>https://sbi-devsit1.sbicard.com/en/faq/update-contact-details.page</t>
  </si>
  <si>
    <t>https://sbi-devsit1.sbicard.com/en/faq/sbi-card-online-security.page</t>
  </si>
  <si>
    <t>https://sbi-devsit1.sbicard.com/en/faq/credit-balance-refund-faq.page</t>
  </si>
  <si>
    <t>https://sbi-devsit1.sbicard.com/en/faq/do-not-disturb.page</t>
  </si>
  <si>
    <t>https://sbi-devsit1.sbicard.com/en/faq/complimentary-club-vistara-membership.page</t>
  </si>
  <si>
    <t>https://sbi-devsit1.sbicard.com/en/faq/online-application.page</t>
  </si>
  <si>
    <t>https://sbi-devsit1.sbicard.com/en/faq/individual-personal-accident-policy.page</t>
  </si>
  <si>
    <t>https://sbi-devsit1.sbicard.com/en/faq/credit-limit-increase.page</t>
  </si>
  <si>
    <t>https://sbi-devsit1.sbicard.com/en/faq/kyc-faq.page</t>
  </si>
  <si>
    <t>https://sbi-devsit1.sbicard.com/en/faq/cpp.page</t>
  </si>
  <si>
    <t>https://sbi-devsit1.sbicard.com/en/faq/smart-cash.page</t>
  </si>
  <si>
    <t>https://sbi-devsit1.sbicard.com/en/faq/whatsapp-opt-in.page</t>
  </si>
  <si>
    <t>https://sbi-devsit1.sbicard.com/en/faq/transaction-status.page</t>
  </si>
  <si>
    <t>https://sbi-devsit1.sbicard.com/en/faq/utility-bill-payment.page</t>
  </si>
  <si>
    <t>https://sbi-devsit1.sbicard.com/en/faq/bt-on-emi-on-other-sbi-cards.page</t>
  </si>
  <si>
    <t>https://sbi-devsit1.sbicard.com/en/faq/complimentary-priority-pass-membership.page</t>
  </si>
  <si>
    <t>https://sbi-devsit1.sbicard.com/en/faq/reissue-replacement-of-cards.page</t>
  </si>
  <si>
    <t>https://sbi-devsit1.sbicard.com/en/faq/initiating-sbi-card-online.page</t>
  </si>
  <si>
    <t>https://sbi-devsit1.sbicard.com/en/faq/reactivation-of-account.page</t>
  </si>
  <si>
    <t>https://sbi-devsit1.sbicard.com/en/faq/mobile-app.page</t>
  </si>
  <si>
    <t>https://sbi-devsit1.sbicard.com/en/faq/health-insurance-policy.page</t>
  </si>
  <si>
    <t>https://sbi-devsit1.sbicard.com/en/faq/bt-on-other-sbi-cards.page</t>
  </si>
  <si>
    <t>https://sbi-devsit1.sbicard.com/en/faq/card-activation-dispatch.page</t>
  </si>
  <si>
    <t>https://sbi-devsit1.sbicard.com/en/faq/transferred-accounts.page</t>
  </si>
  <si>
    <t>https://sbi-devsit1.sbicard.com/en/faq/statement-billing-related.page</t>
  </si>
  <si>
    <t>https://sbi-devsit1.sbicard.com/en/faq/reward-points-redemption.page</t>
  </si>
  <si>
    <t>https://sbi-devsit1.sbicard.com/en/faq/arogya-top-up.page</t>
  </si>
  <si>
    <t>https://sbi-devsit1.sbicard.com/en/faq/pin-generation.page</t>
  </si>
  <si>
    <t>https://sbi-devsit1.sbicard.com/en/faq/simply-sms.page</t>
  </si>
  <si>
    <t>https://sbi-devsit1.sbicard.com/en/faq/federal-sbi-secured-co-brand-card-program-discontinuation.page</t>
  </si>
  <si>
    <t>https://sbi-devsit1.sbicard.com/en/faq/device-linking-mobile-app.page</t>
  </si>
  <si>
    <t>https://sbi-devsit1.sbicard.com/en/faq/authentication-declined-card-not-Identified.page</t>
  </si>
  <si>
    <t>https://sbi-devsit1.sbicard.com/en/faq/balance-outstanding-amount-due.page</t>
  </si>
  <si>
    <t>https://sbi-devsit1.sbicard.com/en/faq/card-upgrade-process.page</t>
  </si>
  <si>
    <t>https://sbi-devsit1.sbicard.com/en/faq/account-upgrade.page</t>
  </si>
  <si>
    <t>https://sbi-devsit1.sbicard.com/en/faq/fees-and-charges.page</t>
  </si>
  <si>
    <t>https://sbi-devsit1.sbicard.com/en/faq/allahabad-sbi-card-program-discontinuation.page</t>
  </si>
  <si>
    <t>https://sbi-devsit1.sbicard.com/en/faq/covid-19-regulatory-package.page</t>
  </si>
  <si>
    <t>https://sbi-devsit1.sbicard.com/en/faq/rewards-information.page</t>
  </si>
  <si>
    <t>https://sbi-devsit1.sbicard.com/en/faq/cancellation-of-bt-on-emi.page</t>
  </si>
  <si>
    <t>https://sbi-devsit1.sbicard.com/en/faq/sampoorn-cancer-suraksha.page</t>
  </si>
  <si>
    <t>https://sbi-devsit1.sbicard.com/en/faq/poorna-suraksha.page</t>
  </si>
  <si>
    <t>https://sbi-devsit1.sbicard.com/en/faq/resolution-plan-2-0.page</t>
  </si>
  <si>
    <t>https://sbi-devsit1.sbicard.com/en/faq/order-of-payment-settlement.page</t>
  </si>
  <si>
    <t>https://sbi-devsit1.sbicard.com/en/faq/complimentary-trident-privilege-membership.page</t>
  </si>
  <si>
    <t>https://sbi-devsit1.sbicard.com/en/faq/critical-illness-insurance-policy.page</t>
  </si>
  <si>
    <t>https://sbi-devsit1.sbicard.com/en/faq/interest-charges-calculation.page</t>
  </si>
  <si>
    <t>https://sbi-devsit1.sbicard.com/en/faq/travel-insurance.page</t>
  </si>
  <si>
    <t>https://sbi-devsit1.sbicard.com/en/faq/hospital-daily-cash.page</t>
  </si>
  <si>
    <t>https://sbi-devsit1.sbicard.com/en/faq/accident-shield.page</t>
  </si>
  <si>
    <t>https://sbi-devsit1.sbicard.com/en/faq/available-credit-limit.page</t>
  </si>
  <si>
    <t>https://sbi-devsit1.sbicard.com/en/faq/international-limit.page</t>
  </si>
  <si>
    <t>https://sbi-devsit1.sbicard.com/en/faq/sbi-auto-debit.page</t>
  </si>
  <si>
    <t>https://sbi-devsit1.sbicard.com/en/faq/Central-Bank-of-India-SBI-Card-Program-discontinuation.page</t>
  </si>
  <si>
    <t>https://sbi-devsit1.sbicard.com/en/faq/bom-sbi-secured-co-brand-card-program-discontinuation.page</t>
  </si>
  <si>
    <t>https://sbi-devsit1.sbicard.com/en/faq/lifeline.page</t>
  </si>
  <si>
    <t>https://sbi-devsit1.sbicard.com/en/faq/balance-transfer.page</t>
  </si>
  <si>
    <t>https://sbi-devsit1.sbicard.com/en/faq/sbi-card-online.page</t>
  </si>
  <si>
    <t>https://sbi-devsit1.sbicard.com/en/faq/personal-details-change.page</t>
  </si>
  <si>
    <t>https://sbi-devsit1.sbicard.com/en/faq/ckyc-faq.page</t>
  </si>
  <si>
    <t>https://sbi-devsit1.sbicard.com/en/faq/travel-Itinerary-faq.page</t>
  </si>
  <si>
    <t>https://sbi-devsit1.sbicard.com/en/faq/lost-stolen-reissue-replace-cards.page</t>
  </si>
  <si>
    <t>https://sbi-devsit1.sbicard.com/en/faq/transaction-usage-and-limits.page</t>
  </si>
  <si>
    <t>https://sbi-devsit1.sbicard.com/en/faq/cancellation-of-bt.page</t>
  </si>
  <si>
    <t>https://sbi-devsit1.sbicard.com/en/faq/electronic-bill-payment.page</t>
  </si>
  <si>
    <t>https://sbi-devsit1.sbicard.com/en/faq/touch-id-mobile-app.page</t>
  </si>
  <si>
    <t>https://sbi-devsit1.sbicard.com/en/tnc.page</t>
  </si>
  <si>
    <t>https://sbi-devsit1.sbicard.com/en/sitemap.page</t>
  </si>
  <si>
    <t>https://sbi-devsit1.sbicard.com/en/order-of-payment-settlement.page</t>
  </si>
  <si>
    <t>https://sbi-devsit1.sbicard.com/en/request-for-proposal.page</t>
  </si>
  <si>
    <t>https://sbi-devsit1.sbicard.com/en/credit-score.page</t>
  </si>
  <si>
    <t>https://sbi-devsit1.sbicard.com/en/personal/benefits/lower-interest-option/flexi-pay.page</t>
  </si>
  <si>
    <t>https://sbi-devsit1.sbicard.com/en/video/web-onboarding.page</t>
  </si>
  <si>
    <t>https://sbi-devsit1.sbicard.com/en/grievance-redressal-policy.page</t>
  </si>
  <si>
    <t>https://sbi-devsit1.sbicard.com/en/personal/pay.page.page</t>
  </si>
  <si>
    <t>https://sbi-devsit1.sbicard.com/en/eapply/track-credit-card-application.page</t>
  </si>
  <si>
    <t>https://sbi-devsit1.sbicard.com/en/personal/benefits/insurance-products-sbicard.page</t>
  </si>
  <si>
    <t>https://sbi-devsit1.sbicard.com/en/credit-bureau-faqs.page</t>
  </si>
  <si>
    <t>https://sbi-devsit1.sbicard.com/en/personal/digital-platform-updates.page</t>
  </si>
  <si>
    <t>https://sbi-devsit1.sbicard.com/en/personal/benefits/lower-interest-option/balance-transfer-on-emi.page</t>
  </si>
  <si>
    <t>https://sbi-devsit1.sbicard.com/en/video/product-videos.page</t>
  </si>
  <si>
    <t>https://sbi-devsit1.sbicard.com/en/personal/benefits/utility-bill-payments/top-up-and-recharge.page</t>
  </si>
  <si>
    <t>https://sbi-devsit1.sbicard.com/en/forms-central.page</t>
  </si>
  <si>
    <t>https://sbi-devsit1.sbicard.com/en/personal/digitized-membership-kits.page</t>
  </si>
  <si>
    <t>https://sbi-devsit1.sbicard.com/en/customer-notices.page</t>
  </si>
  <si>
    <t>https://sbi-devsit1.sbicard.com/en/personal/offers.page</t>
  </si>
  <si>
    <t>All individual Offer pages</t>
  </si>
  <si>
    <t>https://sbi-devsit1.sbicard.com/en/home.page</t>
  </si>
  <si>
    <t>https://sbi-devsit1.sbicard.com/en/personal/visa-offers.page</t>
  </si>
  <si>
    <t>https://sbi-devsit1.sbicard.com/en/privacy-policy.page</t>
  </si>
  <si>
    <t>https://sbi-devsit1.sbicard.com/en/do-not-disturb.page</t>
  </si>
  <si>
    <t>https://sbi-devsit1.sbicard.com/en/cardholder-agreement.page</t>
  </si>
  <si>
    <t>https://sbi-devsit1.sbicard.com/en/faq.page</t>
  </si>
  <si>
    <t>https://sbi-devsit1.sbicard.com/en/blog/home.page</t>
  </si>
  <si>
    <t>https://sbi-devsit1.sbicard.com/en/personal/pay.page</t>
  </si>
  <si>
    <t>https://sbi-devsit1.sbicard.com/en/personal/credit-cards/compare-cards.page</t>
  </si>
  <si>
    <t>https://sbi-devsit1.sbicard.com/en/disclaimer.page</t>
  </si>
  <si>
    <t>https://sbi-devsit1.sbicard.com/en/offer-terms-conditions.page</t>
  </si>
  <si>
    <t>https://sbi-devsit1.sbicard.com/en/personal/benefits/easy-access-channels/mobile-app.page</t>
  </si>
  <si>
    <t>https://sbi-devsit1.sbicard.com/en/personal/benefits/lower-interest-option/balance-transfer.page</t>
  </si>
  <si>
    <t>https://sbi-devsit1.sbicard.com/en/personal/rewards.page</t>
  </si>
  <si>
    <t>Also, all individual Rewards pages</t>
  </si>
  <si>
    <t>https://sbi-devsit1.sbicard.com/en/personal/benefits/card-upgrade.page</t>
  </si>
  <si>
    <t>https://sbi-devsit1.sbicard.com/en/personal/benefits/money-simplified/atm-cash.page</t>
  </si>
  <si>
    <t>https://sbi-devsit1.sbicard.com/en/personal/benefits/utility-bill-payments/visa-bill.page</t>
  </si>
  <si>
    <t>https://sbi-devsit1.sbicard.com/en/personal/benefits/utility-bill-payments/auto-bill-pay.page</t>
  </si>
  <si>
    <t>https://sbi-devsit1.sbicard.com/en/personal/benefits/utility-bill-payments/pay-fast.page</t>
  </si>
  <si>
    <t>https://sbi-devsit1.sbicard.com/en/personal/benefits/easy-access-channels/simply-sms.page</t>
  </si>
  <si>
    <t>https://sbi-devsit1.sbicard.com/en/personal/benefits/easy-access-channels/yono.page</t>
  </si>
  <si>
    <t>https://sbi-devsit1.sbicard.com/en/personal/benefits/easy-access-channels/missed-call-service.page</t>
  </si>
  <si>
    <t>https://sbi-devsit1.sbicard.com/en/personal/benefits/utility-bill-payments/recurring-e-mandates.page</t>
  </si>
  <si>
    <t>https://sbi-devsit1.sbicard.com/en/personal/benefits/utility-bill-payments/register-and-pay.page</t>
  </si>
  <si>
    <t>https://sbi-devsit1.sbicard.com/en/personal/benefits/easy-access-channels/chatbot.page</t>
  </si>
  <si>
    <t>https://sbi-devsit1.sbicard.com/en/personal/benefits/easy-access-channels/website.page</t>
  </si>
  <si>
    <t>https://sbi-devsit1.sbicard.com/en/personal/benefits/easy-access-channels/whatsapp.page</t>
  </si>
  <si>
    <t>https://sbi-devsit1.sbicard.com/en/personal/benefits/easy-access-channels/digital-platforms.page</t>
  </si>
  <si>
    <t>https://sbi-devsit1.sbicard.com/en/webform/write-to-us.page</t>
  </si>
  <si>
    <t>https://sbi-devsit1.sbicard.com/en/contact-us/corporate.page</t>
  </si>
  <si>
    <t>https://sbi-devsit1.sbicard.com/en/webform/escalate-login.page</t>
  </si>
  <si>
    <t>https://sbi-devsit1.sbicard.com/en/video/demovideo.page</t>
  </si>
  <si>
    <t>https://sbi-devsit1.sbicard.com/en/blog/detail.page</t>
  </si>
  <si>
    <t>https://sbi-devsit1.sbicard.com/en/personal/benefits/digital-payments/sbi-card-pay.page</t>
  </si>
  <si>
    <t>https://sbi-devsit1.sbicard.com/en/personal/offers/offer-detail.page</t>
  </si>
  <si>
    <t>https://sbi-devsit1.sbicard.com/en/personal/benefits/digital-payments/contactless-sbi-card.page</t>
  </si>
  <si>
    <t>https://sbi-devsit1.sbicard.com/en/personal/benefits/digital-payments/bharat-qr-pay.page</t>
  </si>
  <si>
    <t>https://sbi-devsit1.sbicard.com/en/personal/rewards/reward-detail.page</t>
  </si>
  <si>
    <t>https://sbi-devsit1.sbicard.com/en/personal/linking-of-pan-with-aadhaar.page</t>
  </si>
  <si>
    <t>https://sbi-devsit1.sbicard.com/en/unclaimed-credit-balance.page</t>
  </si>
  <si>
    <t>https://sbi-devsit1.sbicard.com/en/personal/rewards/reward-reward-detail.page</t>
  </si>
  <si>
    <t>https://sbi-devsit1.sbicard.com/en/merchant-e-mandate-list.page</t>
  </si>
  <si>
    <t>https://sbi-devsit1.sbicard.com/en/calculator/irctc/irctc-calculator.page</t>
  </si>
  <si>
    <t>https://sbi-devsit1.sbicard.com/en/address-change-kyc.page</t>
  </si>
  <si>
    <t>https://sbi-devsit1.sbicard.com/en/resolution-framework-2-0-policy.page</t>
  </si>
  <si>
    <t>https://sbi-devsit1.sbicard.com/en/kyc-renewal.page</t>
  </si>
  <si>
    <t>Card Face</t>
  </si>
  <si>
    <t>Privileges</t>
  </si>
  <si>
    <t>Font Size</t>
  </si>
  <si>
    <t>SBI Team Remark</t>
  </si>
  <si>
    <t>Status</t>
  </si>
  <si>
    <t>Last Tested on</t>
  </si>
  <si>
    <t>Front</t>
  </si>
  <si>
    <t>Reward Benefit</t>
  </si>
  <si>
    <t>Large</t>
  </si>
  <si>
    <t> </t>
  </si>
  <si>
    <t>Milestone Benefits</t>
  </si>
  <si>
    <t>Default</t>
  </si>
  <si>
    <t>Back</t>
  </si>
  <si>
    <t>Reward Benefits, Milestone Benefits</t>
  </si>
  <si>
    <t>In reward benefit, we change the order of the points second point we will shift it to 3rd and 3rd to second</t>
  </si>
  <si>
    <t>Unresolved</t>
  </si>
  <si>
    <t>22/02/2026</t>
  </si>
  <si>
    <t>22/02/2026 - We cannot change the order of the bullet points</t>
  </si>
  <si>
    <t>fuelcharge and welcome benefit also create problem I fixed it</t>
  </si>
  <si>
    <t>Reward Benefits</t>
  </si>
  <si>
    <t>Landmark Rewards SBI Card Prime</t>
  </si>
  <si>
    <t>Doctor's SBI Card</t>
  </si>
  <si>
    <t>Reward Points</t>
  </si>
  <si>
    <t>BPCL SBI Card OCTANE</t>
  </si>
  <si>
    <t>Reward Benefits, Fuel Surcharge Waiver</t>
  </si>
  <si>
    <t>welcome benefit also create issue , I fixed it</t>
  </si>
  <si>
    <t>Shuffle the points 3-1st, 2nd- 2ndrd, 1st -3rd</t>
  </si>
  <si>
    <t>Domestic Lounge Benefits</t>
  </si>
  <si>
    <t>Complimentary Priority Pass Membership</t>
  </si>
  <si>
    <t>content need to be customized</t>
  </si>
  <si>
    <t>12/03/2026 - As discussed with Namita ma'am, thecontent of the bullet point at the back of this card should be updated to - "Standard membership of Priority Pass Program is complimentary for 24 months. Usage fee of $27 + applicable taxes will be charged on your Credit Card for visit to the Priority Pass Membership Lounge"</t>
  </si>
  <si>
    <t>Welcome Benefits</t>
  </si>
  <si>
    <t>13/03/2026</t>
  </si>
  <si>
    <t>13/03/2026 - The issue is resolved on sbi-pvt - https://loom.com/i/a30776291da44dc4b3dc870eb1735cd3</t>
  </si>
  <si>
    <t>Comprehensive car cover was also has some issue , fixed it</t>
  </si>
  <si>
    <t>Travel Offers from IRCTC</t>
  </si>
  <si>
    <t>Small</t>
  </si>
  <si>
    <t>Content is not same aslo change every tiles not just two</t>
  </si>
  <si>
    <t>IRCTC SBI Premier</t>
  </si>
  <si>
    <t>Value Back Benefits</t>
  </si>
  <si>
    <t>fuel surcharge waiver was also creating issue, I fixed it</t>
  </si>
  <si>
    <t>KrisFlyer SBI Card APEX</t>
  </si>
  <si>
    <t>welcome, lounge and fuewlcharge also corrected
Also, made 1st point to 3rd in milestone</t>
  </si>
  <si>
    <t>TATA NEU INFINITY SBI CARD</t>
  </si>
  <si>
    <t>PhonePe SBI Card PURPLE</t>
  </si>
  <si>
    <t>PhonePe Rewards</t>
  </si>
  <si>
    <t>No Accessibility Bar</t>
  </si>
  <si>
    <t>INDIGO SBI CARD ELITE</t>
  </si>
  <si>
    <t>welcome, renewal, domestic and insurance also corrected</t>
  </si>
  <si>
    <t>Fuel Surcharge Waiver</t>
  </si>
  <si>
    <t>PHONEPE SBI CARD SELECT BLACK</t>
  </si>
  <si>
    <t>Paytm SBI Card</t>
  </si>
  <si>
    <t>Smart Card Control</t>
  </si>
  <si>
    <t>cashback also creating issue , fixed it</t>
  </si>
  <si>
    <t>Prime Rewards</t>
  </si>
  <si>
    <t>lounge  was also creating issue, I fixed it</t>
  </si>
  <si>
    <t>SBI CARD MILES</t>
  </si>
  <si>
    <t>Miles Rewards</t>
  </si>
  <si>
    <t>International Travel Privileges</t>
  </si>
  <si>
    <t>Tata Neu SBI Card Plus</t>
  </si>
  <si>
    <t>11/03/2026 - The issue is still not resolved in default font size - https://www.loom.com/i/c18c31d410dd4c17878a840679d01f08</t>
  </si>
  <si>
    <t>Lounge Benefits</t>
  </si>
  <si>
    <t>Landmard Rewards SBI Card</t>
  </si>
  <si>
    <t>Intenational Lounge Program</t>
  </si>
  <si>
    <t>Domestic Lounge Program</t>
  </si>
  <si>
    <t>Renewal Benefits</t>
  </si>
  <si>
    <t>International Lounge Benefits</t>
  </si>
  <si>
    <t>SBI Card Miles ELITE</t>
  </si>
  <si>
    <t>Insurance Cover</t>
  </si>
  <si>
    <t>INDIGO SBI CARD</t>
  </si>
  <si>
    <t>Reliance SBI Card PRIME</t>
  </si>
  <si>
    <t>Welcome Gift</t>
  </si>
  <si>
    <t>Complementary Movie Ticket</t>
  </si>
  <si>
    <t>International Lounge Program</t>
  </si>
  <si>
    <t>ITC Silver Tier Membership</t>
  </si>
  <si>
    <t>Elite Rewards</t>
  </si>
  <si>
    <t>Health Benefits</t>
  </si>
  <si>
    <t>Exclusive Rewards</t>
  </si>
  <si>
    <t>Comprehensive Insurance Cover</t>
  </si>
  <si>
    <t>Card Cashback</t>
  </si>
  <si>
    <t>Docter's SBI Card (In Association with IMA)</t>
  </si>
  <si>
    <t>IRCTC SBI Card Premier</t>
  </si>
  <si>
    <t>KrisFlyer SBI Card</t>
  </si>
  <si>
    <t>Shaurya SBI Card Select</t>
  </si>
  <si>
    <t>11/03/2026 - The issue is still not resolved in default font size - https://www.loom.com/i/9b66ec5454534568baec5bb50a696a1a</t>
  </si>
  <si>
    <t xml:space="preserve">Additional Benefits </t>
  </si>
  <si>
    <t>Welcome Gifts</t>
  </si>
  <si>
    <t>SimplySAVE SBI Card</t>
  </si>
  <si>
    <t xml:space="preserve">Reward Benefits </t>
  </si>
  <si>
    <t>SimplyCLICK SBI Card</t>
  </si>
  <si>
    <t>E-Shopping Rewards</t>
  </si>
  <si>
    <t>Card Names</t>
  </si>
  <si>
    <t>Video Titles</t>
  </si>
  <si>
    <t>Expected Product Video URLs</t>
  </si>
  <si>
    <t>Actual Product Video URLs</t>
  </si>
  <si>
    <t>Video URLs</t>
  </si>
  <si>
    <t>Video Thumbnails</t>
  </si>
  <si>
    <t>SBI Card ELITE</t>
  </si>
  <si>
    <t>1.) SBI Card Elite Features &amp; Benefits
2.) Unwind in Luxury | SBI Card ELITE
3.) Live a rewarding life with SBI Card ELITE
4.) Comfort and Class in Travel Always | SBI Card ELITE
5.) Elevate your flying experience | SBI Card ELITE
6.) SBI Card Elite | Credit Card Benefits &amp; Rewards | Premium Reward Card</t>
  </si>
  <si>
    <t>1.) https://www.youtube.com/watch?v=SxuFU7C5Lxo	
2.) https://www.youtube.com/watch?v=7gBHGP99YpU	
3.) https://www.youtube.com/watch?v=e5mDpMcXMQs	
4.) https://www.youtube.com/watch?v=KKDq1jPKqWM	
5.) https://www.youtube.com/watch?v=QGXYDpw45mc	
6.) https://www.youtube.com/watch?v=o30QyC6tuiY</t>
  </si>
  <si>
    <t>1.) https://www.youtube.com/watch?v=SxuFU7C5Lxo
2.) https://www.youtube.com/watch?v=7gBHGP99YpU
3) https://www.youtube.com/watch?v=e5mDpMcXMQs
4.) https://www.youtube.com/watch?v=KKDq1jPKqWM
5.) https://www.youtube.com/watch?v=QGXYDpw45mc
6.) https://www.youtube.com/watch?v=o30QyC6tuiY</t>
  </si>
  <si>
    <t>Pass</t>
  </si>
  <si>
    <t>Fail</t>
  </si>
  <si>
    <t>13/03/2026 - The 4th video thumbnail is breaking the alignemnt - 
10/03/2026 - 4th Video still has dummy thumbnail because it was not provided in the thumbnail file shared.</t>
  </si>
  <si>
    <t>SBI Card PULSE</t>
  </si>
  <si>
    <t>1.) Move towards a Fitter You | SBI Card PULSE</t>
  </si>
  <si>
    <t>1.) https://www.youtube.com/watch?v=VlUwJtMObJM</t>
  </si>
  <si>
    <t>1.) Welcome Benefit - TATA Neu Infinity SBI Credit Card
2.) Introducing the Tata Neu Infinity SBI Credit Card
3.) Introducing the Tata Neu Infinity SBI Credit Card</t>
  </si>
  <si>
    <t>1.) https://www.youtube.com/shorts/9W-yd2nKbIY	
2.) https://www.youtube.com/shorts/NFFdaffkdy8	
3.) https://www.youtube.com/shorts/NFFdaffkdy8</t>
  </si>
  <si>
    <t>1.) https://www.youtube.com/shorts/9W-yd2nKbIY
2.) https://www.youtube.com/shorts/NFFdaffkdy8
3.) https://www.youtube.com/shorts/NFFdaffkdy8</t>
  </si>
  <si>
    <t>17/03/2026 - The issue is now resolved - https://loom.com/i/aa7316864f084b18ab60190a9d619e2f
16/03/2026 - Thumbnails not yet added.</t>
  </si>
  <si>
    <t>No Videos Provided</t>
  </si>
  <si>
    <t>No URLs Provided</t>
  </si>
  <si>
    <t>Doctor's SBI Card (in association with IMA)</t>
  </si>
  <si>
    <t>1.) Doctor's SBI Card | Credit Card Benefits &amp; Rewards | SBI Doctors Credit Card
2.) Doctor's SBI Card | Credit Card Benefits &amp; Rewards | SBI Card</t>
  </si>
  <si>
    <t>1.) https://www.youtube.com/watch?v=8x2fWFLDk2k	
2.) https://www.youtube.com/watch?v=FoZaQr9zHSY</t>
  </si>
  <si>
    <t>1.) https://www.youtube.com/watch?v=8x2fWFLDk2k
2.) https://www.youtube.com/watch?v=FoZaQr9zHSY</t>
  </si>
  <si>
    <t>1.) Doctor's SBI Card | Credit Card Benefits &amp; Rewards | SBI Card
2.) Doctor's SBI Card | Credit Card Benefits &amp; Rewards | SBI Doctors Credit Card</t>
  </si>
  <si>
    <t>1.) https://www.youtube.com/watch?v=FoZaQr9zHSY	
2.) https://www.youtube.com/watch?v=8x2fWFLDk2k</t>
  </si>
  <si>
    <t>1.) https://www.youtube.com/watch?v=FoZaQr9zHSY
2.) https://www.youtube.com/watch?v=8x2fWFLDk2k</t>
  </si>
  <si>
    <t>16/03/2026 - The 2nd video now has the thumbnail - https://loom.com/i/311c6cc84ff140c3a7e700314110826b
11/03/2026 - The 2nd Video still has dummy thumbnail - https://www.loom.com/i/eb436efa965e4c6888a21ca8dae571bf</t>
  </si>
  <si>
    <t>Aurum Card</t>
  </si>
  <si>
    <t>1.) Flipkart SBI Card is here!
2.) Flipkart SBI Card is here!
3.) Earn 5% Cashback* on your bookings at Cleartrip with Flipkart SBI Credit Card
4.) Shop your favourite styles on Myntra</t>
  </si>
  <si>
    <t>1.) https://www.youtube.com/watch?v=0oO5Uyk7B_I	
2.) https://www.youtube.com/shorts/j5_DXAYfPic	
3.) https://www.youtube.com/shorts/54MnmbjGibA	
4.) https://www.youtube.com/shorts/5rK7lnm0qSw</t>
  </si>
  <si>
    <t>1.) https://www.youtube.com/watch?v=0oO5Uyk7B_I
2.) https://www.youtube.com/shorts/j5_DXAYfPic
3.) https://www.youtube.com/shorts/54MnmbjGibA
4.) https://www.youtube.com/shorts/5rK7lnm0qSw</t>
  </si>
  <si>
    <t>16/03/2026 - The issue is resolved - https://loom.com/i/049a955950844128a2639c2602034b31
10/03/2026 - 3rd Video Title, the asterisk (*) is missing after the word "Cashback" it should be " Earn 5% Cashback* on your bookings" - https://www.loom.com/i/9bf4efb5917c48c9b979be59b143c672</t>
  </si>
  <si>
    <t>CASHBACK SBI Card</t>
  </si>
  <si>
    <t>1.) #CashbackHarBaar with CASHBACK SBI Card</t>
  </si>
  <si>
    <t>1.) https://www.youtube.com/watch?v=84yhgRGvJ2c</t>
  </si>
  <si>
    <t>10/03/2026 - The # was exclude because it was not looking appropriate.</t>
  </si>
  <si>
    <t>SBI Card PRIME</t>
  </si>
  <si>
    <t>1.) Live the PRIME Life | SBI Card PRIME
2.) Celebrate milestones with SBI Card PRIME
3.) Make every birthday special | SBI Card PRIME
4.) Live the PRIME Life | SBI Card PRIME
5.) SBI Card PRIME | Credit Card Benefits &amp; Rewards | SBI Reward Card</t>
  </si>
  <si>
    <t>1.) https://www.youtube.com/watch?v=5EYmJfjFlUk
2.) https://www.youtube.com/watch?v=jw_Xvdki6vg
3.) https://www.youtube.com/watch?v=9gmlocZ5sF4
4.) https://www.youtube.com/watch?v=u5y_ktXNh_0
5.) https://www.youtube.com/watch?v=FKiazBp1GhQ</t>
  </si>
  <si>
    <t>PhonePe SBI Card SELECT BLACK</t>
  </si>
  <si>
    <t>1.) Introducing the PhonePe SBI Card
2.) Enjoy up to 10% Value Back as Reward Points on PhonePe spends
3.) Introducing the PhonePe SBI Card SELECT BLACK</t>
  </si>
  <si>
    <t>1.) https://www.youtube.com/watch?v=LxXQmOqU5o4
2.) https://www.youtube.com/shorts/TqMJs7LPtyQ
3.) https://www.youtube.com/shorts/766bJ87bxU4</t>
  </si>
  <si>
    <t>16/03/2026 - Issue resolved on sbi-pvt - https://loom.com/i/1a329d9ca4d1421093e35d0d157776c6
11/03/2026 - 2nd Video Title --&gt; It should be "Enjoy up to 10%" instead of "Enjoy upto 10%".</t>
  </si>
  <si>
    <t>1.) Introducing the PhonePe SBI Card</t>
  </si>
  <si>
    <t>1.) https:/www.youtube.com/watch?v=LxXQmOqU5o4</t>
  </si>
  <si>
    <t>1.) https://www.youtube.com/watch?v=LxXQmOqU5o4</t>
  </si>
  <si>
    <t>16/03/2026 - Thumbnail uploaded - https://loom.com/i/cc4aba6ab66743e1b83a330df755ee40</t>
  </si>
  <si>
    <t>Apollo SBI Card SELECT</t>
  </si>
  <si>
    <t>1.) Apollo SBI Card SELECT - up to 25% Value Back
2.) Apollo SBI Card SELECT - Welcome Benefit
3.) Apollo SBI Card SELECT is here!</t>
  </si>
  <si>
    <t>1.)https://www.youtube.com/shorts/_qFyxMC_NJ4
2.)https://www.youtube.com/shorts/SC4fDNM7c7U
3.) https://www.youtube.com/shorts/R3NKC2IA7Bw</t>
  </si>
  <si>
    <t>1.) https://www.youtube.com/shorts/_qFyxMC_NJ4
2.) https://www.youtube.com/shorts/SC4fDNM7c7U
3.) https://www.youtube.com/shorts/R3NKC2IA7Bw</t>
  </si>
  <si>
    <t>16/03/2026 - Thumbnail uploaded - https://loom.com/i/956063a325644803a924653c2cb2d91d</t>
  </si>
  <si>
    <t>1.) Apollo SBI Credit Card - Discover a world of health, Official Launch Event of Apollo SBI Card</t>
  </si>
  <si>
    <t>1.) https:/www.youtube.com/watch?v=SmLKhe04oiA</t>
  </si>
  <si>
    <t>1.) https://www.youtube.com/watch?v=SmLKhe04oiA</t>
  </si>
  <si>
    <t>16/03/2026 - Thumbnial uploaded - https://loom.com/i/2d629360633d403a91de0800804d2780</t>
  </si>
  <si>
    <t>Paytm SBI Card SELECT</t>
  </si>
  <si>
    <t>1.) Make your Paytm spends rewarding with the Paytm SBI Card Select
2.) Make your Paytm spends rewarding with the Paytm SBI Card SELECT</t>
  </si>
  <si>
    <t>1.) https://www.youtube.com/watch?v=a_4Bgh0WlZs
2.) https://www.youtube.com/watch?v=p6lzw95Sm1k</t>
  </si>
  <si>
    <t>16/03/2026 - The 1st video thumbnail is breaking the alignment - https://www.loom.com/i/b6832df5e60b4a6285960d12f4748f7a
Also, the capitalizations in the card name should be "Paytm SBI Card SELECT" in both the video titles.</t>
  </si>
  <si>
    <t>1.) Make your Paytm spends rewarding with the Paytm SBI Card</t>
  </si>
  <si>
    <t>1.) https:/www.youtube.com/watch?v=cSntakowRMQ</t>
  </si>
  <si>
    <t>1.) https://www.youtube.com/watch?v=cSntakowRMQ</t>
  </si>
  <si>
    <t>16/03/2026 - Thumbnail uploaded - https://loom.com/i/06ce81c1075848adb00f500bf1e338ae</t>
  </si>
  <si>
    <t>Tata Card SELECT</t>
  </si>
  <si>
    <t>Tata Card</t>
  </si>
  <si>
    <t>1.) Simply CLICK for online shopping | SBI Card
2.) 10X Reward Points With SimplyCLICK SBI Card
3.) The Many Rewards of the SimplyCLICK SBI Card
4.) SimplyCLICK SBI Card: Your perfect online shopping partner
5.) SimplyClick SBI Card - A Credit Card for the Generation that Shops Online
6.) SBI SimplyCLICK Credit Card | Benefits &amp; Rewards | Shopping Card</t>
  </si>
  <si>
    <t>1.) https://www.youtube.com/watch?v=tvBOlhfBK-4
2.) https://www.youtube.com/watch?v=bGOgP94NMvk	
3.) https://www.youtube.com/watch?v=wesp58Mc9YA	
4.) https://www.youtube.com/watch?v=BAPzyCp1J4M
5.) https://www.youtube.com/watch?v=496VxdV3mDM
6.) https://www.youtube.com/watch?v=J9XLdHfKagE</t>
  </si>
  <si>
    <t>1.) https://www.youtube.com/watch?v=tvBOlhfBK-4
2.) https://www.youtube.com/watch?v=bGOgP94NMvk
3.) https://www.youtube.com/watch?v=wesp58Mc9YA
4.) https://www.youtube.com/watch?v=BAPzyCp1J4M
5.) https://www.youtube.com/watch?v=496VxdV3mDM
6.) https://www.youtube.com/watch?v=J9XLdHfKagE</t>
  </si>
  <si>
    <t>16/03/2026 - 4 videos still have dummy thumbnails - https://www.loom.com/i/172711acfe964033a1fd2b83c34ffa29</t>
  </si>
  <si>
    <t>1.) SimplySAVE SBI Credit Card | Shopping Credit Card Benefits &amp; Rewards
2.) SimplySAVE SBI Card is simply better!
3.) More savings, more Rewards | SimplySAVE SBI Card
4.) Make your spends rewarding with SimplySAVE SBI Card
5.) SimplySAVE SBI Credit Card | Shopping Credit Card Benefits &amp; Rewards
6.) SimplySAVE SBI Card | Shopping Credit Card Benefits &amp; Rewards</t>
  </si>
  <si>
    <t>1.) https://www.youtube.com/watch?v=XTwASXOCJWY
2.) https://www.youtube.com/watch?v=MU3gDxkS-K4
3.) https://www.youtube.com/watch?v=VViQI-Pmu1s
4.) https://www.youtube.com/watch?v=hT_VF9fYMiU
5.) https://www.youtube.com/watch?v=vozHBbdKVAQ
6.) https://www.youtube.com/watch?v=QEJHAk_iyuc</t>
  </si>
  <si>
    <t>16/03/2026 - Thumbnails uploaded - https://loom.com/i/df8240d597a44fefad30335a83e89434</t>
  </si>
  <si>
    <t>Landmark Rewards SBI Card PRIME</t>
  </si>
  <si>
    <t>1.) Landmark Rewards SBI Card PRIME</t>
  </si>
  <si>
    <t>1.) https:/www.youtube.com/shorts/2Mo71jNeo9s</t>
  </si>
  <si>
    <t>1.) https://www.youtube.com/shorts/2Mo71jNeo9s</t>
  </si>
  <si>
    <t>16/03/2026 - Thumbnail uploaded - https://loom.com/i/6ee05e35662c483dba21da8fb3a91b50</t>
  </si>
  <si>
    <t>Landmark Rewards SBI Card SELECT</t>
  </si>
  <si>
    <t>1.) Introducing the TITAN SBI Card
2.) Get ready to receive a warm welcome and even more rewards!
3.) Get up to 7.5% Cashback* by shopping at Titan stores with Titan SBI Card.</t>
  </si>
  <si>
    <t>1.) https://www.youtube.com/shorts/lyOux3jo84U
2.) https://www.youtube.com/shorts/0CnmQQZyVsU
3.) https://www.youtube.com/shorts/pmpogAWTGjQ</t>
  </si>
  <si>
    <t>17/03/2026 - The issue is now resolved - https://loom.com/i/73afe3d9056e45d78cc7d9f42f724b09
16/03/2026 - 2nd Video is still having a dummy thumbnail - https://www.loom.com/i/c5c4cf8e7d5f40089f477cfd9362a7ec</t>
  </si>
  <si>
    <t>IndiGo SBI Card</t>
  </si>
  <si>
    <t>1.) Unlock Every Benefit with the IndiGo SBI Card ELITE</t>
  </si>
  <si>
    <t>1.) https:/www.youtube.com/shorts/EYSkhcM1HQ4</t>
  </si>
  <si>
    <t>1.) https://www.youtube.com/shorts/EYSkhcM1HQ4</t>
  </si>
  <si>
    <t>16/03/2026 - Thumbnail uploaded - https://loom.com/i/a86b8e71720a415298fd217660dbe2c6</t>
  </si>
  <si>
    <t>IndiGo SBI Card ELITE</t>
  </si>
  <si>
    <t>1.) Start every journey on an ELITE note with IndiGo SBI Card ELITE
2.) Unlock Every Benefit with the IndiGo SBI Card ELITE</t>
  </si>
  <si>
    <t>1.) https://www.youtube.com/shorts/D5mtu2yXbUM
2.) https://www.youtube.com/shorts/EYSkhcM1HQ4</t>
  </si>
  <si>
    <t>16/03/2026 - Thumbnail uploaded - https://loom.com/i/6be27063ca794c8fa8fe704e3c485f8c</t>
  </si>
  <si>
    <t>KrisFlyer SBI Card Apex</t>
  </si>
  <si>
    <t>1.) KrisFlyer SBI Card APEX - 8 domestic &amp; 8 international complimentary lounge visits per year
2.) KrisFlyer SBI Card Apex - 10,000 KrisFlyer miles on an annual spend of ₹5 Lakhs
3.) Krisflyer SBI Card APEX - 10 Miles on Rs.200
4.) Krisflyer SBI Card APEX - Welcome Benefit
5.) KrisFlyer SBI Card APEX is now live!</t>
  </si>
  <si>
    <t>1.) https://www.youtube.com/shorts/EM3xH2WZhP4
2.) https://www.youtube.com/shorts/H7rTWOLLpCw
3.) https://www.youtube.com/shorts/9RaZBCtviOE
4.) https://www.youtube.com/shorts/djWK01XEz4s
5.) https://www.youtube.com/shorts/DKvUixvzV-I</t>
  </si>
  <si>
    <t>16/03/2026 - 3rd Video thumbnail still pending (from HTML Team) - https://loom.com/i/4f5aa20f9a914880835ad45ea74482eb</t>
  </si>
  <si>
    <t>SBI Card MILES PRIME</t>
  </si>
  <si>
    <t>SBI Card MILES</t>
  </si>
  <si>
    <t>1.) SBI Card Miles is here
2.) SBI Card Miles
3.) SBI Card Miles</t>
  </si>
  <si>
    <t>1.) https://www.youtube.com/shorts/dqC5RDPPS2Y
2.) https://www.youtube.com/shorts/E8cowsJswJQ
3.) https://www.youtube.com/shorts/HOz2q_T9Grg</t>
  </si>
  <si>
    <t>16/03/2026 - The Title &amp; Thumbnail issues are resolved - https://loom.com/i/ce40c741ac3b4569a0efb26935f955bb
11/03/2026 - The Video Titles for all are "SBI Miles" instead of - 
1.) SBI Card Miles is here
2.) SBI Card Miles
3.) SBI Card Miles</t>
  </si>
  <si>
    <t>1.) BPCL SBI Card Octane | Credit Card Benefits &amp; Rewards | SBI Fuel Credit Card</t>
  </si>
  <si>
    <t>1.) https:/www.youtube.com/watch?v=_pdIp-w70SE</t>
  </si>
  <si>
    <t>1.) https://www.youtube.com/watch?v=_pdIp-w70SE</t>
  </si>
  <si>
    <t>16/03/2026 - Thumbnail uploaded - https://loom.com/i/8f9d77d0bcb240ccaf04afffefc094f7</t>
  </si>
  <si>
    <t>1.) IRCTC SBI Card Premier | Credit Card Features, Benefits and Rewards</t>
  </si>
  <si>
    <t>1.) https:/www.youtube.com/watch?v=jKtSjf34duQ</t>
  </si>
  <si>
    <t>1.) https://www.youtube.com/watch?v=jKtSjf34duQ</t>
  </si>
  <si>
    <t>16/03/2026 - Thumbnail uploaded - https://loom.com/i/db2f43400c4444388176b4216e4ff884</t>
  </si>
  <si>
    <t>1.) Etihad Guest SBI Card | Credit Card Benefits &amp; Rewards | Travel Card</t>
  </si>
  <si>
    <t>1.) https:/www.youtube.com/watch?v=99yrQ0ox_5Q</t>
  </si>
  <si>
    <t>1.) https://www.youtube.com/watch?v=99yrQ0ox_5Q</t>
  </si>
  <si>
    <t>16/03/2026 - Thumbnail uploaded - https://loom.com/i/96bc8acf7d8a478892a07e3a86aa83e2</t>
  </si>
  <si>
    <t>1.) BPCL SBI Card | Credit Card Benefits &amp; Rewards | SBI Fuel Card</t>
  </si>
  <si>
    <t>1.) https:/www.youtube.com/watch?v=PecZCFrw6pE</t>
  </si>
  <si>
    <t>1.) https://www.youtube.com/watch?v=PecZCFrw6pE</t>
  </si>
  <si>
    <t>16/03/2026 - Thumbnail uploaded - https://loom.com/i/f6d5512d08064c34ba6aa5af6ac852c0</t>
  </si>
  <si>
    <t>1.) Explore the world | IRCTC SBI Card</t>
  </si>
  <si>
    <t>1.) https:/www.youtube.com/watch?v=PdMrY0ccm7Y</t>
  </si>
  <si>
    <t>1.) https://www.youtube.com/watch?v=PdMrY0ccm7Y</t>
  </si>
  <si>
    <t>16/03/2026 - The thumbnail is uploaded - https://loom.com/i/2dd6cf4575834847b3155660dbc8f5ec
16/03/2026 - Thumbnails sent in the file but not yet uploaded</t>
  </si>
  <si>
    <t>Club Vistara SBI Card PRIME</t>
  </si>
  <si>
    <t>1.) Club Vistara SBI Card PRIME - Credit Card Features, Benefits &amp; Rewards
2.) Flying in Luxury | Club Vistara SBI Card PRIME</t>
  </si>
  <si>
    <t>1.) https://www.youtube.com/watch?v=KP8UIBvnidA
2.) https://youtu.be/y6btgRFmkB4</t>
  </si>
  <si>
    <t>16/03/2026 - The thumbnails are uploaded - https://loom.com/i/b283e89a3a654a4da15fbf9025b3dca6
16/03/2026 - Thumbnails sent in the file but not yet uploaded</t>
  </si>
  <si>
    <t>Card Name</t>
  </si>
  <si>
    <t>Exclusive Privileges</t>
  </si>
  <si>
    <t>Privilege Heading</t>
  </si>
  <si>
    <t>Correct Icon</t>
  </si>
  <si>
    <t>Correct Format - SVG</t>
  </si>
  <si>
    <t>Last Tested On</t>
  </si>
  <si>
    <t>Welcome Gift
Reward Benefits
Domestic Lounge Benefits
Fuel Surcharge Waiver
Spend Based Reversal</t>
  </si>
  <si>
    <t>Welcome Gift 
Complimentary Movie Tickets
Milestone Privileges
ELITE Rewards
International Lounge Program
Domestic Lounge Program
Lowest Forex Markup
ITC Silver Tier Membership
Exclusive Concierge Service</t>
  </si>
  <si>
    <t>13/3/2026</t>
  </si>
  <si>
    <t>13/03/2026 - The ITC Silver Tier Membership svg has been updated on sbi-pvt</t>
  </si>
  <si>
    <t>Card Cashback
Hassle free
Spend Based Reversal
Fuel Surcharge Waiver</t>
  </si>
  <si>
    <t xml:space="preserve">Welcome Gift
Health Benefits
Exclusive Rewards 
Milestone Benefits
Comprehensive Insurance Cover
Lounge Benefits </t>
  </si>
  <si>
    <t>Welcome Benefit
Reward Benefits 
Milestone Benefits
Lounge Benefit
Fuel Surcharge Waiver</t>
  </si>
  <si>
    <t>Welcome Benefits
Health Benefits
Reward Points
Milestone Benefits
Lounge Benefits
Fuel Surcharge Waiver</t>
  </si>
  <si>
    <t>Welcome Benefit 
Card Cashback 
Spend Based Reversal
Fuel Surcharge Waiver</t>
  </si>
  <si>
    <t>Welcome Benefits
Milestone Benefits
Reward Benefits
Fuel Surcharge Waiver</t>
  </si>
  <si>
    <t>Welcome Benefits
Milestone Benefits
Reward Benefits
Domestic Lounge Program
Complimentary Lounge Program
Complimentary Priority Pass  Membership
Fuel Surcharge Waiver</t>
  </si>
  <si>
    <r>
      <rPr>
        <sz val="11"/>
        <color rgb="FF0070C0"/>
        <rFont val="Aptos Narrow"/>
        <scheme val="minor"/>
      </rPr>
      <t xml:space="preserve">Welcome Benefits
</t>
    </r>
    <r>
      <rPr>
        <sz val="11"/>
        <color rgb="FFFF0000"/>
        <rFont val="Aptos Narrow"/>
        <scheme val="minor"/>
      </rPr>
      <t xml:space="preserve">Renewal Benefits
</t>
    </r>
    <r>
      <rPr>
        <sz val="11"/>
        <color rgb="FF0070C0"/>
        <rFont val="Aptos Narrow"/>
        <scheme val="minor"/>
      </rPr>
      <t xml:space="preserve">Milestone Benfits
</t>
    </r>
    <r>
      <rPr>
        <sz val="11"/>
        <color rgb="FFFFC000"/>
        <rFont val="Aptos Narrow"/>
        <scheme val="minor"/>
      </rPr>
      <t xml:space="preserve">Spend-Based Fee Reversal
</t>
    </r>
    <r>
      <rPr>
        <sz val="11"/>
        <color rgb="FF0070C0"/>
        <rFont val="Aptos Narrow"/>
        <scheme val="minor"/>
      </rPr>
      <t>Insurance
Lounge Benefit
Fuel Surcharge Waiver</t>
    </r>
  </si>
  <si>
    <t>13/03/2026 - The renewal benefits icons is now other benefits icon - https://loom.com/i/5fa12e73844e460c9f29f23b2580fc57</t>
  </si>
  <si>
    <t>Professional Indemnity Insurance 
Welcome Gift
Reward Points
Milestone Benefits
International Lounge Program 
Domestic Lounge Program 
Fuel Surcharge Waiver</t>
  </si>
  <si>
    <t>13/03/2026 - Professional Indemnity Insurance icon format is now svg</t>
  </si>
  <si>
    <t>Welcome Benefits
Value Back Benefits
Reward Benefits
Fuel Surcharge Waiver
Other Benefits</t>
  </si>
  <si>
    <r>
      <rPr>
        <sz val="11"/>
        <color rgb="FF0070C0"/>
        <rFont val="Aptos Narrow"/>
        <scheme val="minor"/>
      </rPr>
      <t xml:space="preserve">Welcome Benefits
</t>
    </r>
    <r>
      <rPr>
        <sz val="11"/>
        <color rgb="FFFF0000"/>
        <rFont val="Aptos Narrow"/>
        <scheme val="minor"/>
      </rPr>
      <t xml:space="preserve">Renewal Benefits
</t>
    </r>
    <r>
      <rPr>
        <sz val="11"/>
        <color rgb="FF0070C0"/>
        <rFont val="Aptos Narrow"/>
        <scheme val="minor"/>
      </rPr>
      <t xml:space="preserve">Milestone Benefits
</t>
    </r>
    <r>
      <rPr>
        <sz val="11"/>
        <color rgb="FFFFC000"/>
        <rFont val="Aptos Narrow"/>
        <scheme val="minor"/>
      </rPr>
      <t xml:space="preserve">Spend-Based Fee Reversal
</t>
    </r>
    <r>
      <rPr>
        <sz val="11"/>
        <color rgb="FF0070C0"/>
        <rFont val="Aptos Narrow"/>
        <scheme val="minor"/>
      </rPr>
      <t>Insurance
International Lounge Benefits
Domestic Lounge Benefits
Fuel Surcharge Waiver</t>
    </r>
  </si>
  <si>
    <t>13/03/2026 - The renewal benefits icons is now other benefits icon - https://loom.com/i/9989e3e8db674b35aeeebe34cbd02074</t>
  </si>
  <si>
    <t xml:space="preserve">Indian Medical Association 
Professional Indemnity Insurance 
Welcome Gift 
Reward Points 
Milestone Benefits
International Lounge Program 
Domestic Lounge Program
Fuel Surcharge Waiver </t>
  </si>
  <si>
    <t>17/03/2026</t>
  </si>
  <si>
    <t>17/03/2026 - The issue has been resolved on sbifo-pvt - https://loom.com/i/5cdf10232c634648a6f578008c751524
13/03/2026 - The Indian Medical Association icon is still in png format instead of svg - https://loom.com/i/7d5ca397c5d04b26a6b4b11b7e04fc13</t>
  </si>
  <si>
    <t>Welcome Benefits
Value Back Benefits
Reward Benefits
Milestone Benefits
Lounge Benefit
Fuel Surcharge Waiver
Other Benefits</t>
  </si>
  <si>
    <r>
      <rPr>
        <sz val="11"/>
        <color rgb="FFFF0000"/>
        <rFont val="Aptos Narrow"/>
        <scheme val="minor"/>
      </rPr>
      <t xml:space="preserve">Renewal Benefits
</t>
    </r>
    <r>
      <rPr>
        <sz val="11"/>
        <color rgb="FF0070C0"/>
        <rFont val="Aptos Narrow"/>
        <scheme val="minor"/>
      </rPr>
      <t>Reward Benefits
Milestone Benefits
Comprehensive Insurance Cover
Domestic Lounge Benefits
Complimentary Priority Pass Membership</t>
    </r>
  </si>
  <si>
    <t>13/03/2026 - The renewal benefits icons is now other benefits icon - https://loom.com/i/533667050e05453eba3b82e9956fb5db</t>
  </si>
  <si>
    <t>Welcome Benefits
Reward Benefits
Spend Based Reversal
Fuel Surcharge Waiver</t>
  </si>
  <si>
    <t>13/03/2026 - The renewal benefits icons is now other benefits icon - https://loom.com/i/a99b49d06b24415b8e7c18fcd7314c40</t>
  </si>
  <si>
    <t>Welcome Benefit
Value Back Benefits
Reward Benefits
Milestone Benefits
Travel Offers from IRCTC
Fuel Surcharge Waiver
Railway Lounge Program</t>
  </si>
  <si>
    <t>Welcome Benefit
Value Back Benefits
Reward Benefits
Milestone Benefits
Complimentary Insurance Cover
Travel Offers from IRCTC
Fuel Surcharge Waiver
Railway Lounge Program</t>
  </si>
  <si>
    <t>First Year Free
Reward Benefits
Fuel Surcharge Waiver</t>
  </si>
  <si>
    <t>Welcome Benefits
Reward Benefits
Milestone Benefits
Lounge Benefits
Fuel Surcharge Waiver
Insurance Coverage</t>
  </si>
  <si>
    <t>Welcome Gift
Reward Benefits
Domestic Lounge Benefits
International Lounge Benefits
Fuel Surcharge Waiver
Spend Based Reversal
Lowest Forex Markup</t>
  </si>
  <si>
    <t>Welcome Benefits
PhonePe Rewards
Exclusive Milestone Benefits
Annual Fee Reversal
Fuel Surcharge Waiver</t>
  </si>
  <si>
    <t>13/03/2026 - The issue has been resolved - https://loom.com/i/b76a27a9b8cf4f9c857d6c3289f4c0be</t>
  </si>
  <si>
    <t>Welcome Benefit
Cashback
Cyber Fraud Insurance
Milestone Benefits
International Lounge Program
Domestic Lounge Program
Fuel Surcharge Waiver
Smart Card Control</t>
  </si>
  <si>
    <t>13/03/2026 - The smart card control icon has been corrected - https://loom.com/i/9a606d0067c843e992fa81fa98ac9a04</t>
  </si>
  <si>
    <r>
      <rPr>
        <sz val="11"/>
        <color rgb="FF0070C0"/>
        <rFont val="Aptos Narrow"/>
        <scheme val="minor"/>
      </rPr>
      <t xml:space="preserve">Welcome Benefit
Reward Benefits
Milestone Benefits
International Travel Privileges
Domestic Privileges
Insurance Cover
</t>
    </r>
    <r>
      <rPr>
        <sz val="11"/>
        <color rgb="FFFFC000"/>
        <rFont val="Aptos Narrow"/>
        <scheme val="minor"/>
      </rPr>
      <t>Low Forex Markup</t>
    </r>
  </si>
  <si>
    <r>
      <rPr>
        <sz val="11"/>
        <color rgb="FF0070C0"/>
        <rFont val="Aptos Narrow"/>
        <scheme val="minor"/>
      </rPr>
      <t xml:space="preserve">Welcome Benefits
</t>
    </r>
    <r>
      <rPr>
        <sz val="11"/>
        <color rgb="FFFF0000"/>
        <rFont val="Aptos Narrow"/>
        <scheme val="minor"/>
      </rPr>
      <t xml:space="preserve">Renewal Benefits
</t>
    </r>
    <r>
      <rPr>
        <sz val="11"/>
        <color rgb="FF0070C0"/>
        <rFont val="Aptos Narrow"/>
        <scheme val="minor"/>
      </rPr>
      <t>Reward Benefits
Milestone Benefits
Domestic Lounge Benefit
International Lounge Benefit
Fuel Surcharge Waiver
Insurance</t>
    </r>
  </si>
  <si>
    <t>13/03/2026 - The renewal benefits icons is now other benefits icon - https://loom.com/i/79ebab072817491799e8d0c7111bbe6a</t>
  </si>
  <si>
    <t>Welcome Benefit
Milestone Benefits
Reward Benefits
Fuel Surcharge Waiver
Other Benefits</t>
  </si>
  <si>
    <r>
      <rPr>
        <sz val="11"/>
        <color rgb="FF0070C0"/>
        <rFont val="Aptos Narrow"/>
        <scheme val="minor"/>
      </rPr>
      <t xml:space="preserve">Welcome Benefit
</t>
    </r>
    <r>
      <rPr>
        <sz val="11"/>
        <color rgb="FFFF0000"/>
        <rFont val="Aptos Narrow"/>
        <scheme val="minor"/>
      </rPr>
      <t xml:space="preserve">Renewal Benefits
</t>
    </r>
    <r>
      <rPr>
        <sz val="11"/>
        <color rgb="FF0070C0"/>
        <rFont val="Aptos Narrow"/>
        <scheme val="minor"/>
      </rPr>
      <t>Reward Benefits
Milestone Benefits
Domestic Lounge Benefits
Fuel Surcharge Waiver</t>
    </r>
  </si>
  <si>
    <t>13/03/2026 - The renewal benefits icons is now other benefits icon - https://loom.com/i/097a9898159640a995cc8f2095c9b7f5</t>
  </si>
  <si>
    <t>Welcome Benefit
Milestone Benefit
Reward Benefits
Complimentary Movie Ticket
International Lounge Program
Domestic Lounge Program
Fuel Surcharge Waiver
Other Benefits</t>
  </si>
  <si>
    <t>Welcome Benefits
PhonePe Rewards
Exclusive Milestone Benefits
International Lounge Program
Domestic Lounge Program
Annual Fee Reversal
Fuel Surcharge Waiver</t>
  </si>
  <si>
    <t>13/03/2026 - The issue has been resolved - https://loom.com/i/f70004986adf40fabb77ac67640f8c9d</t>
  </si>
  <si>
    <t>Welcome Benefit
Cashback
Cyber Fraud Insurance
Milestone Benefits
Fuel Surcharge Waiver
Smart Control</t>
  </si>
  <si>
    <t>13/03/2026 - The smart card control icon has been corrected - https://loom.com/i/8681896e9fc64af18a92ddd95e210c09</t>
  </si>
  <si>
    <t>Welcome Gift
Prime Rewards
Milestone Benefits
Lounge Access
ITC Silver Tier Membership
Birthday Benefit</t>
  </si>
  <si>
    <r>
      <rPr>
        <sz val="11"/>
        <color rgb="FF0070C0"/>
        <rFont val="Aptos Narrow"/>
        <scheme val="minor"/>
      </rPr>
      <t xml:space="preserve">Welcome Gift
</t>
    </r>
    <r>
      <rPr>
        <sz val="11"/>
        <color rgb="FFFF0000"/>
        <rFont val="Aptos Narrow"/>
        <scheme val="minor"/>
      </rPr>
      <t xml:space="preserve">Miles Rewards
</t>
    </r>
    <r>
      <rPr>
        <sz val="11"/>
        <color rgb="FF0070C0"/>
        <rFont val="Aptos Narrow"/>
        <scheme val="minor"/>
      </rPr>
      <t xml:space="preserve">Milestone Benefits
International Travel Privileges
Domestic Travel Privileges
</t>
    </r>
    <r>
      <rPr>
        <sz val="11"/>
        <color rgb="FFFFC000"/>
        <rFont val="Aptos Narrow"/>
        <scheme val="minor"/>
      </rPr>
      <t>Low Forex Markup</t>
    </r>
  </si>
  <si>
    <t>13/03/2026 - The Miles Rewards icon is still incorrect - https://loom.com/i/34c52c08d1884e65bf0c9d5696d7e384</t>
  </si>
  <si>
    <r>
      <rPr>
        <sz val="11"/>
        <color rgb="FF0070C0"/>
        <rFont val="Aptos Narrow"/>
        <scheme val="minor"/>
      </rPr>
      <t xml:space="preserve">Welcome Benefit
Reward Benefits
Milestone Benefits
International Travel Privileges
Domestic Travel Privileges
Insurance Cover
</t>
    </r>
    <r>
      <rPr>
        <sz val="11"/>
        <color rgb="FFFFC000"/>
        <rFont val="Aptos Narrow"/>
        <scheme val="minor"/>
      </rPr>
      <t>Low Forex Markup</t>
    </r>
  </si>
  <si>
    <t>Zero Fee Card
Milestone Benefit
REward Benefits
Fuel Surcharge Waiver
Secure Card</t>
  </si>
  <si>
    <t>Welcome Gift
E-Shopping Rewards
Milestone Benefits
Fuel Surcharge Waiver
Spend Based Reversal</t>
  </si>
  <si>
    <t>Extravaganza Offer
Reward Benefits
Fuel Surcharge Waiver
Spend Based Reversal</t>
  </si>
  <si>
    <t>Welcome Benefit
Exclusive Milestone Benefits
Exclusive Titan Instore Benefits
Reward Benefits
Lounge Benefits</t>
  </si>
  <si>
    <t>Welcome Benefits
Waiver of Renewal Fee
Reward Benefits
Fuel Surcharge Waiver
Insurance Benefits</t>
  </si>
  <si>
    <r>
      <rPr>
        <sz val="11"/>
        <color rgb="FF0070C0"/>
        <rFont val="Aptos Narrow"/>
        <scheme val="minor"/>
      </rPr>
      <t xml:space="preserve">Milestone Rewards
Reward Benefits
</t>
    </r>
    <r>
      <rPr>
        <sz val="11"/>
        <color rgb="FFFF0000"/>
        <rFont val="Aptos Narrow"/>
        <scheme val="minor"/>
      </rPr>
      <t xml:space="preserve">Renewal Benefits
</t>
    </r>
    <r>
      <rPr>
        <sz val="11"/>
        <color rgb="FFFFC000"/>
        <rFont val="Aptos Narrow"/>
        <scheme val="minor"/>
      </rPr>
      <t xml:space="preserve">Insurance Benefits
</t>
    </r>
    <r>
      <rPr>
        <sz val="11"/>
        <color rgb="FF0070C0"/>
        <rFont val="Aptos Narrow"/>
        <scheme val="minor"/>
      </rPr>
      <t xml:space="preserve">Fuel Surcharge Waiver
Additional Benefits
</t>
    </r>
    <r>
      <rPr>
        <sz val="11"/>
        <color rgb="FFFFC000"/>
        <rFont val="Aptos Narrow"/>
        <scheme val="minor"/>
      </rPr>
      <t>Domestic Airport Lounge Program</t>
    </r>
  </si>
  <si>
    <t>13/03/2026 - The renewal benefits icons is now other benefits icon - https://loom.com/i/10aa8bd3e5ab4ecbacb09ecb3d3eeb9b</t>
  </si>
  <si>
    <t>Priority</t>
  </si>
  <si>
    <t>Device</t>
  </si>
  <si>
    <t>Issue Type</t>
  </si>
  <si>
    <t>Annual Spent</t>
  </si>
  <si>
    <t>Benefit</t>
  </si>
  <si>
    <t>Assigned To</t>
  </si>
  <si>
    <t>Vector3 Remark</t>
  </si>
  <si>
    <t>P2</t>
  </si>
  <si>
    <t>Content Not Provided</t>
  </si>
  <si>
    <t>Rs. 4, 8 Lakhs</t>
  </si>
  <si>
    <t>Namita</t>
  </si>
  <si>
    <t>Formatting</t>
  </si>
  <si>
    <t>Rs. 3, 4, 5, 8 lakhs</t>
  </si>
  <si>
    <t>Neha Jain</t>
  </si>
  <si>
    <t>02/03/2026 - comma before the 3 zeros missing as per the Number system formatting- https://www.loom.com/i/2b35a7edc03c40d493e73aee5183e0bd</t>
  </si>
  <si>
    <t>P3</t>
  </si>
  <si>
    <t>Desktops</t>
  </si>
  <si>
    <t>Overlap</t>
  </si>
  <si>
    <t>Rs. 10 Lakhs</t>
  </si>
  <si>
    <t>Annual Fee Reversal</t>
  </si>
  <si>
    <t>09/03/2026 - Word "Annual" needs to be in the title and "Fee Reversal"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</si>
  <si>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Galazy Z Fold</t>
  </si>
  <si>
    <t>iPad Mini</t>
  </si>
  <si>
    <t>iPad Pro</t>
  </si>
  <si>
    <t>Rs. 2 Lakhs</t>
  </si>
  <si>
    <t>Waiver of Renewal Fee</t>
  </si>
  <si>
    <t>09/03/2026 - The word "Waiver" needs to be in the title and "of Renewal Fee"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</si>
  <si>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Largest</t>
  </si>
  <si>
    <t>iPads / Tablets</t>
  </si>
  <si>
    <t>Mobile Phones (width &gt;= 360px)</t>
  </si>
  <si>
    <t>P1</t>
  </si>
  <si>
    <t>06/03/2026 - As discussed with Namita ma'am, the following content needs to be updated for this card - 
1st Milestone - "5 Lakhs" --&gt; Reward - "20,000 Reward Points"
2nd Milestone - "10 Lakhs" --&gt; Reward - "30,000 Reward Points"
3rd Milestone - "20 Lakhs" --&gt; Reward - "50,000 Reward Points"</t>
  </si>
  <si>
    <t>06/03/2026 - As discussed with Namita ma'am, the following content needs to be updated for this card - 
1st Milestone - "2 Lakhs" --&gt; Reward - "5,000 Reward Points"
2nd Milestone - "3 Lakhs" --&gt; Reward - "10,000 Reward Points"</t>
  </si>
  <si>
    <t>Rs. 6 Lakhs</t>
  </si>
  <si>
    <t xml:space="preserve"> ₹7,999 worth Noise Smartwatch</t>
  </si>
  <si>
    <t>11/03/2026 - Although master sorting sheet mentions "Noise Smartwatch worth ₹7,999" but because we've taken "Rs. 7999" in the Title which appears before "Noise Smartwatch worth", therefore we need to change it to "worth Noise Smartwatch" just for the order of words to be correct.
02/03/2026 - It should be ₹7,999 in the title and "worth Noise Smartwatch" in the subtitle - https://www.loom.com/i/35255a6acf234641af64fc65cff6aec3</t>
  </si>
  <si>
    <t>Rs. 3 Lakhs</t>
  </si>
  <si>
    <t>12,000 Bonus Reward Points</t>
  </si>
  <si>
    <t>02/03/2026 - comma before the 3 zeros missing as per the Number system formatting - https://www.loom.com/i/f6b778b7c20e48fcb2a6f933f68e39d9</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</si>
  <si>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t>
  </si>
  <si>
    <t>8,000 Bonus Reward Points</t>
  </si>
  <si>
    <t>02/03/2026 - comma before the 3 zeros missing as per the Number system formatting - https://www.loom.com/i/2bb92bc38df84ce89478c37228e9fe48</t>
  </si>
  <si>
    <t>All Pages</t>
  </si>
  <si>
    <t>All</t>
  </si>
  <si>
    <t>02/03/2026 - Instead of "Lac" it should be "Lakhs" - https://www.loom.com/i/a62b17680b4845dea2f9d487f27d81a1</t>
  </si>
  <si>
    <t>Rs. 5 Lakhs</t>
  </si>
  <si>
    <t>20,000 Bonus Reward Points</t>
  </si>
  <si>
    <t>02/03/2026 - comma before the 3 zeros missing as per the Number system formatting - https://www.loom.com/i/6d4333ccb79743ea9329429797e650c7</t>
  </si>
  <si>
    <t>1 Companion Voucher</t>
  </si>
  <si>
    <t>09/03/2026 - "1 Companion" needs to be in the title and ""Voucher"" in the sub 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</si>
  <si>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Mobile Phones (width &lt;= 360px)</t>
  </si>
  <si>
    <t>5,000 Etihad Guest Miles</t>
  </si>
  <si>
    <t>02/03/2026 - comma before the 3 zeros missing as the Number System Formatting</t>
  </si>
  <si>
    <t>02/03/2026 - Content for this Annual Spent is not in the master sorting file and author has used the Doctor's SBI Card (with IMA)'s milestone "Rs. 5,000 E-Gift" for this card.</t>
  </si>
  <si>
    <t>5,000 E-Gift Voucher</t>
  </si>
  <si>
    <t>Rs.1.5 Lakh</t>
  </si>
  <si>
    <t>1,500 Etihad Guest Miles</t>
  </si>
  <si>
    <t>Doctor's SBI Card In Association with IMA</t>
  </si>
  <si>
    <t>02/03/2026 - the symbol ₹ needs to be used and comma before the 3 zeros missing as the Number System Formatting</t>
  </si>
  <si>
    <t>02/02/2026 - No Benefit found for Rs. 2 Lakhs milestone on the master sorting card but still "Waiver of Renewal Fee" is found on sbi-pvt</t>
  </si>
  <si>
    <t>Rs. 2,000 E Gift Voucher</t>
  </si>
  <si>
    <t>02/03/2026 - Instead of Rs., the symbol ₹ needs to be used and comma before the 3 zeros missing as the Number System Formatting</t>
  </si>
  <si>
    <t>1 Premium Economy Ticket*</t>
  </si>
  <si>
    <t>09/03/2026 - "1 Premium" needs to be in the Title &amp; "Economy Ticket*"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</si>
  <si>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Desktops, Mobile Phones</t>
  </si>
  <si>
    <t>Truncated Content</t>
  </si>
  <si>
    <t>Rs. 1.5 Lakh</t>
  </si>
  <si>
    <t>06/03/2026 - As discussed with Namita ma'am on SBI Daily Connect Call, if there are no milestones mentioned in the master sheet then no text animation or bar is required. Therefore marking this instance as closed.
02/03/2026 - Content - milestone &amp; benefit not present in the master sorting sheet.</t>
  </si>
  <si>
    <t>Rs. 50k</t>
  </si>
  <si>
    <t>2,500 Reward Points</t>
  </si>
  <si>
    <t>Rs. 1 Lakh</t>
  </si>
  <si>
    <t>5,000 Reward Points</t>
  </si>
  <si>
    <t>3,000 KrisFlyer Miles</t>
  </si>
  <si>
    <t>Rs. 2.5 Lakhs</t>
  </si>
  <si>
    <t>Tier upgrade to KrisFlyer Elite Silver Membship</t>
  </si>
  <si>
    <t>09/03/2026 - As discussed with Arun sir, this is one of the instance that cannot be handled by breaking it and adjusting into titles &amp; sub-titles therefore it needs to be shortened. Hence changing the Assigned to column value from Neha Jain ma'am to Arun sir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</si>
  <si>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02/03/2026 - Benefit not provided for 10 Lakh Milestone in master sorting sheet, currently 3,000 KrisFlyer Miles appears on 10 Lakh Milestone</t>
  </si>
  <si>
    <t>10,000 KrisFlyer Miles</t>
  </si>
  <si>
    <t>Rs. 7.5 Lakhs</t>
  </si>
  <si>
    <t>Tier upgrade to KrisFlyer Elite Gold Membship</t>
  </si>
  <si>
    <t>Rs. 3000 Yatra Voucher</t>
  </si>
  <si>
    <t>11/03/2026 - As discussed on content discussion call, the word "Worth" is not required and needs to be removed.
02/03/2026 - The symbol ₹ needs to be used and comma before the 3 zeros missing as the Number System Formatting</t>
  </si>
  <si>
    <t>PayTM SBI Card Select</t>
  </si>
  <si>
    <t>Rs. 4 Lakhs</t>
  </si>
  <si>
    <t>Rs. 2000 E Voucher</t>
  </si>
  <si>
    <t>Rs. 4000 E Voucher</t>
  </si>
  <si>
    <t>Rs. 15 Lakhs</t>
  </si>
  <si>
    <t>Additional Domestic Lounge visit</t>
  </si>
  <si>
    <t>09/03/2026 - Word "Additional" should be in the Title and "Domestic Lounge Visit" in the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</si>
  <si>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All Devices</t>
  </si>
  <si>
    <t>All Sizes</t>
  </si>
  <si>
    <t>Rs. 12 Lakhs</t>
  </si>
  <si>
    <t>20,000 Bonus Travel Credits</t>
  </si>
  <si>
    <t>6,000 Indigo Bluchips</t>
  </si>
  <si>
    <t>Rs. 9 Lakhs</t>
  </si>
  <si>
    <t>Rs. 80K</t>
  </si>
  <si>
    <t>Rs. 1,000 Reliance Retail Voucher</t>
  </si>
  <si>
    <t>02/03/2026 - The symbol ₹ needs to be used and comma before the 3 zeros missing as the Number System Formatting</t>
  </si>
  <si>
    <t>Rs. 50K</t>
  </si>
  <si>
    <t>Rs. 750 Reliance Retail Voucher</t>
  </si>
  <si>
    <t>02/03/2026 - The symbol ₹ needs to be used</t>
  </si>
  <si>
    <t>Rs. 25K</t>
  </si>
  <si>
    <t>Rs. 500 Reliance Retail Voucher</t>
  </si>
  <si>
    <t>Rs. 25K, 50K, 80K</t>
  </si>
  <si>
    <t>Reliance Retail Voucher</t>
  </si>
  <si>
    <t>2,500 Indigo Bluchips</t>
  </si>
  <si>
    <t>Rs. 75K</t>
  </si>
  <si>
    <t>Rs. 1,500 Reliance Retail Voucher</t>
  </si>
  <si>
    <t>Rs. 150K</t>
  </si>
  <si>
    <t>Rs. 2,250 Reliance Retail Voucher</t>
  </si>
  <si>
    <t>Rs. 5000 Reliance Retail Voucher</t>
  </si>
  <si>
    <t>Rs. 75K, 150K, 3 Lakhs</t>
  </si>
  <si>
    <t>Repeated Milestone</t>
  </si>
  <si>
    <t>02/03/2026 - The 3 Lakhs milestone appears before Rs. 75K &amp; Rs. 150K even though being a greater amount and also appears thrice - https://www.loom.com/i/11c8ad67653d49de824bb23f3c270b26</t>
  </si>
  <si>
    <t>Rs. 5,000 Yatra Voucher</t>
  </si>
  <si>
    <t>e-Voucher - Paytm First Membership Renewal</t>
  </si>
  <si>
    <t>Small, Default</t>
  </si>
  <si>
    <t>09/03/2026 - As discussed with Arun sir, this is one of the instance that cannot be handled by breaking it and adjusting into titles &amp; sub-titles therefore it needs to be shortened. Hence changing the Assigned to column value from Neha Jain ma'am to Namita Ma'am in order to discussion and get a confirmation.
06/03/2026 - As discussed with Namita ma'am, the whole benefit is authored in the title itself. Instead title should only have 1 or 2 words and the rest should go in the sub-title. Therefore this needs to be done by the content authoring team, hence assigning to Neha Jain</t>
  </si>
  <si>
    <t>Default, Large</t>
  </si>
  <si>
    <t>Rs. 50K in a Quarter</t>
  </si>
  <si>
    <t>Rs. 1,000 Pizza Hut E-Voucher</t>
  </si>
  <si>
    <t>Rs. 7,000 e-Gift Voucher</t>
  </si>
  <si>
    <t>5,000 Bonus Travel Credits</t>
  </si>
  <si>
    <t>Rs. 8 Lakhs</t>
  </si>
  <si>
    <t>10,000 Bonus Travel Credits</t>
  </si>
  <si>
    <t>Rs. 500 Cashback</t>
  </si>
  <si>
    <t>Rs. 1 &amp; 2 Lakhs</t>
  </si>
  <si>
    <t>Rs. 2,000 e-Vouchers for Cleartrip / Yatra</t>
  </si>
  <si>
    <t>10/02/2026 - The comma formatting is not done for 2nd Milestone Benefit (2 Lakhs) - https://www.loom.com/i/433004aded724f3e8fc11de99bf68f55
06/03/2026 - The symbol ₹ needs to be used and comma before the 3 zeros missing as the Number System Formatting</t>
  </si>
  <si>
    <t>Reopen</t>
  </si>
  <si>
    <t>09/03/2026 - "Rs. 2000" needs to be in the title &amp; "e-Vouchers for Cleartrip / Yatra" in the sub-title element</t>
  </si>
  <si>
    <t>Content Missing</t>
  </si>
  <si>
    <t>Annual Fee Waiver</t>
  </si>
  <si>
    <t>09/03/2026 - Word "Annual" needs to be in the Title and "Fee Waiver" in the sub-title element.</t>
  </si>
  <si>
    <t>Rs. 5 &amp; 10 Lakhs</t>
  </si>
  <si>
    <t>Rs. 5,000 E-voucher of select Tata brands</t>
  </si>
  <si>
    <t>09/03/2026 - "Rs. 5,000" needs to be in the title &amp; "E-voucher of select Tata brand" should be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</si>
  <si>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 50,000</t>
  </si>
  <si>
    <t>Rs. 500 Pizza Hut e-Voucher</t>
  </si>
  <si>
    <t>06/03/2026 - The bar tick for 1st Milestone - 50,000 should be written as 50K as we are following this formatting for every other bar.</t>
  </si>
  <si>
    <t>09/03/2026 - "Rs. 500" needs to be in the title &amp; "Pizza Hut e-Voucher"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</si>
  <si>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Rs.7,000 e-Gift Voucher for Yatra / Pantaloons</t>
  </si>
  <si>
    <t>09/03/2026 - "Rs. 7,000" needs to be in the title and "3-Gift Voucher for Yatra / Pantaloons" in the sub-title element.
06/03/2026 - As discussed with Namita ma'am, the whole benefit is authored in the title itself. Instead title should only have 1 or 2 words and the rest should go in the sub-title. Therefore this needs to be done by the content authoring team, hence assigning to Neha Jain</t>
  </si>
  <si>
    <t>Section Heading - "Fee &amp; Charges" to be changed to "Fees and Charges"</t>
  </si>
  <si>
    <t>Tab label to be changed from "FAQ" to "FAQs"</t>
  </si>
  <si>
    <t>Tab label to be changed from "Fees" to "Fees &amp; Charges"</t>
  </si>
  <si>
    <t>Tab label to be changed from "Fee &amp; Charges" to "Fees &amp; Charges"</t>
  </si>
  <si>
    <t>Space needs to be added between "Rs." &amp; the Price of the card. For ex: "Rs. 499" instead of "Rs.499"</t>
  </si>
  <si>
    <t>Landmark SBI Card Select</t>
  </si>
  <si>
    <t>Ola Money SBI Card</t>
  </si>
  <si>
    <t>Defect No</t>
  </si>
  <si>
    <t>Date</t>
  </si>
  <si>
    <t>Browser</t>
  </si>
  <si>
    <t>Stage</t>
  </si>
  <si>
    <t>Defect Type</t>
  </si>
  <si>
    <t>Steps to Reproduce</t>
  </si>
  <si>
    <t>Description</t>
  </si>
  <si>
    <t>Issue Screenshot/Recording</t>
  </si>
  <si>
    <t>Expected Result/ Design Reference</t>
  </si>
  <si>
    <t>Reported By</t>
  </si>
  <si>
    <t>Dev Status</t>
  </si>
  <si>
    <t>Dev Remark</t>
  </si>
  <si>
    <t>QA Status</t>
  </si>
  <si>
    <t>Last Updated</t>
  </si>
  <si>
    <t>HTML QA Status</t>
  </si>
  <si>
    <t>UAT_HP_001</t>
  </si>
  <si>
    <t>28/12/2025</t>
  </si>
  <si>
    <t>All Browsers</t>
  </si>
  <si>
    <t>Content</t>
  </si>
  <si>
    <t>Hero Section --&gt; 3rd Slide --&gt; Apply Button</t>
  </si>
  <si>
    <t>The button label is "Apply More" instead of "Apply Now"</t>
  </si>
  <si>
    <t>https://www.loom.com/i/639996bc50564a43a90d170ae2d29ef3</t>
  </si>
  <si>
    <t>https://www.loom.com/i/fb314dbf047d49f9aae513fdc6c19f6d</t>
  </si>
  <si>
    <t>Sampreet</t>
  </si>
  <si>
    <t>Content related issue. Hence on Hold
23/01/2026 - Resolved on call</t>
  </si>
  <si>
    <t>UAT_HP_002</t>
  </si>
  <si>
    <t>Hero Section --&gt; All Slides --&gt; CTA buttons (Apply now, See benefits)</t>
  </si>
  <si>
    <t>The button labels are not capitalized.</t>
  </si>
  <si>
    <t>https://www.loom.com/i/1535338797a640818268f54c45502abe</t>
  </si>
  <si>
    <t>https://www.loom.com/i/7e6a7962e45b47d2aa3e92bb4e937575</t>
  </si>
  <si>
    <t>Content related issue. Hence on Hold</t>
  </si>
  <si>
    <t>UAT_HP_003</t>
  </si>
  <si>
    <t>Hero Section --&gt; First Slide --&gt; Heading</t>
  </si>
  <si>
    <t>Slide heading - "Welcome to the world of amazing cashback" font color needs to be yellow</t>
  </si>
  <si>
    <t>https://www.loom.com/i/e8b4f2b1f78648929e16bb6c178ae667</t>
  </si>
  <si>
    <t>https://www.loom.com/i/2e59ef7046a94dcfae326052b9e99505</t>
  </si>
  <si>
    <t>UAT_HP_004</t>
  </si>
  <si>
    <t>Hero Section --&gt; 3rd Slide --&gt; Heading</t>
  </si>
  <si>
    <t>The word "Card" in the heading "Best Travel Card" needs to be capitalized</t>
  </si>
  <si>
    <t>https://www.loom.com/i/1dc7142a6c724ef99605d571e9212c01</t>
  </si>
  <si>
    <t>https://www.loom.com/i/0992af6606c2460e868e1e4a3c3e2211</t>
  </si>
  <si>
    <t>UAT_HP_005</t>
  </si>
  <si>
    <t>Accessibility Bar --&gt; Limited Offer</t>
  </si>
  <si>
    <t>The word "Default" appears before "Limited Offer"</t>
  </si>
  <si>
    <t>https://www.loom.com/i/82e5bf95e8844c63bf46b835f71fd14d</t>
  </si>
  <si>
    <t>UAT_HP_006</t>
  </si>
  <si>
    <t>Accessibility Bar --&gt;Limited Offer</t>
  </si>
  <si>
    <t>The gift card worth "₹5" is mentioned instead of "₹500*"</t>
  </si>
  <si>
    <t>https://www.loom.com/i/6a9e0b6b469343ea8e4054c10d311181</t>
  </si>
  <si>
    <t>UAT_HP_007</t>
  </si>
  <si>
    <t>Accessibility Bar --&gt; Skip to the main menu</t>
  </si>
  <si>
    <t>The hyphen "-" appears twice before "Skip to the main menu"</t>
  </si>
  <si>
    <t>https://www.loom.com/i/2c94f61d86f64978b40ca8a7c458cbe2</t>
  </si>
  <si>
    <t>UAT_HP_008</t>
  </si>
  <si>
    <t>Version</t>
  </si>
  <si>
    <t>Get More with SBI card --&gt; Click on any of the 4 tabs on the left</t>
  </si>
  <si>
    <t>Clicking on any of the 4 tabs on the left should only change the content &amp; image but it also takes the user to the top of the page</t>
  </si>
  <si>
    <t>https://www.loom.com/share/bf4392f7317348f1abffc55e9c80a4f9</t>
  </si>
  <si>
    <t>29/1/2026</t>
  </si>
  <si>
    <t>5/1/2026 - When the UAT gets updated to v54</t>
  </si>
  <si>
    <t>UAT_HP_009</t>
  </si>
  <si>
    <t>Get More with SBI card --&gt; 2nd &amp; 3rd &amp; 4th tabs on the left</t>
  </si>
  <si>
    <t>The "Learn More" hyperlink is missing.</t>
  </si>
  <si>
    <t>https://www.loom.com/i/8600e596fee8408b86ebb80afaf9d66b</t>
  </si>
  <si>
    <t>https://www.loom.com/i/f2b3570ea5384656ae18443a1d74a5c8</t>
  </si>
  <si>
    <t>UAT_HP_010</t>
  </si>
  <si>
    <t>Footer --&gt; Important Links</t>
  </si>
  <si>
    <t>3 Hyperlinks missing - Credit Card Issuance &amp; Conduct Policy, Fair Practice Code, Forms Central</t>
  </si>
  <si>
    <t>https://www.loom.com/i/0fbd3f45a9224042a11bc65b05792b52</t>
  </si>
  <si>
    <t>https://www.loom.com/i/bc368accb1b943a9b2f0b15fd8d68453</t>
  </si>
  <si>
    <t>UAT_HP_011</t>
  </si>
  <si>
    <t>Language Hindi --&gt; Sub Navigation Pane below the Hero section --&gt; Utility Bills Payment icon</t>
  </si>
  <si>
    <t>When language is changed to hindi, the utility bills payment CTA starts to show Rs. icon instead of its own icon.</t>
  </si>
  <si>
    <t>https://www.loom.com/i/2829e877e37f4dd291ba21cc57f34a1d</t>
  </si>
  <si>
    <t>https://www.loom.com/i/346ad77bb3c446189e36810cbfa03b9b</t>
  </si>
  <si>
    <t>UAT_HP_012</t>
  </si>
  <si>
    <t>Language Hindi --&gt; Secondary Header --&gt; Tabs with drop down arrows</t>
  </si>
  <si>
    <t>Hover above each drop down tab to check the content is not translated to Hindi and is also missing content</t>
  </si>
  <si>
    <t>https://www.loom.com/share/eac148037b914cbd9eec7212438fa8f4</t>
  </si>
  <si>
    <t>UAT_HP_013</t>
  </si>
  <si>
    <t>Padding</t>
  </si>
  <si>
    <t>Language Hindi --&gt; Hero Section --&gt; सर्वश्रेष्ठ ट्रैवल कार्ड</t>
  </si>
  <si>
    <t>When in hindi, the heading "सर्वश्रेष्ठ ट्रैवल कार्ड" is too close to the image above</t>
  </si>
  <si>
    <t>https://www.loom.com/i/01d085c9b09f46f5bc174e6755603939</t>
  </si>
  <si>
    <t>Bharat</t>
  </si>
  <si>
    <t>06/02/2026 - Hindi page issues are not being addressed in this release therefore kept on hold.
5/1/2026 - Also occurring in the benchmark HTML. Hence, On Hold</t>
  </si>
  <si>
    <t>Pending</t>
  </si>
  <si>
    <t>UAT_HP_014</t>
  </si>
  <si>
    <t>Language Hindi --&gt; EMI &amp; More</t>
  </si>
  <si>
    <t>"ATM Cash" card &amp; 5th - 6th card doesn't remain when user changes the language to hindi</t>
  </si>
  <si>
    <t>https://www.loom.com/share/22501c7eb8a44162beeb8d6e41eb2ee3</t>
  </si>
  <si>
    <t>UAT_HP_015</t>
  </si>
  <si>
    <t>Language Hindi --&gt; Logo Menus (below accessibility bar) --&gt; Login --&gt; Fogot password &amp; New User? Register Now buttons &amp; Hyperlinks below</t>
  </si>
  <si>
    <t>Fogot password &amp; New User? Register Now buttons &amp; Hyperlinks below do not get translated to hindi</t>
  </si>
  <si>
    <t>https://www.loom.com/i/b06f7779551a45ea95c40fa802cc38df</t>
  </si>
  <si>
    <t>UAT_HP_016</t>
  </si>
  <si>
    <t>Logo Menus (below accessibility bar) --&gt; Help</t>
  </si>
  <si>
    <t>The help drop down is missing the following hyperlinks - Terms &amp; Conditions, Raise a Dispute, Request For Card Closure, Report Lost Card, Digital Platform Updates, Link PAN with Adhaar, Contact Us. Also, the "Contact Us" hyperlink doesn't get translated to hindi</t>
  </si>
  <si>
    <t>https://www.loom.com/i/8ffe8404b9a448b98c08b71e62fc6180</t>
  </si>
  <si>
    <t>https://www.loom.com/i/3d2cb3beb01b4d628f240567295ab062</t>
  </si>
  <si>
    <t>UAT_HP_017</t>
  </si>
  <si>
    <t>Why SBI Card? --&gt; Heading</t>
  </si>
  <si>
    <t>The heading "Why SBI Card?" has 2 question marks instead of 1</t>
  </si>
  <si>
    <t>https://www.loom.com/i/bcd7751566004a89b70d982ab67fb7d5</t>
  </si>
  <si>
    <t>UAT_HP_018</t>
  </si>
  <si>
    <t xml:space="preserve">Header secondary menu --&gt; Pay Card Bills </t>
  </si>
  <si>
    <t>The drop down label needs to be "Pay Card Bills" instead of "Pay Cards Bill"</t>
  </si>
  <si>
    <t>https://www.loom.com/i/b790d08b26fe4b6ca95c5a94cc678f9a</t>
  </si>
  <si>
    <t>https://www.loom.com/i/2f310b6193f7458c90c8cc96268dd8a9</t>
  </si>
  <si>
    <t>UAT_HP_019</t>
  </si>
  <si>
    <t>Language Hindi --&gt;Section position</t>
  </si>
  <si>
    <t>When the language is Hindi, the Why SBI Card? section appears above the "EMI &amp; More" section</t>
  </si>
  <si>
    <t>https://www.loom.com/i/581b541551e64b71af595c91ae7a8e45</t>
  </si>
  <si>
    <t>UAT_HP_020</t>
  </si>
  <si>
    <t>Mobile Phones</t>
  </si>
  <si>
    <t>Layout</t>
  </si>
  <si>
    <t xml:space="preserve">Language English --&gt; Why SBI Card? --&gt; Card - Active Credit Card Users </t>
  </si>
  <si>
    <t>The card "Active Credit Card Users"  overflows because of the card having extra content than it can have.</t>
  </si>
  <si>
    <t>https://www.loom.com/i/a0dd5753ba1049348f2ee49d453a2cf5</t>
  </si>
  <si>
    <t>https://www.loom.com/i/a5d03755f6054d99b0b58836285286c1</t>
  </si>
  <si>
    <t>Arun</t>
  </si>
  <si>
    <t>19/01/2026</t>
  </si>
  <si>
    <t>06/02/2026 - As the design and content is changed, this bug is no longer valid. Therefore closing this and adding a new bug.
29/01/2026 - As per discussion with Namita ma'am, purple card's content needs to be updated. 27+ Yrs - Of Making Life Simple
19/01/2026 - As per Neha ma'am on call, the content needs to be reduced and therefore this needs to be assigned to Vijaita
05/01/2026 - Also occurring in the benchmark HTML. Hence, Closed.</t>
  </si>
  <si>
    <t>UAT_HP_021</t>
  </si>
  <si>
    <t>Link</t>
  </si>
  <si>
    <t>Why SBI Card? --&gt; All Cards --&gt; Extra Link</t>
  </si>
  <si>
    <t>The extra link was decided to be removed from the cards but it is still present</t>
  </si>
  <si>
    <t>https://www.loom.com/i/484f454f70c14e6c8d08e53e091434cc</t>
  </si>
  <si>
    <t>Rejected</t>
  </si>
  <si>
    <t>Design got changed</t>
  </si>
  <si>
    <t>05/02/2026 - The extra link no longer visible in case of mobile phones as well therefore closing this issue. But the anchor is still present in the element which gets focused when navigating through keyboard tab and a separate bug with accessibility tagging is already on Hold for it for the time being because all accessibility bugs are decided to be fixed in the next release.
05/01/2026 - As per Dheeraj - When the UAT gets updated to v54 this would get fixed. v54 is to be deployed in next release</t>
  </si>
  <si>
    <t>UAT_HP_022</t>
  </si>
  <si>
    <t>W3C Validation</t>
  </si>
  <si>
    <t>Entire Website</t>
  </si>
  <si>
    <t>The website has 53 HTML errors as per the W3C validator - https://validator.w3.org/nu/</t>
  </si>
  <si>
    <t>https://www.loom.com/i/3e5e557e289949cba05e13ebfb056923</t>
  </si>
  <si>
    <t>24/02/2026 - This issue is already resolved</t>
  </si>
  <si>
    <t>24/02/2026</t>
  </si>
  <si>
    <t>24/02/2026 - As discussed on call, SBI team will check and identify why the doctype instance fails on the validator but get cleared in case of new HTML
06/02/2026 - Fixed on HTML, need to be implemented on UAT
29/01/2026 - As of now, only 1 error left - HTML Doctype missing.
05/01/2026 - Exists in the HTML v49</t>
  </si>
  <si>
    <t>Fixed</t>
  </si>
  <si>
    <t>UAT_HP_023</t>
  </si>
  <si>
    <t>Accessibility</t>
  </si>
  <si>
    <t>37 accessibility instances failed when tested with automated accessibility checker plug in - https://accessibilityinsights.io/</t>
  </si>
  <si>
    <t>https://www.loom.com/i/6c36f4f670804c0d925e80afc1b84959</t>
  </si>
  <si>
    <t>30/01/2026</t>
  </si>
  <si>
    <t>30/01/2026 - As discussed on call, accessibility issues are to be kept on hold for now and to be picked in the next release.
28/01/2026 - Apart from the header and footer accessibility instance fails, 13 instances still fail that are related to page sections - 
https://www.loom.com/i/b8fcf1e57fe241199fa4758ad33778f4
https://www.loom.com/i/ed047e37e91341e7ae0eedf3a2844f41
https://www.loom.com/i/2e31f54a41e54c60853b16e94c4e0e75
5/1/2026 - Exists in the HTML v49</t>
  </si>
  <si>
    <t>UAT_HP_024</t>
  </si>
  <si>
    <t>Windows Narrator --&gt; EMI &amp; More --&gt; Focus on each card</t>
  </si>
  <si>
    <t>When in focus it just narrates the card index and mentions it as "group" instead of mentioning it as "Link" and then proceeding to read the heading &amp; sub headings of the card. Check the actual vs expected result recordings attached</t>
  </si>
  <si>
    <t>https://www.loom.com/share/85e0f9dfd7564da9805b1d0f6bff3777</t>
  </si>
  <si>
    <t>https://www.loom.com/share/006cd6d170f543d69c537db3521839ca</t>
  </si>
  <si>
    <t>30/01/2026 - As discussed on call, accessibility issues are to be kept on hold for now and to be picked in the next release.
29/01/2026 - Javascrip has been provided to Dheeraj for arias that need to 
05/01/2026  - When the UAT gets updated to v54</t>
  </si>
  <si>
    <t>UAT_HP_025</t>
  </si>
  <si>
    <t>Windows Narrator --&gt; Get More with SBI card --&gt; Focus on each Tab on the left</t>
  </si>
  <si>
    <t>When any of the left side tab is focused, its name is narrated twice.</t>
  </si>
  <si>
    <t>https://www.loom.com/share/3f5775bf043e4d63987a231a5817eb39</t>
  </si>
  <si>
    <t>https://www.loom.com/share/0ae4a5e75624469aacd7ccad0328f559</t>
  </si>
  <si>
    <t>29/01/2026</t>
  </si>
  <si>
    <t>29/01/2026 - As discussed on call with Namita ma'am, Neha Laddha ma'am and Dheeraj, it is not actually reading the tab twice but it is reading the alt text for the icon present with the tab which is intended behaviour. Hence closing this issue.
5/1/2026 - When the UAT gets updated to v54</t>
  </si>
  <si>
    <t>UAT_HP_026</t>
  </si>
  <si>
    <t>Touch Screen Devices</t>
  </si>
  <si>
    <t>Interaction</t>
  </si>
  <si>
    <t>Open UAT url on a touch screen device --&gt; Use the pinch gesture to zoom in or out on the page</t>
  </si>
  <si>
    <t>Touch screen users unable to zoom in or out on the page using the pinch gesture. This happens for all pages.</t>
  </si>
  <si>
    <t>https://www.loom.com/share/7ebb6a8eba124d14a7982e709aebabf5</t>
  </si>
  <si>
    <t>No discussion required</t>
  </si>
  <si>
    <t>09/02/2026 - Issue Resolved - https://www.loom.com/share/9e991917b2004bc9a44d190a21d0f907</t>
  </si>
  <si>
    <t>UAT_HP_027</t>
  </si>
  <si>
    <t>Desktops / iPads / Tablets</t>
  </si>
  <si>
    <t xml:space="preserve">Why SBI Card? ---&gt; Scroll over the last card --&gt; Check if instead of the next section appearing, blank space appears and the Why SBI card? section appears again with </t>
  </si>
  <si>
    <t xml:space="preserve">While scrolling down the "Why SBI Card?" section, the next section should appear as user scroll down through the last card but instead empty space is noticed with the same section appearing again with all the cards clipped together. User as to scroll through again to reach the next section. Check the recording for better understanding. </t>
  </si>
  <si>
    <t>https://www.loom.com/share/c77b77f98b9641d1a8cf54a94e85706e</t>
  </si>
  <si>
    <t>16/02/2026</t>
  </si>
  <si>
    <t>16/02/2026 - Bug no longer valid as the design is now changed.
29/01/2026 - For the time being mobile view will be used even in case of desktop the issue is unable to get fixed. As per the discussion on call with Namita ma'am, this bug is therefore kept on hold.</t>
  </si>
  <si>
    <t>UAT_HP_028</t>
  </si>
  <si>
    <t>Keyboard Accessibility / Windows Narrator --&gt; Why SBI Card?</t>
  </si>
  <si>
    <t>While navigating through keyboard tab, the focus gets on Why SBI Card? section and the narrator mentions "link" even though their is no specific element like link or button that should be in the logical order of the keyboard tab.</t>
  </si>
  <si>
    <t>https://www.loom.com/share/35d75fe354f24896ac1633ab903d5a14</t>
  </si>
  <si>
    <t>30/01/2026 - As discussed on call, accessibility issues are to be kept on hold for now and to be picked in the next release.
29/01/2026 - As demonstrated on call, the focus shifts to each of the cards in the stack of "Why SBI Card?" even if there is no focusable element visible on the card. Dheeraj checked and confirmed there is no anchor tab that is hidden and getting focused on but sampreet mentioned that keyboard tab does get the cards in focus and windows narrator as well announces something. Team will check and update.</t>
  </si>
  <si>
    <t>UAT_HP_029</t>
  </si>
  <si>
    <t>Touch Devices --&gt; Explore our cards --&gt; Slide through swipe gesture on the credit card images.</t>
  </si>
  <si>
    <t>On the touch screen devices, when user swipes on the credit card images to change slides, sometimes the card doesn't get uplifted when the slide is changed.</t>
  </si>
  <si>
    <t>https://www.loom.com/share/a3c08127bd6b4925b6367a00cb81af41</t>
  </si>
  <si>
    <t>16/02/2026 - Fixed on devsit1</t>
  </si>
  <si>
    <t>17/02/2026</t>
  </si>
  <si>
    <t>17/02/2026 - The issue is now resolved on devsit1 - https://www.loom.com/share/f732e6a737c94427a7294c15dd32e679
17/02/2026 - This was marked as fixed on Devsit1 but when checked (even on incognito mode) this issue is still not resolved.
09/02/2026 - Make sure to perform the swipe gesture slowly on the card image itself instead of anywhere else and sometimes the slide will swipe but the card will not uplift. This is a valid bug as observed by Namita ma'am as well.
05/02/2026 - Make sure to perform the swipe gesture slowly on the card image itself instead of anywhere else and sometimes the slide will swipe but the card will not uplift. This is a valid bug as observed by Namita ma'am as well.
04/02/2026 - Make sure to perform the swipe gesture slowly on the card image itself instead of anywhere else and sometimes the slide will swipe but the card will not uplift. This is a valid bug as observed by Namita ma'am as well.
21/01/2026 - Swipe the card images and see 1 out of 5 times the slider gets changed but the card image doesn't get uplifted.</t>
  </si>
  <si>
    <t>UAT_HP_030</t>
  </si>
  <si>
    <t>Margin</t>
  </si>
  <si>
    <t>Explore our cards --&gt; Card content block --&gt; Gap between each bullet point</t>
  </si>
  <si>
    <t>The gap between each bullet point is less than required. In HTML v49, mb-2 class is used to get a bottom margin below the bullet points.</t>
  </si>
  <si>
    <t>https://www.loom.com/i/863baa9243d345638053e66e53270c89</t>
  </si>
  <si>
    <t>https://loom.com/i/3008f106ed3f4d4d9217e6447a9e2b49</t>
  </si>
  <si>
    <t>09-02-2026  Verified, please verify with version 54</t>
  </si>
  <si>
    <t>10/02/2026 - Issue Resolved - https://loom.com/i/fc6199bae2b6453e9d5889565939ada3
09/02/2026 - The mb-2 class is present for the element even in the v54. Please get this fixed
05/02/2026 - The mb-2 class is present for the element even in the v54. Please get this fixed
29/01/2026 - The issue also found in the HTML v54 therefore changed the tagging to HTML/CSS</t>
  </si>
  <si>
    <t>UAT_HP_031</t>
  </si>
  <si>
    <t>Firefox</t>
  </si>
  <si>
    <t>Missing</t>
  </si>
  <si>
    <t>Access any page (Home/Product Details) in firefox browser --&gt; Notice if the SBI card splash screen appears</t>
  </si>
  <si>
    <t>In case of firefox browser, the SBI logo on the splash screen doesn't appear before every page load/reload.</t>
  </si>
  <si>
    <t>https://www.loom.com/share/025756db13e64e34a34e9eaff97ec898</t>
  </si>
  <si>
    <t>23/02/2026</t>
  </si>
  <si>
    <t>23/02/2026 - Another issue already logged UAT_HP_60 for the loader. It is also reopened because the loader is working in correctly in case of firefox browser therefore closing this issue.
16/02/2026 - The loader has been provided and needs to be implemented. Once its done and it starts working fine on firefox as well, will close this issue.
14/01/2026 - Splash screen needs to be developed and shared, therefore the bug is on hold for now.</t>
  </si>
  <si>
    <t>UAT_HP_032</t>
  </si>
  <si>
    <t xml:space="preserve">EMI &amp; More section --&gt; Left &amp; Right slider buttons </t>
  </si>
  <si>
    <t>The left &amp; right slider buttons are now appearing on top of the cards.</t>
  </si>
  <si>
    <t>https://www.loom.com/i/e857ce20a8cf4000b4045bf7d1aabc18</t>
  </si>
  <si>
    <t>https://www.loom.com/i/1873e807643b46f0ac070479fbe65bd8</t>
  </si>
  <si>
    <t>13/01/2026</t>
  </si>
  <si>
    <t>Issue no longer appearing, hence closing.</t>
  </si>
  <si>
    <t>UAT_HP_033</t>
  </si>
  <si>
    <t>All Slider sections (EMI &amp; More, SBI Credit Card mobile App) --&gt; Slider dot colours</t>
  </si>
  <si>
    <t>EMI &amp; More section &amp; SBI Card Mobile App section slider dots no longer have the same colour they used to have. Instead of unselected and selected slides having - #636363 &amp; #9f9494, they have #000000 &amp; #007aff</t>
  </si>
  <si>
    <t>https://www.loom.com/i/7eafab8959874d71a5ef09ec36fa3065</t>
  </si>
  <si>
    <t>https://www.loom.com/i/fa8b46f9971c408485832567392263f6</t>
  </si>
  <si>
    <t>UAT_HP_034</t>
  </si>
  <si>
    <t xml:space="preserve">Explore Our Cards --&gt; Left &amp; Right slider buttons </t>
  </si>
  <si>
    <t>https://www.loom.com/i/b30517249e0849009c1eeae64a16455c</t>
  </si>
  <si>
    <t>https://www.loom.com/i/8f972c2c00f840f3a9241a2d4931592e</t>
  </si>
  <si>
    <t>UAT_HP_035</t>
  </si>
  <si>
    <t>Mobile Devices</t>
  </si>
  <si>
    <t>Gap</t>
  </si>
  <si>
    <t>Explore Our Cards --&gt; Card Image Container: tab-cards-item-block</t>
  </si>
  <si>
    <t>The gap between the tab headings and the card image is more than required because of static 250px height set for the card in focus.</t>
  </si>
  <si>
    <t>https://www.loom.com/i/e6fb2d266b874b6f92bf27983fe03722</t>
  </si>
  <si>
    <t>https://www.loom.com/i/3959031ca198497082f1a2d4e17be648</t>
  </si>
  <si>
    <t>09/02/2026 - As discussed on SBI Qucik HTML discussion call, the images size was increased intentionally therefore this is not a bug.
09/02/2026 - Need to discuss,  the card image size is larger when compared with v54 and therefore the gap between the tabs and the card images seems less then required - UAT/PVT - https://www.loom.com/i/f4aea9073986403faddc8d848ecd3639
HTML - https://www.loom.com/i/3d37929e50ea4caa875edd50ed80bab2
05/02/2026 - The issue is still the same - 
https://www.loom.com/i/fcd27786839040f997b183c99dd33aa2
https://www.loom.com/i/64a3bc9c25b84c12b0257a1b996409b9
04/02/2026 - The height should have been set to auto as it is in the HTML instead of being fixed at 185px.
https://www.loom.com/i/aef5df14c0b5480db573272b1dd693d9</t>
  </si>
  <si>
    <t>UAT_HP_036</t>
  </si>
  <si>
    <t>Explore Our Cards --&gt; Gap between the selected card images</t>
  </si>
  <si>
    <t>The gap between the selected card image &amp; the image prior to it seems less.</t>
  </si>
  <si>
    <t>https://www.loom.com/i/da829f531c194a189ad1b06751332106</t>
  </si>
  <si>
    <t>https://www.loom.com/i/2140543c3a454da5ad22b97f637348c6</t>
  </si>
  <si>
    <t>16/02/2026 - Fixed on devsit1
09-02-2026  Verified, please verify with version 54</t>
  </si>
  <si>
    <t xml:space="preserve">17/02/2026 - As discussed on UAT, regarding the orientation (horizontal/vertical) a separate bug needs to be logged as the gap is no longer a problem as reviewed on the call.Bug - UAT_HP_083 logged for this specific issue
17/02/2026 - In the mobile view, the card images that should appear horizontally still appear vertical. Another discussion was held to keep the images diagonal even in mobile view but that as well seems not yet implemented.
09/02/2026 - The card image size issue is also mentioned in UAT_HP_035 bug. But the landscape mode that needs to be followed for some of the card images is still not being followed as identified by Namita ma'am
04/02/2026 - Not sure if this is a content issue. Also, the credit card images are larger when compared with HTML. Card image (horizontal or vertical) is not handled - all card images are vertical - https://www.loom.com/i/66473808852a4fa9950bc541858a2b53
</t>
  </si>
  <si>
    <t>UAT_HP_037</t>
  </si>
  <si>
    <t>Explore Our Cards --&gt; Rotate to change to landscape mode --&gt; null appears between the 2 cards.</t>
  </si>
  <si>
    <t>On a real device when user rotates the phone from portrait to landscape, null appears between the cards. It only disappears when user refreshes the page or turns back to portrait mode. This issue also appears on product details page's "Similar Cards"</t>
  </si>
  <si>
    <t>https://www.loom.com/share/0ff02178b38247419bc35ff623b2dc8f</t>
  </si>
  <si>
    <t>14/01/2026</t>
  </si>
  <si>
    <t>No longer occurring.</t>
  </si>
  <si>
    <t>UAT_HP_038</t>
  </si>
  <si>
    <t>Explore Our Cards --&gt; Left &amp; Right slider buttons --&gt; Keyboard focus</t>
  </si>
  <si>
    <t>User remains unable to focus on the left &amp; right slider buttons using keyboard. Same issue is faced in the similar cards section of the product details page</t>
  </si>
  <si>
    <t>https://www.loom.com/share/1813107823a94ecf84cadf43cb4c6035</t>
  </si>
  <si>
    <t>https://www.loom.com/i/b9aaa4ba83ce452196a852cf8b384f2e</t>
  </si>
  <si>
    <t>30/01/2026 - As discussed on call, accessibility issues are to be kept on hold for now and to be picked in the next release.
29/01/2026 - As per Dheeraj, even if focus doesn't go to the slider buttons it doesn't cause any issue because user c</t>
  </si>
  <si>
    <t>UAT_HP_039</t>
  </si>
  <si>
    <t>Explore Our Cards --&gt; All Cards in the slider</t>
  </si>
  <si>
    <t>Benefits missing for the cards in the slider along with CTA like Apply Now &amp; See more Benefits for some of the cards.</t>
  </si>
  <si>
    <t>https://www.loom.com/i/77441823919944959862bbffbf5f1bb9</t>
  </si>
  <si>
    <t>Not able to reproduce</t>
  </si>
  <si>
    <t>21/01/2026</t>
  </si>
  <si>
    <t>The issue no appearing, hence resolved</t>
  </si>
  <si>
    <t>UAT_HP_040</t>
  </si>
  <si>
    <t>Image</t>
  </si>
  <si>
    <t>Explore Our Cards --&gt; Landmark Rewards SBI Card Select --&gt; Image</t>
  </si>
  <si>
    <t>The image's aspect ratio is inconsistent with the other credit card images used. As a result the CTA positioning gets affected.</t>
  </si>
  <si>
    <t>https://www.loom.com/i/d9a8ebde62a24fa88e87d51901da9397</t>
  </si>
  <si>
    <t>04/02/2026 - This bug was occurring earlier as evident in the screenshots. Marking this as resolved as this is no longer occurring.</t>
  </si>
  <si>
    <t>UAT_HP_041</t>
  </si>
  <si>
    <t>EMI &amp; More Section --&gt; Slowly scroll Down the whole section</t>
  </si>
  <si>
    <t>While slowly scrolling down the EMI &amp; More section, instead of the page going down normally and"Why SBI Card" section appearing slowly, it appears in an instant flash. Check the screen recording for better understanding.</t>
  </si>
  <si>
    <t>https://www.loom.com/share/ccdc86ff4f684b80b7413253787ca8df</t>
  </si>
  <si>
    <t>Design get changed</t>
  </si>
  <si>
    <t>16/02/2026 - Bug no longer valid as the design is now changed.
04/02/2026 - For the time being we are following the mobile layout for desktops and ipads/ tablets as well. Because we are unable to solve the issues in desktop version of this section. Hence keeping the bug on hold</t>
  </si>
  <si>
    <t>UAT_HP_042</t>
  </si>
  <si>
    <t>16/01/2026</t>
  </si>
  <si>
    <t>Why SBI Card --&gt; Scroll down</t>
  </si>
  <si>
    <t>While scrolling down the entire page slowly, the WHY SBI Card section sticks to the top and the rest of the page gets scrolled down. Therefore, in case of higher resolution systems (4K or Ultra HD screens) the Cards in the section do not stack completely up to 5 and in case of mid to small size screens the other screens can be seens scrolling down from the bottom (below the WHY SBI Card section) Check the recording for better understanding.</t>
  </si>
  <si>
    <t>https://www.loom.com/share/bad4caeb20c64073b55dfe88e8dd3dc7</t>
  </si>
  <si>
    <t>UAT_HP_043</t>
  </si>
  <si>
    <t>27/01/2026</t>
  </si>
  <si>
    <t>Get More with SBI card --&gt; Tabs on the Left --&gt; Credit Card Eligibility Criteria</t>
  </si>
  <si>
    <t>The tab label gets too close to the vertical gridline on the right. A certain gap/margin/padding should be maintained between the label and the vertical gridline</t>
  </si>
  <si>
    <t>https://www.loom.com/i/5969a50519904960ac4cdd7e386c84bd</t>
  </si>
  <si>
    <t>https://www.loom.com/i/8352a6da1cda46c29316598af1c0e83f</t>
  </si>
  <si>
    <t>18/02/2026</t>
  </si>
  <si>
    <t>18/02/2026 - The issue is resolved on devsit1 - https://loom.com/i/068ad23a9ccb4d8c8c0782c56845c589
06/02/2026 - verified it on the v3 HTML build but the issue still persists - https://www.loom.com/i/5fd12c4c8e5b4ef49d9bb92e2b61fef4
04/02/2026 - Content has been changed therefore this bug is no longer occurring by default. But if the content is increased, it does occur and it is also present in the benchmark HTML version therefore changing its tagging to HTML/CSS - 
https://www.loom.com/i/97b1260bd0f344a4b4cbe16e9dea0351</t>
  </si>
  <si>
    <t>UAT_HP_044</t>
  </si>
  <si>
    <t>Explore our Cards --&gt; Each Card Benefits --&gt; Benefit icons</t>
  </si>
  <si>
    <t>In case of desktops &amp; ipad/tablets, the benefit sentences are missing their respective icons.</t>
  </si>
  <si>
    <t>https://www.loom.com/i/c8d88adb160a4b54923abd27077bc0ea</t>
  </si>
  <si>
    <t>UAT_HP_045</t>
  </si>
  <si>
    <t>Alignment</t>
  </si>
  <si>
    <t>Explore our Cards --&gt; Each Card Benefits --&gt; 1st Benefit icon</t>
  </si>
  <si>
    <t>The first benefit icon is not vertically center aligned with its sentence on the right.</t>
  </si>
  <si>
    <t>https://www.loom.com/i/dae1d0d1d8954e04bb1aa2a9226c2452</t>
  </si>
  <si>
    <t>18/02/2026 - The issue is resolved on devsit1 - https://loom.com/i/f979e1668b474667b929d937f9c672bc
06/02/2026 - The issue is still not resolved - https://www.loom.com/i/6ac6692d79534172a62cb867cfc20da1
04/02/2026 - Tagging changed to HTML because issue also occurring in our HTML as well.</t>
  </si>
  <si>
    <t>UAT_HP_046</t>
  </si>
  <si>
    <t xml:space="preserve">Explore our Cards --&gt; Each Card --&gt; Gap between benefits &amp; CTAs below </t>
  </si>
  <si>
    <t>More than necessary gap found between the Benefit bullet points  and the CTAs</t>
  </si>
  <si>
    <t>https://www.loom.com/i/927d9b387b964e8b8bd9ec368004fb42</t>
  </si>
  <si>
    <t>23/02/2026 - The issue is resolved on devsit1 (In case of desktops &amp; iPads) - https://loom.com/i/2d91bffa1b2b4db08574cf712e35de4e
As discussed with Bharat on call, the issues is not fixed on mobile phones because of the height property still taking 130px height. He has fixed it and will be sending it across to get it implemented. Marking this issue as resolved for now and informing Arun sir.
06/02/2026 - The issue is only fixed in case of desktops &amp; iPads, need to be fixed for mobile phones as well
04/02/2026 - The bug is no longer occurring in case of large font. But as the font size is reduced to default or smallest, the gap between benefit bullet points and CTAs is noticeable and it is also present in the benchmark HTML version therefore changing its tagging to HTML/CSS - 
https://www.loom.com/i/cc389fd3f6764c22b59c43fed43665f7</t>
  </si>
  <si>
    <t>UAT_HP_047</t>
  </si>
  <si>
    <t>Style</t>
  </si>
  <si>
    <t>Explore our Cards --&gt; Recommended Cards &amp; Latest Launches Tab --&gt; Refresh the page</t>
  </si>
  <si>
    <t>Whenever user refreshes the page, increased font weight of both the tabs is noticed instead of only the one that is currently active. This goes normal as soon as user himself clicks or changes the tab.</t>
  </si>
  <si>
    <t>https://www.loom.com/share/f75e9662c33d499496e96647a351f15b</t>
  </si>
  <si>
    <t>UAT_HP_048</t>
  </si>
  <si>
    <t>All Pages --&gt; Text with Roboto as Font-Family</t>
  </si>
  <si>
    <t>Across all the pages through the websites, where ever the text font-family was Roboto, now has sans-sarif</t>
  </si>
  <si>
    <t>https://www.loom.com/i/bb1afaf2795d400fb82c66f4781330ea</t>
  </si>
  <si>
    <t>Neha Laddha</t>
  </si>
  <si>
    <t>11/03/2026 - Fixed on devsit1
23/02/2026 - Due to chatbot css
17/02/2026 - This is again, unresolved due to chatbot class
16/02/2026 - Fixed on devsit1</t>
  </si>
  <si>
    <t>11/03/2026 - The issue is resolved on devsit1 for all pages- https://www.loom.com/share/e8ff311bedaf4dfc86349dac5f3a83ce
 Will close this issue once it gets resolved on sbi-pvt
23/02/2026 - Will close this issue as soon as roboto font appears back instead of sans-sarif
17/02/2026 - The issue is still not resolved. Still font family sans-sarif in place of Roboto
04/02/2026 - When first verified this fix, it was resolved but then noticed again after some time that is has started reocurring.</t>
  </si>
  <si>
    <t>UAT_HP_049</t>
  </si>
  <si>
    <t>Keyboard Navigation ---&gt; Explore our Cards --&gt; Recommended Cards &amp; Latest Launches Tab</t>
  </si>
  <si>
    <t>When user navigates through keyboard tab and focuses on the mentioned tabs, the focus border doesn't appear.</t>
  </si>
  <si>
    <t>https://www.loom.com/i/df05d851e94e495bb7775bef18514ea0</t>
  </si>
  <si>
    <t>30/01/2026 - As discussed on call, accessibility issues are to be kept on hold for now and to be picked in the next release.
29/01/2026 - This issue also occurs on product details page's "Similar Card" section and the team needs to check and update what could be the reason for it as it is working in other environments.</t>
  </si>
  <si>
    <t>UAT_HP_050</t>
  </si>
  <si>
    <t>Keyboard Navigation ---&gt; EMI &amp; More --&gt; Change card focus until slider slides --&gt; Notice the position of the slider dots at the bottom</t>
  </si>
  <si>
    <t>While navigating through keyboard, user moves forward to next card focus and as soon as the slide is changed, the slider dot position goes to the left instead of remaining in the center. As a result, after all the cards, the focus never goes to the slider dots and they get skipped. Arrow &amp; dots should not be present for any slider if not more than 1 slide is in the section.</t>
  </si>
  <si>
    <t>https://www.loom.com/share/306f639482044f4a9903fc0117ffb4ba</t>
  </si>
  <si>
    <t>18/02/2026 - The issue is resolved on devsit1 - https://loom.com/i/9cbe3e630ce44aada0ce58321ae63814
 06/02/2026 - Fixed on HTML, need to be implemented on UAT</t>
  </si>
  <si>
    <t>UAT_HP_051</t>
  </si>
  <si>
    <t>Functional</t>
  </si>
  <si>
    <t>Get More with SBI card --&gt; Mobile Phones --&gt; Expand different accordion tabs --&gt; Check the image below the section title.</t>
  </si>
  <si>
    <t>In case of mobile phones, the Image below the section title doesn't change as the user expands different accordions then the first one.</t>
  </si>
  <si>
    <t>https://www.loom.com/i/3259934058874ddea44bf261d4b14673</t>
  </si>
  <si>
    <t>04/02/2026 - As per the discuss with the developer &amp; designer, it is confirmed that in case of mobile phones, same image was to be used. Therefore closing this issue.</t>
  </si>
  <si>
    <t>UAT_HP_052</t>
  </si>
  <si>
    <t>Why SBI Card --&gt; Stacked Cards --&gt;Left &amp; Right Slider buttons</t>
  </si>
  <si>
    <t>In case of desktops &amp; ipad/tablets, more than required gap between the card stack and the slider buttons can be observed.</t>
  </si>
  <si>
    <t>https://www.loom.com/i/427df69b61ba4710a2d6f67408b5c180</t>
  </si>
  <si>
    <t>https://www.loom.com/i/b00f5dea19e1416b83ffc0ea81bbf397</t>
  </si>
  <si>
    <t>09/02/2026 - The slider buttons are now closer in case of desktops &amp; iPads / Tablets - https://loom.com/i/133aef44d3f44d43b4b45ab1162d8de8</t>
  </si>
  <si>
    <t>UAT_HP_053</t>
  </si>
  <si>
    <t>iPads Pro, iPad Air</t>
  </si>
  <si>
    <t>PVT --&gt; iPad Pro/ iPad Air --&gt; Header sub navigation wrap --&gt; button labels</t>
  </si>
  <si>
    <t>The button label are lengthy and get to close together.</t>
  </si>
  <si>
    <t>https://www.loom.com/i/856607508af74c31804d30321fdcc054</t>
  </si>
  <si>
    <t>16/02/2026 - Fixed on pvt</t>
  </si>
  <si>
    <t>17/02/2026 - As discussed on call with Namita ma'am (UAT discussion call). The button labels had to be shortened like - "Card Payments" to "Payments" &amp; "Utility Bill Payment" to "Easy Bill Pay". This has created some breathing space between the labels in case of iPads. Although if font size is increased, the still get too close to each other but as confirmed on call, no further changes can be done on this HTML/CSS wise or content wise therefore closing this - 
https://loom.com/i/0ee4ee59780d462482b7fefd5d289e02</t>
  </si>
  <si>
    <t>UAT_HP_054</t>
  </si>
  <si>
    <t>iPads / Tablets --&gt; Get More with SBI Card section --&gt; Left side tabs</t>
  </si>
  <si>
    <t>The 4 tab labels on the left side get truncated.</t>
  </si>
  <si>
    <t>https://www.loom.com/i/6d57455155d446e2823deb349a16340a</t>
  </si>
  <si>
    <t>23/02/2026 - This issue was already resolved on 17/02/2026 but came in the list to verify again
17/02/2026 - The issue is resolved on devsit1 - 
https://loom.com/i/58bf2993318b43c7b619409ef827a2a4
But as it is still not resolved on pvt as mentioned in the observation sheet, therefore couldn't close it as it is a PVT bug - https://www.loom.com/i/76569c7771ca42f582db8c9b985e4f85</t>
  </si>
  <si>
    <t>UAT_HP_055</t>
  </si>
  <si>
    <t>PVT --&gt; Nu HTML Validator --&gt; https://validator.unl.edu/</t>
  </si>
  <si>
    <t>4 extra HTML error can be observed apart from the doctype error that was already in the devsit link</t>
  </si>
  <si>
    <t>https://www.loom.com/i/8ff99cc7b8834a00b4f72083b9289831</t>
  </si>
  <si>
    <t>23/02/2026 - We will pick this after the release as discussed on the call.</t>
  </si>
  <si>
    <t>23/02/2026 - As discussed on call, we will pick this after current release therefore putting this call on hold for now.</t>
  </si>
  <si>
    <t>UAT_HP_056</t>
  </si>
  <si>
    <t xml:space="preserve"> Mobile Footer Menu --&gt; Card Payment Tab</t>
  </si>
  <si>
    <t>The card payment tab appears close to the "Apply Now" button. This may be because each tab's width depends on the content size and the space between them is distributed evenly.</t>
  </si>
  <si>
    <t>https://www.loom.com/i/aa84c333aaa04b559ccd572223ed60d8</t>
  </si>
  <si>
    <t>13/02/2026 - Icon &amp; button position changed on HTML and screenshot shared. Rs. Icon shared as well.
09/02/2026 - Rs. symbol needs to be used instead of the current icon.</t>
  </si>
  <si>
    <t>UAT_HP_057</t>
  </si>
  <si>
    <t>Explore our Cards, EMI &amp; More Section --&gt; Auto Slide</t>
  </si>
  <si>
    <t>Both the mentioned sections do not auto slide. Also, in case of desktop, not only should they auto slide but should also pause if mouse is hovered on any of the slide/card and in case of mobile if tapped and holded</t>
  </si>
  <si>
    <t>https://www.loom.com/share/4bee97879c714c7d8fa72ac3b7a9370e</t>
  </si>
  <si>
    <t>24/02/2026 - As discussed on call,  this issue is not in any of the doc received till 16th Feb and as we are only picking fixes received till 16th Feb therefore the issue is not picked.</t>
  </si>
  <si>
    <t>24/02/2026 - Need to discuss with Arun sir/Namita ma'am in context to the dev remark</t>
  </si>
  <si>
    <t>UAT_HP_058</t>
  </si>
  <si>
    <t>Slider Dots</t>
  </si>
  <si>
    <t>Hero Section --&gt; Banner slider dots</t>
  </si>
  <si>
    <t>The Banner slider dots new css style has not yet been implemented -check the expected vs actual result. Bug logged as requested by Namita ma'am</t>
  </si>
  <si>
    <t>https://www.loom.com/i/ddcaf26c43cc42988e6020e1aa070218</t>
  </si>
  <si>
    <t>https://www.loom.com/i/20687d24b37a462e85cd0bc9f7f74dda</t>
  </si>
  <si>
    <t>17/02/2026 - Issue resolved on devsit1. As confirmed on mail, functional or UI/UX issues to be checked on closed on devsit1, therefore closing this  - https://www.loom.com/i/d6888a79577f4004b8a837978b1e8d74</t>
  </si>
  <si>
    <t>UAT_HP_059</t>
  </si>
  <si>
    <t xml:space="preserve">- </t>
  </si>
  <si>
    <t>Hero Banner</t>
  </si>
  <si>
    <t>Hero Section --&gt; Banner slides --&gt; Title &amp; T&amp;Cs</t>
  </si>
  <si>
    <t>The Banner slider titles still appear in all caps, the font size still not reduced and the T&amp;Cs at the right hand side is missing. Also need to have a browsable image option in case of Tablet background image - for the font size and caps. - check expected vs actual result -  Bug logged as requested by Namita ma'am</t>
  </si>
  <si>
    <t>https://www.loom.com/i/2b28fc5dcd494ad1941c24d458a76d80</t>
  </si>
  <si>
    <t>https://www.loom.com/i/d35eb320b0164a7ba6d9535589da4f98</t>
  </si>
  <si>
    <t>17/02/2026 - Issue resolved on devsit1. As confirmed on mail, functional or UI/UX issues to be checked on closed on devsit1, therefore closing this - 
https://loom.com/i/1d333109220949fe9d93545e6742bba2
https://loom.com/i/727ca7519bcc458cab5a39edde32eded
Also, as informed by Bharat on call, Namita ma'am decided that in case of desktop &amp; ipad, the hero section's title doesn't doesn't have to change its size when user increases or decreases the font size because it is already large enough to be readable. So, it's size is not set in rem and in pixel instead and it not adjusting its size is intentional behaviour</t>
  </si>
  <si>
    <t>UAT_HP_060</t>
  </si>
  <si>
    <t>Loader</t>
  </si>
  <si>
    <t>Refresh or Load any page in the entire platform</t>
  </si>
  <si>
    <t>New Loader needs to be implemented as it is already sent on 2nd Feb - Bug logged as requested by Prajjwal</t>
  </si>
  <si>
    <t>23/02/2026 - Fixed on devsit
16/02/2026 - Fixed on devsit1</t>
  </si>
  <si>
    <t>Reopened</t>
  </si>
  <si>
    <t xml:space="preserve">23/02/2026 -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17/02/2026 - The new loader with the glassmorphism effect and credit card image size slightly reduced is not yet implemented. In case of mobile phones, the loader credit card slightly changes its position after appearing. In case of firefox, "Front" &amp; "Back" alt text appear instead of the credit card for a brief moment before the credit card animation loads. Plus, the credit card animation doesn't appear to be smooth
https://www.loom.com/share/c20d4233aa7e4346ad9bd45cf63b45e0
</t>
  </si>
  <si>
    <t>UAT_HP_061</t>
  </si>
  <si>
    <t>Hero Section --&gt; Banner slides</t>
  </si>
  <si>
    <t>Add Background stacking class option for each slide as informed on HTML discussion call, the author should have an option to add a class to each banner slide in the Home hero banner.</t>
  </si>
  <si>
    <t>23/02/2026 - This issues was already resolved on 20/02/2026
20/02/2026 - As demonstrated by Neha Jain ma'am on call, the author is able to add background class from CMS. Therefore, closing this issue.
17/02/2026 - As discussed with Bharat on call, this bug was regarding stacking the class on the hero section slide div. For ex: bg-bottom. This is now implemented - https://www.loom.com/i/42175b81993e4a20a17bb5c47676c611
However, as the bug was not marked as fixed in the observation sheet therefore not closing it until its received for verification.</t>
  </si>
  <si>
    <t>UAT_HP_062</t>
  </si>
  <si>
    <t>13/02/2026</t>
  </si>
  <si>
    <t>Auto Tab switch</t>
  </si>
  <si>
    <t>PVT --&gt; Get more with SBI Card -&gt; Left side Tabs</t>
  </si>
  <si>
    <t>On the PVT environment, the "Get more with SBI Card" tabs do not auto switch like they do in the devsit1 environment. Check the actual vs expected result screenshot.</t>
  </si>
  <si>
    <t>https://www.loom.com/share/f99b37eb669c4af495d55cc87948d185</t>
  </si>
  <si>
    <t>https://www.loom.com/share/6294cf1f89af4c4dbd1661f7f98aa754</t>
  </si>
  <si>
    <t>23/02/2026 - Once we deployed the build on PVT it will get fixed, till now you can verify on devsit</t>
  </si>
  <si>
    <t>25/02/2026</t>
  </si>
  <si>
    <t>25/02/2026 - This is resolved on sbi-pvt - https://www.loom.com/share/a9939364d5964f019a8bf1682bf908a8
23/02/2026 - This is working fine on devsit1, once it also works the same way in pvt, will close this issue.
20/02/2026 - This is working fine on devsit1, once it also works the same way in pvt, will close this issue.</t>
  </si>
  <si>
    <t>UAT_HP_063</t>
  </si>
  <si>
    <t>PVT --&gt; Hero Section --&gt; 1st, 3rd &amp; 4th Slide --&gt; Banner's sub line above title</t>
  </si>
  <si>
    <t>The Banner's sub line above the text is missing the font style (Dancing script) its colour (white) &amp; it's size</t>
  </si>
  <si>
    <t>https://www.loom.com/i/e3dca667271a40498d27e312bdcaef6a</t>
  </si>
  <si>
    <t>23/02/2026 - Verify on devsit1</t>
  </si>
  <si>
    <t>25/02/2026 - This issue is resolved on PVT - https://loom.com/i/f0c37bddd24c4b959dc16d469b712fb4
23/02/2026 - This issue has been fixed on devsit1 - https://loom.com/i/1fe26ef809804b02977020cfe166f3da
Will close this as soon as it gets forwarded to pvt and works fine there as it is a pvt issue</t>
  </si>
  <si>
    <t>UAT_HP_064</t>
  </si>
  <si>
    <t>PVT --&gt; Hero Section --&gt; 3rd Slide ( Presenting Indigo SBI cards )</t>
  </si>
  <si>
    <t>As per the content file, this slide doesn't have a sub title. Currently, its sub line text is being used as a title and the title is being used as sub title.</t>
  </si>
  <si>
    <t>https://www.loom.com/i/3f42df8244f844e2bc3652099c42f925</t>
  </si>
  <si>
    <t>23/02/2026 - Need Discussion - Sampreet need to clarify this with the content Team</t>
  </si>
  <si>
    <t>23/02/2026 - As confirmed by Arun sir on call, this banner doesn't have a subtitle therefore subtitle not being there is not a bug. Hence closing this issue.</t>
  </si>
  <si>
    <t>UAT_HP_065</t>
  </si>
  <si>
    <t>PVT --&gt; Discover Our Cards --&gt; Recent Launches --&gt; Card Titles --&gt; Capitalizations</t>
  </si>
  <si>
    <t>Except for Flipkart SBI Card, rest of the card titles are in "All Caps" instead of only each word in the card title having capitalization</t>
  </si>
  <si>
    <t>https://www.loom.com/i/67305defc68c43289bc5e4b0d7530b36</t>
  </si>
  <si>
    <t>23/02/2026 - Card Name- follow excel</t>
  </si>
  <si>
    <t>05/03/2026 - The word "Neu" should not be all caps as per the master sorting sheet - https://www.loom.com/i/209a6c9a0b314a5092338ed4aa7099e0
23/02/2026 - As discussed with Arun sir, Namita ma'am has confirmed that the card name casing needs to be exactly like the master sheet that has been shared with the team</t>
  </si>
  <si>
    <t>UAT_HP_066</t>
  </si>
  <si>
    <t>PVT --&gt; Discover Our Cards --&gt; Featured Cards --&gt; Card Titles --&gt; Capitalizations</t>
  </si>
  <si>
    <t>The card title capitalization (lower case/upper case) of each letter doesn't exactly match when compared with the content file</t>
  </si>
  <si>
    <t>https://www.loom.com/i/306db704e66b40bca44fce12a086e84d</t>
  </si>
  <si>
    <t>05/03/2026 - As per the master sorting excel sheet - Cashback SBI Card - The word "Cashback" should be in all caps
SimplyCLICK SBI Card - Both words "Simply" &amp; "CLICK" should be together as a single word.
SBI Card Miles Elite - The word "Elite" should not be in all caps.
https://www.loom.com/i/f4f21c240ff040d2ba92ef6c10559790
23/02/2026 - As discussed with Arun sir, Namita ma'am has confirmed that the card name casing needs to be exactly like the master sheet that has been shared with the team</t>
  </si>
  <si>
    <t>UAT_HP_067</t>
  </si>
  <si>
    <t>PVT --&gt; Get more with SBI Card --&gt; Credit Card Security Tips --&gt; Paragraph above bullet points</t>
  </si>
  <si>
    <t>The word "Financial" is spelled incorrectly - "Finacial". Also, in the content file it is "Loss" instead of "Losses"</t>
  </si>
  <si>
    <t>https://www.loom.com/i/00878465f6e648c8874d2a37563c421c</t>
  </si>
  <si>
    <t>23/02/2026 - fixed on pvt</t>
  </si>
  <si>
    <t>23/02/2026 - The issue is resolved on sbi-pvt - https://loom.com/i/143e0a8f66254dad82c497a85708fed6</t>
  </si>
  <si>
    <t>UAT_HP_068</t>
  </si>
  <si>
    <t>PVT --&gt; Get more with SBI Card --&gt; Credit Card Security Tips --&gt; Tips to Secure your Card --&gt; 2nd Tip sentence</t>
  </si>
  <si>
    <t>The 2nd Tips sentence doesn't exactly match with the one present in the content file. The sentence should be "Protect your credit card’s confidential details like PIN, Card Expiry Date, and Card Verification Value (CVV). Never share them with anyone through phone call or E-mail."</t>
  </si>
  <si>
    <t>https://www.loom.com/i/d6530acb55cc40749b435ecce71c3f8a</t>
  </si>
  <si>
    <t>UAT_HP_069</t>
  </si>
  <si>
    <t>PVT --&gt; Get more with SBI Card --&gt; Credit Card Interest Rates --&gt; Understanding Credit Card Interest Rates (Paragraph)</t>
  </si>
  <si>
    <t>In the entire paragraph, "Interest rates" written instead of "Interest rate" as written in the content file and therefore instead of "Interest rates are" it should be "Interest rate is"</t>
  </si>
  <si>
    <t>https://www.loom.com/i/c0e01c8bf5e44cca9a1dbcf75f2b61ea</t>
  </si>
  <si>
    <t>05/03/2026 - The issue is resolved on sbi-pvt
23/02/2026 - In the 2nd line "Credit card interest rate are also known as credit card finance charges." the word "are" needs to be "is"  - https://loom.com/i/8ea56319bd404a8c8f290d1ac5602888</t>
  </si>
  <si>
    <t>UAT_HP_070</t>
  </si>
  <si>
    <t>PVT --&gt; Get more with SBI Card --&gt; Credit Card Interest Rates --&gt; When is the interest on a credit card charged? --&gt; Each bullet point title</t>
  </si>
  <si>
    <t>Each of the pointer's title instead of being bold and in a separate line. It appears with &lt;br&gt; tags in it.</t>
  </si>
  <si>
    <t>https://www.loom.com/i/1806bd5eabd645f3b121b0d1b0064800</t>
  </si>
  <si>
    <t>25/02/2026 - This issue is resolved on PVT - https://loom.com/i/09fd2c4c68ef4c258ccb955c0412d018
23/02/2026 - The issue is resolved on devsit1 - https://loom.com/i/9ac23c20b6074226bc0f8a91fb653300
As this is a pvt bug, will close this issue once it is also resolved on pvt</t>
  </si>
  <si>
    <t>UAT_HP_071</t>
  </si>
  <si>
    <t>PVT --&gt; Get more with SBI Card --&gt; Credit Card Usage --&gt;Top Paragraph</t>
  </si>
  <si>
    <t>Last line "Hence, it is important that you are aware of their terms and conditions when you sign up for them to avail maximum benefits" instead of being included in the paragraph, it is used a sub title.</t>
  </si>
  <si>
    <t>https://www.loom.com/i/035b537bd2594cc6a6b57832d3d53539</t>
  </si>
  <si>
    <t>23/02/2026 - Sampreet need to check with the content team. A list heading from the CMS is a mandatory field, and we don’t have the list heading in the content doc that’s why we put the last line in a list heading field</t>
  </si>
  <si>
    <t>02/03/2026 - The subheading that is mandatory, needs to be fixed. Nothing is supposed to mandatory. Needs to be fixed by Bharat
23/02/2026 - Needs to be discussed/confirmed/approved by Namita ma'am. Need to wait for her to be available again.</t>
  </si>
  <si>
    <t>UAT_HP_072</t>
  </si>
  <si>
    <t>PVT --&gt; Get more with SBI Card --&gt; Credit Card Usage --&gt; Bullet Points</t>
  </si>
  <si>
    <t>https://www.loom.com/i/cd241fcbffb4427d8c8e25e14ca8a62b</t>
  </si>
  <si>
    <t>25/02/2026 - The issue is resolved on pvt - https://loom.com/i/84229b420de3478c9637a158c3247daf
23/02/2026 - The issue is resolved on devsit1 - https://loom.com/i/b6ba48f44afa421cbd76778aba9d439b
As this is a pvt bug, will close this issue once it is also resolved on pvt</t>
  </si>
  <si>
    <t>UAT_HP_073</t>
  </si>
  <si>
    <t>PVT --&gt; Get more with SBI Card --&gt; Your Credit Score --&gt; Top Paragraph</t>
  </si>
  <si>
    <t>Instead of words "credit" &amp; "worthiness" , a single word "creditworthiness" needs to be used.</t>
  </si>
  <si>
    <t>https://www.loom.com/i/f198086095f94599a48f31f7d659a703</t>
  </si>
  <si>
    <t>23/02/2026 - The issue is resolved on sbi-pvt - https://loom.com/i/c4f7f6d1f75743efbb63dfab95434b56</t>
  </si>
  <si>
    <t>UAT_HP_074</t>
  </si>
  <si>
    <t>The sentence "Whereas a low score below..." needs to match with the content file to be "Whereas a low score below 600 is considered poor and places you in a risk zone, making it difficult to secure an approval. Having said that, people with lower scores can also be eligible for a credit card"</t>
  </si>
  <si>
    <t>https://www.loom.com/i/022bccaa2a92471a9a6bb707b697d188</t>
  </si>
  <si>
    <t>23/02/2026 - The issue is resolved on sbi-pvt - https://loom.com/i/6e8ffe9faecd4dfd85938e2088124719</t>
  </si>
  <si>
    <t>UAT_HP_075</t>
  </si>
  <si>
    <t>PVT --&gt; Get more with SBI Card --&gt; Your Credit Score --&gt; Key Factors Affecting Your Credit Score --&gt; 3rd Bullet point</t>
  </si>
  <si>
    <t>" credit card balance above" in the 3rd bullet point gets repeated twice</t>
  </si>
  <si>
    <t>https://www.loom.com/i/6a6905fe10b144aea721b95ca38f103c</t>
  </si>
  <si>
    <t>23/02/2026 - The issue is resolved on sbi-pvt - https://loom.com/i/5986f54e57c44b21bc330dc77a07c7e8</t>
  </si>
  <si>
    <t>UAT_HP_076</t>
  </si>
  <si>
    <t xml:space="preserve">PVT --&gt; Get more with SBI Card --&gt; Credit Card Security tips &amp; Card Eligibility Criteria Tabs --&gt; Tab image on the right side </t>
  </si>
  <si>
    <t>In case of both the mentioned tabs in the steps to reproduce section, the tab images that appear are the same.</t>
  </si>
  <si>
    <t>https://www.loom.com/i/1a335e4dc7c4483a89235977aa84bb55</t>
  </si>
  <si>
    <t>23/02/2026 - Need the image from the content team</t>
  </si>
  <si>
    <t>05/03/2026 - The issue is resolved on sbi-pvt - https://www.loom.com/i/54a1386d0fc845b6afdde4369dd893b1
25/02/2026 - The issue is not resolved on sbi-pvt - https://loom.com/i/05dc392a70d14dc9ba38a3402a34ddb1
23/02/2026 - The issue is resolved on devsit1 - https://loom.com/i/6bdf18ffdcbe48aa98032312ccf35182 
As this is a PVT issues, will close this if it gets resolved on PVT as well.</t>
  </si>
  <si>
    <t>UAT_HP_077</t>
  </si>
  <si>
    <t>Galaxy Z Fold, Galaxy S8+</t>
  </si>
  <si>
    <t>Content Cropped</t>
  </si>
  <si>
    <t>EMI &amp; More Section --&gt; Devices less than 375px width --&gt; Large Font</t>
  </si>
  <si>
    <t>"Flexi Payments" &amp; "Balance Transfer on EMI" card sub title in the "EMI &amp; More" section gets cropped by the image/animation present at the bottom of it.</t>
  </si>
  <si>
    <t>https://www.loom.com/i/24df780a55cd41279f29ae75a8eb3e77</t>
  </si>
  <si>
    <t>03-03-2026 please check again</t>
  </si>
  <si>
    <t>05/03/2026 - The Balance Transfer on EMI card's sub title still gets cropped from the bottom in case of samsung galaxy z fold when the font size is largest - https://loom.com/i/8f4432a462ca4f798a18af410d60fd98
Issue assigned to Arun sir because for now only the content can be reduced.</t>
  </si>
  <si>
    <t>UAT_HP_078</t>
  </si>
  <si>
    <t>PVT --&gt; Sub navigation menu wrap --&gt; "Payements" &amp; "Easy Bills Pay" tab</t>
  </si>
  <si>
    <t>Please ignore the bug if some cotent changes were decided and the current label is the updated content but if not, "Payements" &amp; "Easy Bills Pay" tab need to named "Card Payment" &amp; "Utility Bill Payment" as per the latest content file for Header &amp; Footer.</t>
  </si>
  <si>
    <t>https://www.loom.com/i/f42c59343bb84b1dad754b394818912f</t>
  </si>
  <si>
    <t>23/02/2026 - This Change was requested by Namita on 13th feb Call:
- Card Payments - Payments
- Utility Bill Payment - Easy Bill Pay</t>
  </si>
  <si>
    <t>23/02/2026 - As requested by Namita ma'am on call, the changes were made - "Card Payments" to "Payments" &amp; "Utility Bill Payment" to "Easy Bill Pay". Therefore closing this issue</t>
  </si>
  <si>
    <t>UAT_HP_079</t>
  </si>
  <si>
    <t>PVT --&gt; Discover Our Cards --&gt; Recent Launches &amp; Featured Cards --&gt; See Benefits CTA for each card</t>
  </si>
  <si>
    <t>The "See Benefits" CTA for each card needs to be changed to "Explore More" as per the content file.</t>
  </si>
  <si>
    <t>https://www.loom.com/i/bf53b35007be40c7bb9b54bba120ac0d</t>
  </si>
  <si>
    <t>18/02/2026 - As discussed with Namita ma'am on UAT Discussion Call. This doesn't need to be changed. Hencing closing the issue.</t>
  </si>
  <si>
    <t>UAT_HP_080</t>
  </si>
  <si>
    <t>PVT --&gt; Get more with SBI Card --&gt; Credit Cards Interest Rate Icon</t>
  </si>
  <si>
    <t>The Icon appears incorrectly. Like all other icons, it should be in the center of a circle boundary with some gap from the circle's circumference.</t>
  </si>
  <si>
    <t>https://www.loom.com/i/c236a42fd1d64c47a4fc53c6240419ab</t>
  </si>
  <si>
    <t>05/03/2026 - The issue is resolved on sbi-pvt - https://loom.com/i/95815d566db846729020fe7e24ad2448
23/02/2026 - The icon has been provided as confirmed by Arun sir. The issue is yet to be resolved on sbi-pvt - https://www.loom.com/i/15c210e93d6741bab642eea05d4ba1d6</t>
  </si>
  <si>
    <t>UAT_HP_081</t>
  </si>
  <si>
    <t>PVT --&gt; Mobile Phones --&gt; Get more with SBI Card --&gt; Credit Card Usage &amp; Credit Card Interest Rate Tab</t>
  </si>
  <si>
    <t>The Icons appear for the mentioned tabs are not for mobile phones because their sizes do not match with the rest of the 3 icons.</t>
  </si>
  <si>
    <t>https://www.loom.com/i/0e461c5a36954fda9a5dfcdb3a38a188</t>
  </si>
  <si>
    <t>25/02/2026 - Fixed and verified on PVT
23/02/2026 - fixed on pvt</t>
  </si>
  <si>
    <t>26/02/2026</t>
  </si>
  <si>
    <t>26/02/2026 - The issue is resolved on sbi-pvt - https://loom.com/i/bc52c9f685dc4a66af895626fd089348
23/02/2026 - The icons have been provided as confirmed by Arun sir just today. Therefore, the issue is still not resolved on sbi-pvt as also presented on call.</t>
  </si>
  <si>
    <t>UAT_HP_082</t>
  </si>
  <si>
    <t>PVT --&gt; iPads / Tablets --&gt; Get more with SBI Card --&gt; Left side Tab icons.</t>
  </si>
  <si>
    <t>In case of iPads/Tablets, the icon border shape doesn't remain circle in case of "Card Eligibility Criteria". The size of the icon "Your Credit Score" &amp; "Credit Card Interest Rates" is more than required as the gap from the icon to its outer circle boundary is close to 0. Check the actual result (pvt) and expected result - (devsit1)</t>
  </si>
  <si>
    <t>https://www.loom.com/i/99024be70ecd4e1daac64d3e8b899fd8</t>
  </si>
  <si>
    <t>https://loom.com/i/750be550b91b49cc93073dac5406259a</t>
  </si>
  <si>
    <t>05/03/2026 - This issue is not resolved on sbi-pvt and when checked on HTML/CSS with Bharat on call, found that this also occurs in HTML/CSS benchmark version 49 &amp; 50 therefore changing it's stage column value from PVT to HTML/CSS and assigning in to Bharat.
02/03/2026 - The issue is still present on iPads / Tablets, borders do not appear in a circle shape, the gap between the icon in the center and the border is not the same for all icons. The icons are not center aligned - https://www.loom.com/i/67a0c14d6db8485a8a61a155f454bdea
23/02/2026 - The icons have been provided as confirmed by Arun sir just today. Therefore, the issue is still not resolved on sbi-pvt as also presented on call - https://www.loom.com/i/5cc49fb09eb94e1c883c1fca57bf6fd5</t>
  </si>
  <si>
    <t>UAT_HP_083</t>
  </si>
  <si>
    <t>Image Orientation</t>
  </si>
  <si>
    <t>Mobile Phones --&gt; Discover Our Cards (Explore Our Cards) --&gt; Card Image Orientation</t>
  </si>
  <si>
    <t>There are some images that need to be horizontal but currently all images are vertical. A solution discussed on call regarding this was to make all the images diagonal as they are in the desktop view. A request on call was given to log this as a separate issue not only because it's no longer related to UAT_036 that had this concern written in QA remark but also because it shouldn't get missed by any chance.</t>
  </si>
  <si>
    <t>https://www.loom.com/i/e3c702628cf343d19569f7ac21710879</t>
  </si>
  <si>
    <t>23/02/2026 - We will do that change post go live</t>
  </si>
  <si>
    <t>02/03/2026 - As confirmed by Namita ma'am. This will be picked in the next release therefore marking this issue as P3.
23/02/2026 - This needs to be discussed with Namita ma'am as the credit card images being used are go incorrect with their current orientation.</t>
  </si>
  <si>
    <t>UAT_HP_084</t>
  </si>
  <si>
    <t>PVT --&gt; Mobile Phones --&gt; Home Page --&gt; Hero Section --&gt; Cashback Slide</t>
  </si>
  <si>
    <t>The Banner Image (animation) Purple Background doesn't blend with the purple background of the slide</t>
  </si>
  <si>
    <t>https://www.loom.com/i/488bc5c5a7e942d1bf98f5730b2ac3e4</t>
  </si>
  <si>
    <t>11/03/2026 - The issue is resolved on sbi-pvt - https://loom.com/i/b13aaff8f35143429a3adc71a48aa678
05/03/2026 - Arun sir has been informed to sent the images if not already.
23/02/2026 - Had a call with Arun sir and got a confirmation that he has now sent the required image</t>
  </si>
  <si>
    <t>UAT_HP_085</t>
  </si>
  <si>
    <t>Home Page &amp; Catalogue Page --&gt; Any Apply Now CTA</t>
  </si>
  <si>
    <t>Clicking on any of the "Apply Now" button for any card on Home or Catalogue Page leads to error 404 page not found</t>
  </si>
  <si>
    <t>https://www.loom.com/share/48e73d1ce62e4bf5a68a6f43d2261b24</t>
  </si>
  <si>
    <t>05/03/2026 - This issue was already resolved on 2nd March 2026
02/03/2026 - As demonstrated on UAT Discussion call, Neha Laddha ma'am confirmed that as all the URL redirections are correct (land on the correct url) it doesn't matter if the URLs are currently not working. Therefore, this bug needs to be closed.</t>
  </si>
  <si>
    <t>UAT_HP_086</t>
  </si>
  <si>
    <t>Explore Our Cards / Similar Cards Section --&gt; Card CTAs</t>
  </si>
  <si>
    <t>The background fill (purple) should be the style of the main CTA that is "Apply Now" instead of "See Benefits"</t>
  </si>
  <si>
    <t>https://www.loom.com/i/b8f0a0016aa04aea8c65e59dca691b51</t>
  </si>
  <si>
    <t>05/03/2026 - The issue is not resolved on sbi-pvt - https://www.loom.com/i/1f07bca7b6a042d2b7dea80cad053ea0</t>
  </si>
  <si>
    <t>UAT_HP_087</t>
  </si>
  <si>
    <t>Home &amp; Catalogue Page --&gt; Mobile Phones --&gt;  Mobile Footer Menu --&gt; Apply Now button</t>
  </si>
  <si>
    <t>The button shape is not circular</t>
  </si>
  <si>
    <t>https://www.loom.com/i/8405a475a8af429fb1d9ba6c43957244</t>
  </si>
  <si>
    <t>https://www.loom.com/i/479b2fb3128d4747b9d674642b725757</t>
  </si>
  <si>
    <t>UAT_HP_088</t>
  </si>
  <si>
    <t>The button label - "Apply Now" needs to be capitalized - "APPLY NOW"</t>
  </si>
  <si>
    <t>UAT_HP_089</t>
  </si>
  <si>
    <t>All Pages --&gt; Refresh the Page --&gt; Check if the loader animation disappears even before the page loads completely</t>
  </si>
  <si>
    <t>When user refreshes any of the page in the entire platform, in case due to internet or device, the loader disappears even before the page complets loading.</t>
  </si>
  <si>
    <t>https://www.loom.com/share/827f43fdea79414f9b32d40b282f352f</t>
  </si>
  <si>
    <t>UAT_HP_090</t>
  </si>
  <si>
    <t>Explore Our Cards --&gt; Recent Launches --&gt; Indigo SBI Card Elite --&gt; 1st Bullet point</t>
  </si>
  <si>
    <t>as Welcome at the end of the 1st Benefit sentence needs to be removed as it has a strike-through in the latest content file</t>
  </si>
  <si>
    <t>https://www.loom.com/i/2b56126a00c44267b5ab98e76e7643ef</t>
  </si>
  <si>
    <t>UAT_HP_091</t>
  </si>
  <si>
    <t>Explore Our Cards --&gt; Recent Launches --&gt; Indigo SBI Card Elite --&gt; 2nd Bullet point</t>
  </si>
  <si>
    <t>Instead of "129 Lakhs", it should be "12 Lakhs"</t>
  </si>
  <si>
    <t>https://www.loom.com/i/7185f01309a04653b08bffd1d283582b</t>
  </si>
  <si>
    <t>UAT_HP_092</t>
  </si>
  <si>
    <t>Explore Our Cards --&gt; Recent Launches --&gt; Indigo SBI Card Elite --&gt; 3rd Bullet Point</t>
  </si>
  <si>
    <t>8 &amp; 6 have strike-through in the latest content file, which means they should not be included in the sentence</t>
  </si>
  <si>
    <t>https://www.loom.com/i/5e76c5eeb7d04417814021df83aa4cef</t>
  </si>
  <si>
    <t>UAT_HP_093</t>
  </si>
  <si>
    <t>Explore Our Cards --&gt; Recent Launches --&gt; Indigo SBI Card --&gt; 1st Bullet point</t>
  </si>
  <si>
    <t>The first bullet point needs to be "Welcome Gift of 2,500 IndiGo BluChips." as per the latest content file</t>
  </si>
  <si>
    <t>https://www.loom.com/i/74b1c08289694cdc92309d81369c1dd5</t>
  </si>
  <si>
    <t>UAT_HP_094</t>
  </si>
  <si>
    <t>Explore Our Cards --&gt; Recent Launches --&gt; Indigo SBI Card --&gt; 3rd Bullet point</t>
  </si>
  <si>
    <t>The word "complimentary" and "in a year" are strike-through in the latest content file. They need to be removed from the 3rd bullet point sentence</t>
  </si>
  <si>
    <t>https://www.loom.com/i/227c365c180a44f7baf93acab20edda3</t>
  </si>
  <si>
    <t>UAT_HP_095</t>
  </si>
  <si>
    <t>Explore Our Cards --&gt; Recent Launches --&gt; Tata Neu Infinity SBI Card --&gt; 1st Bullet Point</t>
  </si>
  <si>
    <t>The 1st Bullet point is incomplete. It should be "Lowest Foreign Currency Mark-up Charge of 1.99% on international usage" as per the latest content file</t>
  </si>
  <si>
    <t>https://www.loom.com/i/8df20cbb3d0b438ab6347f7c6366b7c0</t>
  </si>
  <si>
    <t>UAT_HP_096</t>
  </si>
  <si>
    <t>Explore Our Cards --&gt; Recent Launches --&gt; Tata Neu Infinity SBI Card --&gt; 2nd Bullet Point</t>
  </si>
  <si>
    <t>The 2nd Bullet Point is incomplete. As per the latest content file, it should be "Earn 5% NeuCoins on spends at the Tata Neu App/Website and partner Tata brands + 5% NeuCoins on select categories on the Tata Neu App/Website"</t>
  </si>
  <si>
    <t>https://www.loom.com/i/e803dc3247ef4f85abaa1044ace5b2f5</t>
  </si>
  <si>
    <t>UAT_HP_097</t>
  </si>
  <si>
    <t>Explore Our Cards --&gt; Recent Launches --&gt;Tata Neu Infinity SBI Card --&gt; 3rd Bullet Point</t>
  </si>
  <si>
    <t>It should be "8 Domestic" &amp; "4 International" Airport Lounge Accesses as per the latest content file.</t>
  </si>
  <si>
    <t>https://www.loom.com/i/9d6f8ef9089446b0bbdaca98349b73b4</t>
  </si>
  <si>
    <t>UAT_HP_098</t>
  </si>
  <si>
    <t>Explore Our Cards --&gt; Recent Launches --&gt; Tata Neu Plus SBI Card --&gt; 2nd Bullet point</t>
  </si>
  <si>
    <t>The preposition "of" needs to be removed between "1 Lakh" &amp; "annual spends"</t>
  </si>
  <si>
    <t>https://www.loom.com/i/a364af0e08e040e196b893f95699598f</t>
  </si>
  <si>
    <t>UAT_HP_099</t>
  </si>
  <si>
    <t>Explore Our Cards --&gt; Featured Cards --&gt; Cashback SBI Card --&gt; 1st Bullet point</t>
  </si>
  <si>
    <t>1st Bullet point should be "5% Cashback on Online Spends" and the "without merchant restriction" is strike-through in the content file so it needs to be removed from the sentence.</t>
  </si>
  <si>
    <t>https://www.loom.com/i/64f1f85a5cad436ba678dc322efc3be1</t>
  </si>
  <si>
    <t>UAT_HP_100</t>
  </si>
  <si>
    <t>Explore Our Cards --&gt; Featured Cards --&gt; Cashback SBI Card --&gt; 2nd Bullet point</t>
  </si>
  <si>
    <t>The asterisk (*) needs to be removed after the word "offline" and both the words - "offline" &amp; "spends" need to be capitalized</t>
  </si>
  <si>
    <t>https://www.loom.com/i/a341f414e37c4d9db1526fbba860da5d</t>
  </si>
  <si>
    <t>UAT_HP_101</t>
  </si>
  <si>
    <t>Explore Our Cards --&gt; Featured Cards --&gt; Cashback SBI Card --&gt; 3rd Bullet point</t>
  </si>
  <si>
    <t xml:space="preserve">"across all petrol pumps in India" at the end of the 3rd Bullet point needs to be removed as it is strike-through in the latest content file </t>
  </si>
  <si>
    <t>https://www.loom.com/i/b99e16c264864a21b1e96e208153348c</t>
  </si>
  <si>
    <t>UAT_HP_102</t>
  </si>
  <si>
    <t>Explore Our Cards --&gt; Featured Cards --&gt; SimplyClick SBI Card --&gt; 2nd Bullet point</t>
  </si>
  <si>
    <t>In the 2nd Bullet point, the preposition "on" is missing between the word "Vouchers" &amp; "Online"</t>
  </si>
  <si>
    <t>https://www.loom.com/i/5821568fc4bc4d97a293a9a63aed3751</t>
  </si>
  <si>
    <t>UAT_HP_103</t>
  </si>
  <si>
    <t>Explore Our Cards --&gt; Featured Cards --&gt; Cashback SBI Card, SimplyClick SBI Card --&gt; 3rd Bullet point</t>
  </si>
  <si>
    <t>Each word in "fuel surcharge waiver" needs to be capitalized - "Fuel Surcharge Waiver"</t>
  </si>
  <si>
    <t>https://www.loom.com/i/fec8f497649840e2b39f8b7f5a3270bd</t>
  </si>
  <si>
    <t>UAT_HP_104</t>
  </si>
  <si>
    <t>Explore Our Cards --&gt; Featured Cards --&gt; SBI Card Miles Elite --&gt; 1st Bullet point</t>
  </si>
  <si>
    <t>The 1st Bullet point should be "Welcome Benefit of 5,000 Travel Credits". The words that are strike-through should not be included.</t>
  </si>
  <si>
    <t>https://www.loom.com/i/4264578d36aa45e1becb36cdb9e124d1</t>
  </si>
  <si>
    <t>UAT_HP_105</t>
  </si>
  <si>
    <t>Explore Our Cards --&gt; Featured Cards --&gt; SBI Card Miles Elite --&gt; 2nd Bullet point</t>
  </si>
  <si>
    <t>The 2nd Bullet point should be - "Annual Fee Reversal on Milestone Spends" as per the new content file. All the strike-through words should be removed from the sentence.</t>
  </si>
  <si>
    <t>https://www.loom.com/i/d6dabd9d92914a8fa3210c680eee5981</t>
  </si>
  <si>
    <t>UAT_HP_106</t>
  </si>
  <si>
    <t>Explore Our Cards --&gt; Featured Cards --&gt; SBI Card Miles Elite --&gt; 3rd Bullet point</t>
  </si>
  <si>
    <t>The word "Complementary" needs to be removed from the sentence as per the latest content file as it is strike-through</t>
  </si>
  <si>
    <t>https://www.loom.com/i/13aaff76a8fd4d9f9be70d18c634a4ee</t>
  </si>
  <si>
    <t>UAT_HP_107</t>
  </si>
  <si>
    <t>Explore Our Cards --&gt; Featured Cards --&gt; SBI Card Pulse --&gt; 2nd Bullet point</t>
  </si>
  <si>
    <t>The 2nd Bullet point needs to be "Fraud Liability Insurance Cover of Rs. 1 lakh" instead of "Complimentary 4 Domestic Lounge visits"</t>
  </si>
  <si>
    <t>https://www.loom.com/i/87d5d30e6a0d4bfaaf5df3128ca238cd</t>
  </si>
  <si>
    <t>UAT_HP_108</t>
  </si>
  <si>
    <t>iPads Pro 11 inches (834px x 1194px) --&gt; Landscape mode --&gt; Explore Our Cards --&gt; Check if more than 3 cards appear in each slide</t>
  </si>
  <si>
    <t>In case the devices' screen resolution is anywhere where between 1025px - 1201px, instead of only 3 cards appearing in each slide, 4 cards appear. As a result, due to less space available, the bullet points get truncated with 3 dots at the end and the CTA labels get word wrapped to next line increasing the height of the CTA buttons</t>
  </si>
  <si>
    <t>https://www.loom.com/i/21a5db17148e43e1ad7b3264d21d56cd</t>
  </si>
  <si>
    <t>https://www.loom.com/i/dd189fbc9c394819acd7190d4293fd0e</t>
  </si>
  <si>
    <t>UAT_HP_109</t>
  </si>
  <si>
    <t>Explore our Cards --&gt; Each Card Container in the slider --&gt; Card Title container --&gt; Check if it has fixed height instead of being free flowing</t>
  </si>
  <si>
    <t>The Card Title container should not have a fixed height based on the resolution of the device. Because of this, if the card title is lengthy, it will not get accomodated in the container. If card title is lengthy, it starts to cover the green space that is for padding making the Card title and bullet points congested. Also, in case all card titles are small, extra space is observed between the card titles &amp; bullet points below due to fixed height.</t>
  </si>
  <si>
    <t>https://www.loom.com/i/e378f7927a6342349a151bfaced5b963</t>
  </si>
  <si>
    <t>UAT_HP_110</t>
  </si>
  <si>
    <t>Hero Section --&gt; SimplyClick Banner --&gt; Sub Title</t>
  </si>
  <si>
    <r>
      <rPr>
        <sz val="11"/>
        <color rgb="FF000000"/>
        <rFont val="Aptos Narrow"/>
        <scheme val="minor"/>
      </rPr>
      <t xml:space="preserve">The Sub-Title content needs to be updated to - "on online shopping with </t>
    </r>
    <r>
      <rPr>
        <i/>
        <sz val="11"/>
        <color rgb="FF000000"/>
        <rFont val="Aptos Narrow"/>
        <scheme val="minor"/>
      </rPr>
      <t>SimplyCLICK</t>
    </r>
    <r>
      <rPr>
        <sz val="11"/>
        <color rgb="FF000000"/>
        <rFont val="Aptos Narrow"/>
        <scheme val="minor"/>
      </rPr>
      <t xml:space="preserve"> SBI card"</t>
    </r>
  </si>
  <si>
    <t>https://www.loom.com/i/2b2f4170a0124151be6102fd62235e16</t>
  </si>
  <si>
    <t>https://loom.com/i/db67b891c1ad4b16a4d5f08bb5c3dfd0</t>
  </si>
  <si>
    <t>13/03/2026 - As discussed on UAT Discussion call, only the word "SimplyClick" cannot have italic effect through authoring. Therefore closing this issue.
12/03/2026 - The word "SimplyClick" is in italic style in the expected result screenshot that Namita ma'am has shared. - https://www.loom.com/i/60e2239f2049490b8192c8cc4371d7dd</t>
  </si>
  <si>
    <t>UAT_HP_111</t>
  </si>
  <si>
    <t>Mobile Phones --&gt; Mobile Footer Menu at the bottom --&gt; Services button --&gt; Check the Button label in the services pop up modal</t>
  </si>
  <si>
    <t>The Button labels appear center aligned instead of been left aligned right besides their icons on the left of the modal. Check the Actual vs expected result</t>
  </si>
  <si>
    <t>https://www.loom.com/i/759f413a9c1645d39c7911dc3a38a51d</t>
  </si>
  <si>
    <t>https://loom.com/i/24611b47f990442b910ad3ef05b8281a</t>
  </si>
  <si>
    <t>13/03/2026 - This issue is because of the ILA Chat bot class and it is working fine in devsit1. Therefore this is marked as green because once it starts to work fine on pvt or after release, will close this issue.</t>
  </si>
  <si>
    <t>UAT_HP_112</t>
  </si>
  <si>
    <t>EMI &amp; More --&gt; Section Heading</t>
  </si>
  <si>
    <t>The double inverted commas at the end of the sentence in the heading- Hassle-Free EMI, Smarter Spending" needs to be corrected on sbifo-pvt</t>
  </si>
  <si>
    <t>https://www.loom.com/i/445689084b6f4d71a381282687b84e74</t>
  </si>
  <si>
    <t>HTML Status</t>
  </si>
  <si>
    <t>UAT_PD_001</t>
  </si>
  <si>
    <t>30/12/2025</t>
  </si>
  <si>
    <t xml:space="preserve">Key Benefits --&gt; All Containers --&gt; Icon &amp; Content Alignment. </t>
  </si>
  <si>
    <t>The Container icons &amp; content get vertically unaligned when compared with each other This is especially the case when the font size is reduced to smallest</t>
  </si>
  <si>
    <t>https://www.loom.com/i/ce0f5b4506c54c1485193ac63386ac2a</t>
  </si>
  <si>
    <t>Open for discussion. Need to find a solution. But for now, no content should be beyond 3 lines. Each benefit content should be almost same character length for now.</t>
  </si>
  <si>
    <t>25/02/2026 - This issue is from HTML team and no solution has yet been found regarding it therefore it remains in HTML Teams bucket with priority P3 as this cannot be fixed in the current release.
Issue also occurring in the HTML v50</t>
  </si>
  <si>
    <t>UAT_PD_002</t>
  </si>
  <si>
    <t>Elite Card Fee &amp; Charges --&gt; Fees &amp; Charges Tab --&gt; The Rupee Icons</t>
  </si>
  <si>
    <t>The rupee icon of the 1st Tab "Fee &amp; Charges" gets streched.</t>
  </si>
  <si>
    <t>https://www.loom.com/i/2710ccd82d5140c3becbf753e4a1c986</t>
  </si>
  <si>
    <t>UAT_PD_003</t>
  </si>
  <si>
    <t>31/12/2025</t>
  </si>
  <si>
    <t>Extension - "Accessibility Insights for Web" --&gt; FastPass</t>
  </si>
  <si>
    <t>The accessibility checker highlights 24 accessibility fails - https://accessibilityinsights.io/downloads/</t>
  </si>
  <si>
    <t>https://loom.com/i/d21c7dc820e74a57a85afc2947a714be</t>
  </si>
  <si>
    <t>30/01/2025</t>
  </si>
  <si>
    <t xml:space="preserve">30/01/2026 - As discussed on call, accessibility issues are to be kept on hold for now and to be picked in the next release.
06/01/2026 - When tested using the accessibility extention on 6th Jan, only 17 instances were failed. 2 of them were related to colour contrast. Screenshots of other failed instances are attached below - 
https://www.loom.com/i/fb68b53ce98d4c41a4e73123e7f49fbd
https://loom.com/i/67a919f65fb345668bd77dd22dbfb576
</t>
  </si>
  <si>
    <t>UAT_PD_004</t>
  </si>
  <si>
    <t>Explore Rewards --&gt; Milestone Rewards/ Elite Rewards --&gt; Extra Link inside the tab content</t>
  </si>
  <si>
    <t xml:space="preserve">The Extra link present inside each tab content has no differenciation from the normal text content in terms of style </t>
  </si>
  <si>
    <t>https://www.loom.com/i/f7242b36f7e747fe9f2e26a581065b54</t>
  </si>
  <si>
    <t>https://www.loom.com/i/5e363939e5f9420abefb813cf5184527</t>
  </si>
  <si>
    <t>UAT_PD_005</t>
  </si>
  <si>
    <t>Mobile Phones --&gt; Network Privileges --&gt; Master Card --&gt; Check the Bank Logo &amp; the text content</t>
  </si>
  <si>
    <t>The text content overlaps with the bank logo present on the left. Also, in each tab, the gap between the bank logo and the text besides should be same.</t>
  </si>
  <si>
    <t>https://www.loom.com/i/5db587cfc97444a2bf6ed7928f2b2e23</t>
  </si>
  <si>
    <t>https://www.loom.com/i/82ec423a054e4608805ba95517ebba8b</t>
  </si>
  <si>
    <t>18/02/2026 - The issue is now resolved on devsit1 - 
https://loom.com/i/ef50b734ebb143e0b88b274b2dfcd528
https://loom.com/i/482e6c3110af4562b7959185334c7823
https://loom.com/i/730267527eb04860b5cd316008f1d6dd
13/02/2025 - This issue is resolved on HTML v50 - 1
29/01/2026 - Discussed on call with Namita ma'am this is always going to be an unordered list therefore overlapping issue wouldn't be there. But, the gap between the icon &amp; the text content is still not uniform and differs in case of each tab and when font size is increased/decreased. Check the recording - https://www.loom.com/share/04f18b61353e49d8b6e9185edadad260
05/01/2026 - Issue also occurring in the HTML v50 (changing the element from ul to ol)</t>
  </si>
  <si>
    <t>UAT_PD_006</t>
  </si>
  <si>
    <t>Functionality</t>
  </si>
  <si>
    <t>iPads / Tablets --&gt; Exclusive Privileges --&gt; + button --&gt; More Button</t>
  </si>
  <si>
    <t>For each card, after clicking on + button, clicking the more button that appears doesn't open the pop up model with more details in case of  iPad /Tablet devices</t>
  </si>
  <si>
    <t>https://www.loom.com/share/b1dd03fac451491a8f344be5282e8de4</t>
  </si>
  <si>
    <t>https://www.loom.com/share/9233a91f01474185879b2bc8fe67b67a</t>
  </si>
  <si>
    <t>29/01/2026 - Issue no longer occuring hence closing.
14/01/2026 - Cannot verify and close this because for now the more button is not present in case of any card.</t>
  </si>
  <si>
    <t>UAT_PD_007</t>
  </si>
  <si>
    <t>iPhone 14 Pro / iPhone X</t>
  </si>
  <si>
    <t>iPhone 14 Pro / iPhone X --&gt; Font size smallest --&gt; Key benefits</t>
  </si>
  <si>
    <t>For the mentioned devices, when the text size is smallest, the text goes very close to the card boundary. It should have some padding as margin. Check  2nd benefit - "Earn upto 50,000" in the screenshot</t>
  </si>
  <si>
    <t>https://www.loom.com/i/b4bfd9a7ec20430f9ce3a910c2459f62</t>
  </si>
  <si>
    <t>https://www.loom.com/i/f43f3b8086e44a32b8cfc63861532677</t>
  </si>
  <si>
    <t>Same as HTML</t>
  </si>
  <si>
    <t>20/02/2026</t>
  </si>
  <si>
    <t>20/02/2026 - The issue is resolved on devsit1 - https://loom.com/i/bfdb8a3f91a14982888b3a6dc481e99d
13/02/2026 - The issue is not resolved on HTML v50 - 1 https://www.loom.com/i/1041104a67cf4fa8a7ca8100e73d75dc
21/01/2026 - Issue can be noticed in card details for example SBI PRIME Card - https://www.loom.com/i/eec322a98efa4eabaa9dd98b09ad93c0
14/01/2026 - Tata Neu Infinity SBI Card - https://www.loom.com/i/4cfd037008044c2b8130dce4582861b1</t>
  </si>
  <si>
    <t>UAT_PD_008</t>
  </si>
  <si>
    <t>Explore Rewards --&gt; Milestones Rewards &amp; Elite Rewards tab --&gt; Content Class</t>
  </si>
  <si>
    <t>Text Content's class need to be updated.</t>
  </si>
  <si>
    <t>UAT_PD_009</t>
  </si>
  <si>
    <t>Touch screen users unable to zoom in or out on the page using the pinch gesture.</t>
  </si>
  <si>
    <t>This is a universal issue therefore keeping it open on the home page but closing it here as per Neha Jain's instructions</t>
  </si>
  <si>
    <t>UAT_PD_010</t>
  </si>
  <si>
    <t>Chrome, Edge</t>
  </si>
  <si>
    <t>Desktops, iPads / Tablets</t>
  </si>
  <si>
    <t>Icons</t>
  </si>
  <si>
    <t>Exclusive Privileges --&gt; Card icon on the top --&gt; Check if it gets clipped from the top</t>
  </si>
  <si>
    <t>Each of the card icon in the exclusive privileges gets clipped from the top. Check the expected vs actual result.</t>
  </si>
  <si>
    <t>https://www.loom.com/i/9f6628bcf1eb428b941b2d641035bcaf</t>
  </si>
  <si>
    <t>https://www.loom.com/i/851da11be2e34f5798a9bf3bd460a785</t>
  </si>
  <si>
    <t>UAT_PD_011</t>
  </si>
  <si>
    <t>Desktop, iPads / Tablets</t>
  </si>
  <si>
    <t>Label</t>
  </si>
  <si>
    <t>Exclusive Privileges --&gt; Add button to flip the card --&gt; More button label missing</t>
  </si>
  <si>
    <t>For each card, after it gets flipped, the add button is missing its label "More". Check the actual vs expected result.</t>
  </si>
  <si>
    <t>https://www.loom.com/i/ff8a2d7f78354ad4b3137415177fb97f</t>
  </si>
  <si>
    <t>https://www.loom.com/i/7f22cb56a24345839af3ee953b313651</t>
  </si>
  <si>
    <t>14/01/2026-Cannot verify and close this because for now the more button is not present in case of any card.</t>
  </si>
  <si>
    <t>UAT_PD_012</t>
  </si>
  <si>
    <t>Exclusive Privileges --&gt; Slider arrow on the left --&gt; Left slide icon missing gap from the container. Both left &amp; right slider button overlap with the container when focused on.</t>
  </si>
  <si>
    <t>The Exclusive Privileges's left slider button needs to have some gap from the container like it has on the right side. Also when focus on left or right slider button, it should not overlap with the container. Check the actual vs expected results screenshot.</t>
  </si>
  <si>
    <t>https://www.loom.com/i/47fbc335804b43069c94912e93f7702b</t>
  </si>
  <si>
    <t>https://www.loom.com/i/b763cc19ae664dddaf6eb02b27378ec5</t>
  </si>
  <si>
    <t>UAT_PD_013</t>
  </si>
  <si>
    <t>Firefox --&gt; Exclusive Privileges --&gt; Card icons are missing</t>
  </si>
  <si>
    <t>Only on firefox browser, the card icons do not appear on the top.</t>
  </si>
  <si>
    <t>https://www.loom.com/i/4c9b087ae68e45cc8266470a7ffeeef3</t>
  </si>
  <si>
    <t>UAT_PD_014</t>
  </si>
  <si>
    <t>All Slider sections (Exclusive Privileges, Product Videos, Similar Cards) --&gt; Slider dot colours</t>
  </si>
  <si>
    <t>Exclusive Privileges, Product Videos, Similar Cards section slider dots no longer have the same colour they used to have. Instead of unselected and selected slides having - #636363 &amp; #9f9494, they have #000000 &amp; #007aff</t>
  </si>
  <si>
    <t>https://www.loom.com/i/0382d1eb779f497d80de6f9b4926d8c1</t>
  </si>
  <si>
    <t>https://www.loom.com/i/ffeb59619f084c768c0a70dcfab731f5</t>
  </si>
  <si>
    <t>UAT_PD_015</t>
  </si>
  <si>
    <t>Product Videos --&gt; Left &amp; right slider button</t>
  </si>
  <si>
    <t>The left &amp; right slider buttons are now appearing on top of the videos</t>
  </si>
  <si>
    <t>https://www.loom.com/i/56f2a00b07e042cb82b3f90fddec8bd3</t>
  </si>
  <si>
    <t>https://www.loom.com/i/5ff7f628680e4550a058c25f91b8e58d</t>
  </si>
  <si>
    <t>UAT_PD_016</t>
  </si>
  <si>
    <t>Similar Cards --&gt; Left &amp; right slider buttons</t>
  </si>
  <si>
    <t>The left &amp; right slider buttons are now appearing on top of the cards</t>
  </si>
  <si>
    <t>https://www.loom.com/i/09c58f524e1343f89369d186dfd5f1e3</t>
  </si>
  <si>
    <t>https://www.loom.com/i/f2c06935ebac4f3bb27f762bf7b4441e</t>
  </si>
  <si>
    <t>UAT_PD_017</t>
  </si>
  <si>
    <t>Exclusive Privileges --&gt; Card --&gt; Bullet Points</t>
  </si>
  <si>
    <t>The content gets truncated with 3 dots (..) in the second line.</t>
  </si>
  <si>
    <t>https://www.loom.com/i/98603d40c9cc4e34922f256d7c004bb5</t>
  </si>
  <si>
    <t>https://www.loom.com/i/182c4dab9450449fb92eda1a36c73d2a</t>
  </si>
  <si>
    <t>UAT_PD_018</t>
  </si>
  <si>
    <t>Other Features --&gt; Drop down arrow position</t>
  </si>
  <si>
    <t>Each button's drop down arrow should be placed on the left (before its text) instead of being place on the right (after the text)</t>
  </si>
  <si>
    <t>https://www.loom.com/i/7b59151597464bdc9fab0998f92ab520</t>
  </si>
  <si>
    <t>https://www.loom.com/i/812070c3a86b4f53baa7203406f22163</t>
  </si>
  <si>
    <t>No longer occurring</t>
  </si>
  <si>
    <t>UAT_PD_019</t>
  </si>
  <si>
    <t>P0</t>
  </si>
  <si>
    <t>Similar Cards --&gt; Slider Layout</t>
  </si>
  <si>
    <t>The slider layout breaks. Check the actual vs expected result screenshots.</t>
  </si>
  <si>
    <t>https://www.loom.com/i/fe44fafb421d4c5196be4da9a4084431</t>
  </si>
  <si>
    <t>https://www.loom.com/i/a75a7356576b4376947f8dc1d0377c90</t>
  </si>
  <si>
    <t>UAT_PD_020</t>
  </si>
  <si>
    <t>Exclusive Privileges --&gt; All Cards --&gt; Check the bottom of the card having lengthy content.</t>
  </si>
  <si>
    <t>Content gets clipped from the bottom in case cards have lengthy content.</t>
  </si>
  <si>
    <t>https://www.loom.com/i/fa267c79766042ad8f236090f602634c</t>
  </si>
  <si>
    <t>23/02/2026 - The CSS changes will not be picked in this phase, content re-authoring will be done based on the failed instances report shared.
19/02/2026 - Deferred
16/02/2026 - As discussed in the 11th feb call, this should be decided by the content team how the content should be managed
Also logged in credit card page
Neha- Not able to reproduce in any of the mentioned pages</t>
  </si>
  <si>
    <t>05/03/2026 - As requested, we have a separate sheet named "ExclusivePrivileges TextOverlap" that has all the failed instances mentioned for the exclusive privileges text cropping from the bottom and we are using that sheet to track whether an instance is now resolved or not, therefore closing this bug.
23/02/2026 - All Failed instances have been listed in  a separate sheet named - "ExclusivePrivileges TextOverlap". As discussed on call, for the current release, it needs to be re-authored such that no instances fail.
13/02/2026 - Changing it to P3 for the time being, need to handle it through content as discussed on Bug Priority discussion call
09/02/2206 - Checked on all pages and found the issue is still not resolved. As user increases the font to large, the exclusive privilege card content gets cropped from the bottom in case of the follow pages - Tata Neu Plus SBI Card, Air India SBI Signature Card, Air India SBI Platinum Card, Landmark Rewards SBI Card, Etihad Guest SBI Card, BPCL SBI Card, BPCL SBI Card Octane, Club Vistara SBI Card, Club Vistara SBI Card Prime, IRCTC SBI Platinum Card, IRCTC SBI Card Premier, KrisFlyer SBI Card Apex, Tata Neu Infinity SBI Card, PhonePe SBI Card Purple, Indigo SBI Card Elite, Reliance SBI Card, Reliance SBI Card Prime, PhonePe SBI Card Select Black, Paytm SBI Card, SBI Card Prime, SBI Card Miles.
05/02/2026 - The issue is marked as fixed but is not resolved.
21/01/2026 - Till now 11 pages have been tested content wise and this issue has been found on 5 of them - SBI Card PRIME, SBI Card Miles, TATA NEU INFINITY SBI Card, Doctor's SBI Card, PhonePe SBI Card Purple, PhonePe SBI Card Select Black
https://www.loom.com/i/def342dbd94e4219a7c10b24d6b61e9d
https://www.loom.com/i/454a81daa24646478fc4f2e2001a7a93
https://www.loom.com/i/f6871f09c277426481b01c29e0e638b7
https://www.loom.com/i/b0811f9ba08d4079ace021e42aac0d89
https://www.loom.com/i/8befe6bff5ff43f388f4d44952e4bd64
https://www.loom.com/i/a1b1f0ff62d247d6831981700ba2d366</t>
  </si>
  <si>
    <t>UAT_PD_021</t>
  </si>
  <si>
    <t>Border</t>
  </si>
  <si>
    <t>Key Benefits --&gt; Mobile View --&gt; The radius for the border and the container</t>
  </si>
  <si>
    <t>The radius for the Key Benefit's container that has the background fill and its actual boder do not match as a result the container background fill goes out of its border. Check the actual vs expected result screenshots.</t>
  </si>
  <si>
    <t>https://www.loom.com/i/32047c808e0944688915762bd38d9e45</t>
  </si>
  <si>
    <t>https://www.loom.com/i/b9694823de334b54b3729c813bde1120</t>
  </si>
  <si>
    <t>23/02/2026 - The issue is resolved on devsit1 - https://loom.com/i/dc2d66d441034afaacd01552de932042
13/02/2026 - The issue is not resolved on HTML v50 - 1 https://www.loom.com/i/1041104a67cf4fa8a7ca8100e73d75dc</t>
  </si>
  <si>
    <t>UAT_PD_022</t>
  </si>
  <si>
    <t>Windows Narrator --&gt; Product Videos Section --&gt; Focus on each video's play button</t>
  </si>
  <si>
    <t>When a blind user focuses on any of the video's play button, the narrator should announce the Video title before mentioning the play button for the blind user to know the play button is regarding which card video.</t>
  </si>
  <si>
    <t>https://www.loom.com/share/3942b1a55a5e4d28b4aeb07b632545dc</t>
  </si>
  <si>
    <t>30/01/2026 - As discussed on call, accessibility issues are to be kept on hold for now and to be picked in the next release.
21/01/2026 - When window's narrator focuses on any of the video play button, it annouces the index of the video and "Play Button". Instead, it should annouce the Title of the Video and then mention "Play button"</t>
  </si>
  <si>
    <t>UAT_PD_023</t>
  </si>
  <si>
    <t>Similar Cards --&gt; Gap between Benefit bullet points and the CTA button</t>
  </si>
  <si>
    <t>The gap between the benefits bullet points and CTA buttons is more than required and is noticeable in case of ipads / Tablets or in case of mid to large screen desktops</t>
  </si>
  <si>
    <t>https://www.loom.com/i/5e6dff1bfb3c4a3996c171db221fcc74</t>
  </si>
  <si>
    <t>23/02/2026 - The issue is resolved on devsit1 (In case of desktops &amp; iPads) - https://loom.com/i/4e559813e5cc414ea906ba78f30927ff
As discussed with Bharat on call, the issues is not fixed on mobile phones because of the height property still taking 130px height. He has fixed it and will be sending it across to get it implemented. Marking this issue as resolved for now and informing Arun sir.
13/02/2026 - The issue is resolved in case of desktops &amp; iPads but not in case of mobile phones on HTML v50 - 1</t>
  </si>
  <si>
    <t>UAT_PD_024</t>
  </si>
  <si>
    <t>Other Features &amp; Fees &amp; Charges --&gt; Expand to See More button</t>
  </si>
  <si>
    <t xml:space="preserve">Even when there are no more Features / FAQs or Charges to view, the expand to see more button still appears. It should only appear when there are more points to view. Also, a logic needs to be determined for the button to appear after how many points. </t>
  </si>
  <si>
    <t>https://www.loom.com/share/001e7758bb234ecc9c5b95559bed99dd</t>
  </si>
  <si>
    <t>25/02/2026 - This issue remains the same on devsit1 as mentioned in 9th Feb's remark - https://www.loom.com/share/269672b1df594e9989de887dd094ce66. The Other Feature's expand to see button appears even when there are up to or less than 5 features current examples (based on current content updated on devsit1) are - Tata Neu Plus SBI Card, Indigo, Elite SBI Card, Paytm SBI Credit Card. Also, "Fees" &amp; "Fees &amp; Charges" bullet points are not yet merged into one. Therefore this issue is going in SBI Team's bucket (changing it's platform from HTML/CSS to UAT and assigned to Neha Jain)
13/02/2026 - The issue is resolved on HTML - v50 - 1
09/02/2026 - The expand to see more button will only appear after 6 bullet points and the JS logic behind this would be fixed by Bharat. And as discussed earlier, the "Fees &amp; Charges" section bullet points will be moved to the "Fees" section above.
05/02/2026 - Based on Neha Laddha ma'am comment on call, the Fees and charges sub heading content is supposed to be shifted to "fees" sub heading.</t>
  </si>
  <si>
    <t>UAT_PD_025</t>
  </si>
  <si>
    <t>28/01/2026</t>
  </si>
  <si>
    <t>Light themed Pages --&gt; Dark Mode --&gt; Exclusive Privileges &amp; Similar Cards --&gt; Left &amp; Right Slider Arrows</t>
  </si>
  <si>
    <t>When user switches to dark mode, the left &amp; right slider arrows do not change their colour to a lighter one and as a result remains quite invisible. Tata Neu Infinity Card - https://sbi-sit1.sbicard.com/html/en/personal/credit-cards/tata-neu-infinity-sbi-card.html</t>
  </si>
  <si>
    <t>https://www.loom.com/i/fe61783ab35f4e108e983ca195fd1193</t>
  </si>
  <si>
    <t>23/02/2026 - The issue is resolved on devsit1 - https://loom.com/i/3c44087d35214293badfe9455ee3159b
18/02/2026 - The issue is only resolved in light themed cards but not on dark &amp; dark + golden themed cards - https://www.loom.com/share/df049fbc1a5f47daa6b0bbe0309775e8
13/02/2026 - The issue is resolved on HTML v50 - 1
30/01/2026 - This issue occurs in the HTML v54 as well, therefore changing the tagging of the issue to HTML/CSS</t>
  </si>
  <si>
    <t>UAT_PD_026</t>
  </si>
  <si>
    <t xml:space="preserve"> Light themed Pages --&gt; Accessibility Checker -https://accessibilityinsights.io/downloads/</t>
  </si>
  <si>
    <t>Apart from header (asscessibility issues for it logged separately in header footer page) The page fails 4 accessibility instances - Exclusive Privileges - + &amp; More button, Viewport maximum scaling &amp; image alt text for the "close-icon.svg"</t>
  </si>
  <si>
    <t>https://www.loom.com/i/a7755d4ca26b4aaa925bf929adc5be88</t>
  </si>
  <si>
    <t>30/01/2026 - As discussed on call, accessibility issues are to be kept on hold for now and to be picked in the next release.</t>
  </si>
  <si>
    <t>UAT_PD_027</t>
  </si>
  <si>
    <t>Keyboard Navigation --&gt; Explore Rewards - Tabs, Fees &amp; Charges - Fees &amp; charges &amp; FAQs Tabs, Other Features - Accordions</t>
  </si>
  <si>
    <t>While user navigates the website through keyboard, while the focus is on any of the elements mentioned in steps to reproduce, the element doesn't get the border indicating that the focus is currently on the element.</t>
  </si>
  <si>
    <t>https://www.loom.com/share/2c3165897d7d4c8e81a0b240bb34d120</t>
  </si>
  <si>
    <t>UAT_PD_028</t>
  </si>
  <si>
    <t>Keyboard Navigation --&gt; Similar Cards --&gt; Left &amp; Right Slider button</t>
  </si>
  <si>
    <t>User remains unable to get the focus on the left or right slider button whichever is in enabled state. While navigating through the keyboard, the logical flow order should be focus redirecting to the slider button that is in enabled state after the last slider dot.</t>
  </si>
  <si>
    <t>https://www.loom.com/share/79d3f4ba5dac48bebd916b3ed339dc65</t>
  </si>
  <si>
    <t>UAT_PD_029</t>
  </si>
  <si>
    <t>Similar Cards --&gt; Card Title in the slider</t>
  </si>
  <si>
    <t>In case of iPads / Tablets, if the card title is lengthy and gets wrapped to the 2nd line, the 2nd line gets clipped under the element present below.</t>
  </si>
  <si>
    <t>https://www.loom.com/i/0ff9a5ca12644a08aa706156ce90616b</t>
  </si>
  <si>
    <t>24/02/2026 - The issue is resolved on devsit1 - https://loom.com/i/7906aae89cfe425a922a9c836683fd1d
13/02/2026 - The issue is resolved on HTML v50 - 1</t>
  </si>
  <si>
    <t>UAT_PD_030</t>
  </si>
  <si>
    <t>Similar Cards --&gt; Slider</t>
  </si>
  <si>
    <t>If the screen width is between 768 px - 1023 px (iPads / Tablets), only a single card gets shown in the slider in one slide. But in the HTML, 2 cards get shown in a single slide.</t>
  </si>
  <si>
    <t>https://www.loom.com/i/4ecb254288ce482aab68cd3a87932a9f</t>
  </si>
  <si>
    <t>UAT_PD_031</t>
  </si>
  <si>
    <t>Light &amp; Dark Themed Cards --&gt; Explore Rewards &amp; Other Features Section --&gt; Section Heading colour</t>
  </si>
  <si>
    <t>In case of light &amp; dark themed cards, the Explore Rewards &amp; Other Features section heading is supposed to be White but has gone light blue now. White was chosen for this section heading to maintain contrast level with the background banner image</t>
  </si>
  <si>
    <t>https://www.loom.com/i/45710336484e492898caa259dc8ace90</t>
  </si>
  <si>
    <t>16/02/2026 - Fixed on devsit1
06-02-2026- Fixed and Verified on 7-8 pages</t>
  </si>
  <si>
    <t>17/02/2026 - Issue resolved on devsit1 - 
https://loom.com/i/e629947b31104ecbbac358c819e790fc
https://loom.com/i/1d9ed3fcdb9447c6a3c43e54a070ba83
13/02/2025 - Another fix regarding this has been given by Bharat, this should get fixed once that is implemented.
09/02/2026 -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05/02/2026 - Now instead of only the light &amp; dark theme cards having their "Explore Rewards" &amp; "Other Features" section font colour changed to white, the dark + gold theme cards also have the font colour changed to white - 
https://loom.com/i/f519b484e8944061a62521a202ab178d
https://loom.com/i/98e05837bd4c4f1ca089e191ae7135de
03/02/2026 - Bug initially only mentioned light themed pages and Explore rewards section only. But, after further observation, the same issue occurs in case of dark theme cards and for Other features section as well.</t>
  </si>
  <si>
    <t>UAT_PD_032</t>
  </si>
  <si>
    <t>Exclusive Privileges --&gt; Each Card --&gt; Bullet point dots</t>
  </si>
  <si>
    <t>The bullet point dots on the left of each point get clipped. In case of small screen desktops, noticeable when the font size is default or small. In case of mid or large screen desktops, noticeable in all font sizes. Same goes for ipads or tablets except, the bullet points completely get clipped when font size is the smallest.</t>
  </si>
  <si>
    <t>https://www.loom.com/i/8b8d00ecec164b22bd3de461eb7d5e95
https://www.loom.com/i/f6c0a336af30419e9e1e6ced8711a97d</t>
  </si>
  <si>
    <t>24/02/2026 - The issue is resolved of devsit1 - 
https://loom.com/i/ee4cc543e55947d8a8b0f6d58e6e60e4
https://loom.com/i/12ef01a8a50348e2a0312329a6575af2
https://loom.com/i/ffd22d39ee8a472e8b4effb4447f25bb
13/02/2026 - The issue is not resolved on HTML v50 - 1. Now the entire bullet points are getting cropped from the view in case of desktops</t>
  </si>
  <si>
    <t>UAT_PD_033</t>
  </si>
  <si>
    <t>Exclusive Privileges --&gt; Mobile Phones --&gt; + button to view more bullet points</t>
  </si>
  <si>
    <t>The label "More" is no longer present with the + butotn to view more bullet points in case of mobile phones and it is not clickable</t>
  </si>
  <si>
    <t>https://www.loom.com/i/ae8cc23bbe3a42bfa78f20098c6fc65a</t>
  </si>
  <si>
    <t>UAT_PD_034</t>
  </si>
  <si>
    <t>Other Features --&gt; Dark Mode --&gt; Expand to see more button</t>
  </si>
  <si>
    <t>The font color of the "Expand to see more" button goes white in case of dark mode instead of being "#0094D9" as in the HTML. Check the actual vs expected result</t>
  </si>
  <si>
    <t>https://www.loom.com/i/f24e847425ba41a7845a09bbc3421eae</t>
  </si>
  <si>
    <t>https://www.loom.com/i/2ac85be982f24df5a2ed3828b57f0e28</t>
  </si>
  <si>
    <t>03/02/2026 - As discussed on call, the font colour was changed purposefully to avoid failing the contrast level instance for accessibility. Upon Namita ma'am's confirmation, marking the bug as resolved.</t>
  </si>
  <si>
    <t>UAT_PD_035</t>
  </si>
  <si>
    <t>Fees &amp; Charges Section --&gt; Both Fee &amp; Charges &amp; FAQ Tabs --&gt; Constantly switch between light &amp; dark mode</t>
  </si>
  <si>
    <t>The padding for the content inside both the tab is different in case of dark &amp; light mode. As a result, when user constantly switches from dark to light mode, user can notice the difference in content padding/positioning and overall height of the tab.</t>
  </si>
  <si>
    <t>https://www.loom.com/share/5eb1a725fad547c0a6c0da13eeeae05e</t>
  </si>
  <si>
    <t>18/02/2026 - The issue is resolved on devsit1 - https://www.loom.com/share/131bad91be55452c95cf90712fca5fcd
13/02/2026 - The issue is resolved on HTML v50 - 1</t>
  </si>
  <si>
    <t>UAT_PD_036</t>
  </si>
  <si>
    <t xml:space="preserve">Explore Rewards --&gt; Bottom Ribbon - "Also available in advantage variant" </t>
  </si>
  <si>
    <t>The ribbion is missing in the HTML of the 4 core cards where it should be - SBI Card Prime, SBI Card Elite, SimplyClick &amp; SimplySave</t>
  </si>
  <si>
    <t>https://www.loom.com/i/11ccb33eaaa1480db1a32762b6cd9192</t>
  </si>
  <si>
    <t>https://www.loom.com/i/d6e5ffee98e9405d895b5892e8d5bd32</t>
  </si>
  <si>
    <t>23/02/2026 - Fixed on PVT</t>
  </si>
  <si>
    <t xml:space="preserve">23/02/2026 - The issue is resolved on sbi-pvt - 
https://loom.com/i/62ec28abfecd4fe0a15c8699d39498ca
https://loom.com/i/6a273fb3a2954593a7cadc7b5d885a79
https://loom.com/i/995834b0209440559cea1e430197a93a
https://loom.com/i/14f087e674cb493d83cd56da4f5547f5
09/02/2026 - Content will be provided by Namita ma'am </t>
  </si>
  <si>
    <t>UAT_PD_037</t>
  </si>
  <si>
    <t>Mobile Phones --&gt; Air India SBI Platinum Card, Air India SBI Signature Card, Cashback SBI Card --&gt; Mobile footer menu wrap</t>
  </si>
  <si>
    <t>For the mentioned credit card pages, the mobile footer wrap menu is missing</t>
  </si>
  <si>
    <t>https://www.loom.com/share/88059e66fde94c09ab6b16ff8951444f</t>
  </si>
  <si>
    <t>23/02/2026 - Fixed on PVT
16/02/2026 - Fixed on devsit1</t>
  </si>
  <si>
    <t>23/02/2026 - The issue is resolved on sbi-pvt - 
https://loom.com/i/b31363c9c0384c3f837897c5392a6c02
https://loom.com/i/826616deb55b4cdf898fc0fb82a8c20f
https://loom.com/i/ff47f8d8d6d04e42bc15e82cd6b4df76
17/02/2026 - Instead of using the product details page mobile footer menu wrap, the home page's footer menu wrap is inserted in the pages mentioned in the bug. Compare them with rest of the pages as demonstrated in this screen recording - https://www.loom.com/share/9ff0d9776b0944ecab6e6595784a2593
13/02/2026 - Bharat needs to make a class for this so the team can control where this mobile navigation footer needs to appear and where not (on which page)</t>
  </si>
  <si>
    <t>UAT_PD_038</t>
  </si>
  <si>
    <t>Side Bar Menu --&gt; Best For --&gt; More + button</t>
  </si>
  <si>
    <t>Bottom margin below the card benefits block is missing.</t>
  </si>
  <si>
    <t>https://www.loom.com/i/14940677d12b447b82eb7466de497619</t>
  </si>
  <si>
    <t>https://www.loom.com/i/74f091501a3c49ed85d52c3b19662044</t>
  </si>
  <si>
    <t>23/02/2026 - As per Namita- we will look at that issue after post go-live</t>
  </si>
  <si>
    <t>23/02/2026 - As confirmed on call by Namita ma'am on 19th Feb, this issue can be picked after release. Therefore marking the issue on hold for this release.</t>
  </si>
  <si>
    <t>UAT_PD_039</t>
  </si>
  <si>
    <t>SBI Card Elite, IRCTC SBI Platinum Card --&gt; Similar Cards section</t>
  </si>
  <si>
    <t>The similar cards section is missing for both the mentioned pages.</t>
  </si>
  <si>
    <t>https://www.loom.com/i/0100c1b76f1d4f23bef4ef41ea438aaa
https://loom.com/i/a46048620a0748d78bf81513d06bcea3</t>
  </si>
  <si>
    <t>25/02/2026 - The issue is resolved on sbi-pvt - 
https://loom.com/i/bcc5334222444635959e8c3b9c1efd28
https://loom.com/i/ac79a2b3c78f41f28ce4dd56be4bb707
24/02/2026 - The issue is not resolved on devsit1</t>
  </si>
  <si>
    <t>UAT_PD_040</t>
  </si>
  <si>
    <t>Video Player</t>
  </si>
  <si>
    <t>devsit1 --&gt; All Pages --&gt; Product Videos --&gt; Play any video</t>
  </si>
  <si>
    <t>When user plays any video, the video player controls at the bottom get cropped from the pop up modal and the cross button on the top of the modal doesn't appear and a gridline appears instead</t>
  </si>
  <si>
    <t>https://www.loom.com/share/23ff13564c99469c88f3662e4680ea00</t>
  </si>
  <si>
    <t>https://loom.com/i/d55654955090449e9f088f6bb7abe359</t>
  </si>
  <si>
    <t xml:space="preserve">23/02/2026 - we cannot check this at our end </t>
  </si>
  <si>
    <t>25/02/2026 - The issue has been resolved on devsit1 - https://loom.com/i/7aa6c7b74a7e43c9b9a2bb9296732a0a
23/02/2026 - This was demonstrated on call and an attempt was made to try and reach "Prince" to check if it can be solved as no videos play on SBI Team's systems</t>
  </si>
  <si>
    <t>UAT_PD_041</t>
  </si>
  <si>
    <t>All Pages --&gt; Exclusive Privileges --&gt; Each card Icon</t>
  </si>
  <si>
    <t>The icons are not center aligned (both vertically &amp; horizontally) inside the circle. This is specially evident in case font size is increased or decreased</t>
  </si>
  <si>
    <t>https://www.loom.com/i/dcd71920c7404883a503a75f823eeb9d
https://www.loom.com/i/c3d3fa8e076a449a880e0248e4672459</t>
  </si>
  <si>
    <t>Phulvinder</t>
  </si>
  <si>
    <t>06/03/2026 - On sbi-pvt, some of exclusive privilege icons used are .png instead of .svg. Also, if the icons have a gap around them. their center alignment breaks. For this, we need to provide new icons to the SBI Team, therefore keeping this issue in our bucket by assigning in to our member Phulvinder Ji</t>
  </si>
  <si>
    <t>UAT_PD_042</t>
  </si>
  <si>
    <t>Product Videos --&gt; Play Any Video --&gt; Scroll up &amp; down</t>
  </si>
  <si>
    <t>While Video pop up is open, the page in the background gets scrolled</t>
  </si>
  <si>
    <t>https://www.loom.com/share/59ed2bf7cdaf4882b12b019681a5412c</t>
  </si>
  <si>
    <t>25/02/2026 - These are issues also occurring on HTML and as SBI team is not picking any more HTML issues in this release, this bug remains in HTML Team's bucket with its priority as P3</t>
  </si>
  <si>
    <t>UAT_PD_043</t>
  </si>
  <si>
    <t>Touch Devices</t>
  </si>
  <si>
    <t>Product Videos --&gt; Play Any Video --&gt; Click on the Video Pop up --&gt; Check the cross icon on the top right</t>
  </si>
  <si>
    <t>The cross button on the top right gets overlapped with the Settings icon on the top right</t>
  </si>
  <si>
    <t>https://www.loom.com/i/740f273ca5a748218e2126bcb67db36f</t>
  </si>
  <si>
    <t>UAT_PD_044</t>
  </si>
  <si>
    <t>Explore Rewards --&gt; Section Image --&gt; Benefit - Text Animation --&gt; Sub title (reward subtext) font size</t>
  </si>
  <si>
    <t>The Reward subtext doesn't adjust its font size when user increases or decreases the font</t>
  </si>
  <si>
    <t>https://www.loom.com/i/ecb40e911c7f4c13b352f8be33f0ba41</t>
  </si>
  <si>
    <t>UAT_PD_045</t>
  </si>
  <si>
    <t>KrisFlyer SBI Card Apex, Indigo SBI Card Elite, SBI Card Prime, Landmark Rewards, SBI Card Prime --&gt; Etihad Guest SBI Prmier Card, KrisFlyer SBI Card, SBI Card Miles Prime --&gt;Exclusive Privileges --&gt; Flip multiple card</t>
  </si>
  <si>
    <t>For all the pages mentioned in steps to reproduce, user can flip more than one card at the same time. If a card is already flipped and user flips another one, the previous one does unflip itself</t>
  </si>
  <si>
    <t>https://www.loom.com/share/5237b127a00f455283198e1559756ef9</t>
  </si>
  <si>
    <t>UAT_PD_046</t>
  </si>
  <si>
    <t>iPads Pro 11 inches (834px x 1194px) --&gt; Landscape mode --&gt; Similar Card Section --&gt; Check if more than 2 cards appear in each slide</t>
  </si>
  <si>
    <t>In case the devices' screen resolution is anywhere where between 1025px - 1201px, instead of only 2 cards appearing in each slide, 3 cards appear. As a result, due to less space available, the bullet points get truncated and the CTA labels get word wrapped to next line increasing the height of the CTA buttons</t>
  </si>
  <si>
    <t>https://www.loom.com/i/8188827e14e245a4a5ccdfb01a7d1d59</t>
  </si>
  <si>
    <t>UAT_PD_047</t>
  </si>
  <si>
    <t>All Pages --&gt; Side Bar --&gt; Best For --&gt; Milestone Privileges</t>
  </si>
  <si>
    <t>Where ever "Milestone Privileges" is used, it needs to be replaced with "Milestone Benefits"</t>
  </si>
  <si>
    <t>https://www.loom.com/i/3006560e6886487c8c22558a57c05e29</t>
  </si>
  <si>
    <t>10/03/2026 - This issue is fixed for SBI Card Elite, Flipkart SBI Card, SBI Card Prime, SBI Unnati are done. However, BPCL SBI Card Octane, IRCTC SBI Card Premier still show "Milestone Privielges" instead of "Milestone Benefits"</t>
  </si>
  <si>
    <t>UAT_PD_048</t>
  </si>
  <si>
    <t>Shadow Effect</t>
  </si>
  <si>
    <t>Dark &amp; Dark + Gold Pages --&gt; Similar Card Section --&gt; Card Face background shadow effect</t>
  </si>
  <si>
    <t>In case the page theme is dark then the card shadow in the background of the card faces need to be such that it is visible on the dark theme but at the same time doesn't interfere with the card outline in case then card has white or light colors in its card face image.</t>
  </si>
  <si>
    <t>https://www.loom.com/i/43e3b358ed054d07b689ece878353499</t>
  </si>
  <si>
    <t>UAT_PD_049</t>
  </si>
  <si>
    <t>Titan SBI Card --&gt; Mobile Phones --&gt; Exclusive Privileges --&gt; Reward Benefits</t>
  </si>
  <si>
    <t>+ More / - Less button is missing and all bullet points are shown by default.</t>
  </si>
  <si>
    <t>https://www.loom.com/i/ffff4f6d4029441ba2e99b4814a9b303</t>
  </si>
  <si>
    <t>UAT_PD_050</t>
  </si>
  <si>
    <t>Etihad Guest SBI Card &amp; Etihad Guest SBI Premier Card --&gt; Replacement Disclaimer section</t>
  </si>
  <si>
    <t>The Replacement Disclaimer needs to be updated on UAT for the mentioned pages</t>
  </si>
  <si>
    <t>https://www.loom.com/i/067f53a15eff42268d736063769c8805</t>
  </si>
  <si>
    <t>13/03/2026 - The issue is now resolved on devsit1 - https://loom.com/i/bf7848751f234453980e1b33e14615da
https://loom.com/i/9d6778566b26420d8df71df0ac70d3b7</t>
  </si>
  <si>
    <t>UAT_CP_001</t>
  </si>
  <si>
    <t>FIND YOUR PERFECT CARD section --&gt; Help me Choose &amp; Find Yourself</t>
  </si>
  <si>
    <t>Help me Choose &amp; Find Yourself tabs missing</t>
  </si>
  <si>
    <t>https://www.loom.com/i/dc6de221e9de4b4ab2203827c60b8f64</t>
  </si>
  <si>
    <t>https://www.loom.com/i/39fff6de6e984896b6669ca420f84d7d</t>
  </si>
  <si>
    <t>15/01/2026</t>
  </si>
  <si>
    <t>Right now we are going with a single tab as per the team on call</t>
  </si>
  <si>
    <t>UAT_CP_002</t>
  </si>
  <si>
    <t>Icon</t>
  </si>
  <si>
    <t>Own a SBI Card Today! --&gt; Get Your Card Instantly --&gt; Submit OTP --&gt; Application recieved GIF</t>
  </si>
  <si>
    <t>The Party Popper GIF doesn't load after application gets submitted successfully.</t>
  </si>
  <si>
    <t>https://www.loom.com/i/70d8e06fe799462889efbf308652abc2</t>
  </si>
  <si>
    <t>https://www.loom.com/i/5f6d412518c54d0ea1bba6f5d1e30960</t>
  </si>
  <si>
    <t>Bug on Hold because as per Neha on call, this section's development is in progress.</t>
  </si>
  <si>
    <t>UAT_CP_003</t>
  </si>
  <si>
    <t xml:space="preserve">Your Card. Your Way --&gt; Various Cards --&gt; Benefits &amp; CTA Buttons </t>
  </si>
  <si>
    <t>Benefits &amp; CTA buttons are missing for various cards.</t>
  </si>
  <si>
    <t>https://www.loom.com/i/4c6dea5f804f4135802743523bd700ba</t>
  </si>
  <si>
    <t>Need to discuss with Namita ma'am for "See Benefit" button placement. Apply Now is not required for some.</t>
  </si>
  <si>
    <t>06/02/2026 - See benefits position is approved by Namita ma'am on call
21/01/2026 - Now the Benefit bullet points and "See Benefits" CTA have appeared but the "Apply Now" button is still missing for some of the card. https://www.loom.com/i/e4d7baaca328443d93d4f655927d848b</t>
  </si>
  <si>
    <t>UAT_CP_004</t>
  </si>
  <si>
    <t>Already Applied section --&gt;&lt;div class="sun-block" aria-label="Switch into dark mode"&gt;</t>
  </si>
  <si>
    <t xml:space="preserve">Accessibility instance fails because - "aria-label attribute cannot be used on a div with no valid role attribute." </t>
  </si>
  <si>
    <t>https://www.loom.com/i/6ac549b4b46e41f88055846f175096b8</t>
  </si>
  <si>
    <t>UAT_CP_005</t>
  </si>
  <si>
    <t>Applied Already section --&gt; word "Already"</t>
  </si>
  <si>
    <t>The font colour of the word "Already" needs to be #0094D9 instead of white</t>
  </si>
  <si>
    <t>https://www.loom.com/i/9d0370c994a2426a98ee6f81a001a000</t>
  </si>
  <si>
    <t>https://www.loom.com/i/d80c7a00c260403ca44c7f3a047fd75e</t>
  </si>
  <si>
    <t>Not a bug as we already discussed that in the call</t>
  </si>
  <si>
    <t>We discussed why the colour couldn't be changed. But we still need to solve the issue. Can only close it if it doesn't need to be considered as an issue.</t>
  </si>
  <si>
    <t>UAT_CP_006</t>
  </si>
  <si>
    <t>Already Applied section --&gt; Sub Heading</t>
  </si>
  <si>
    <t>The extra question mark needs to be removed from the sub heading.</t>
  </si>
  <si>
    <t>https://www.loom.com/i/fd847789dafe4bebac76369015d02a71</t>
  </si>
  <si>
    <t>No longer occurring, hence marking the issue as resolved.</t>
  </si>
  <si>
    <t>UAT_CP_007</t>
  </si>
  <si>
    <t>Hero section's last slide --&gt; Press tab to move focus to the next element</t>
  </si>
  <si>
    <t>The element focus using tab is not following the logical order. After hero section, the "Featured" tab of "Your Card. Your Way." should have been focused but instead the hidden filter criteria get focused.</t>
  </si>
  <si>
    <t>https://www.loom.com/share/01bea74e1cda439ab71eeae877c5520a</t>
  </si>
  <si>
    <t>25/02/2026 - This is fixed on devsit1</t>
  </si>
  <si>
    <t>05/03/2026 - The issue was already marked as resolved on 2nd March 2026
02/03/2025 - The issue is resolved on sbi-pvt - https://www.loom.com/share/a6ebc779e2154957a962029ebc14e3e8
25/02/2026 - The issue is not yet resolved on devsit1 - https://www.loom.com/share/8fac5f7a5ac14c1ba08250dbd31e24b6
24/02/2026 - The issue is not yet resolved on devsit1</t>
  </si>
  <si>
    <t>UAT_CP_008</t>
  </si>
  <si>
    <t xml:space="preserve">Your Card. Your Way --&gt; Cards --&gt; Apply Now &amp; See Benefits CTA Buttons </t>
  </si>
  <si>
    <t>"Apply Now" button has the style of "See Benefits" button and vice versa. The styles need to be interchanged.</t>
  </si>
  <si>
    <t>https://www.loom.com/i/1a7afed79cb846bb8f324660dbcee2f6</t>
  </si>
  <si>
    <t>https://www.loom.com/i/a9f8bc9fc387444380d11ca4b99f3306</t>
  </si>
  <si>
    <t>Not a bug, this depends on the card content</t>
  </si>
  <si>
    <t>As per the Team's comment, marking the issue as resolved as it is now working fine for those cards that have both CTAs.</t>
  </si>
  <si>
    <t>UAT_CP_009</t>
  </si>
  <si>
    <t>Exclusivity. Elegance. Yours. --&gt; All Slides --&gt; See Benefits</t>
  </si>
  <si>
    <t>The arrow icon with the "See Benefits" hyperlink is missing.</t>
  </si>
  <si>
    <t>https://www.loom.com/i/226d3f6f67ac480791f3c4e970bf9fd6</t>
  </si>
  <si>
    <t>https://www.loom.com/i/4ca870837a6a41cabd620f2c36646071</t>
  </si>
  <si>
    <t>UAT_CP_010</t>
  </si>
  <si>
    <t>Exclusivity. Elegance. Yours. --&gt; 2nd &amp; 3rd Slide --&gt; Text Content alignment</t>
  </si>
  <si>
    <t>For 2nd &amp; 3rd Slides, the text content vertical alignment is more towards the bottom instead of being on the top center.</t>
  </si>
  <si>
    <t>https://www.loom.com/i/c3a63723df604d46a2f47352af02283e</t>
  </si>
  <si>
    <t>https://www.loom.com/i/834243ac649b479abf089c0900b8fd03</t>
  </si>
  <si>
    <t>Need Discussion</t>
  </si>
  <si>
    <t>Issue due to chat bot class - main.css 6 file</t>
  </si>
  <si>
    <t>9/02/2026 - Issue resolved - https://loom.com/i/6759c7fd990e40bc98d90a341f81f1dd</t>
  </si>
  <si>
    <t>UAT_CP_011</t>
  </si>
  <si>
    <t>Product Alert Carousel --&gt; Read Fraud Prevention Guideline</t>
  </si>
  <si>
    <t>https://www.loom.com/i/783233421ac84d4284a62aff1c53b93c</t>
  </si>
  <si>
    <t>https://www.loom.com/i/62614a17ace5415db491d1f79c860141</t>
  </si>
  <si>
    <t>UAT_CP_012</t>
  </si>
  <si>
    <t>Product Alert Carousel --&gt; Navigate through the slides using keyboard tab</t>
  </si>
  <si>
    <t>When user move forward or backward in the slider carousel, the focused slide doesn't get to the front and instead remains on the back</t>
  </si>
  <si>
    <t>https://www.loom.com/share/6c6d8ddaa76a42d1a1bbdc37bd2404d1</t>
  </si>
  <si>
    <t>UAT_CP_013</t>
  </si>
  <si>
    <t>Product Alert Carousel --&gt; Slider Dots</t>
  </si>
  <si>
    <t>The Product alert carousel's slider dots are not accessible through the keyboard</t>
  </si>
  <si>
    <t>UAT_CP_014</t>
  </si>
  <si>
    <t>Things you’ll need to Apply --&gt; All 3 Tabs --&gt; Get the focus on these using keyboard's tab</t>
  </si>
  <si>
    <t>When these tabs get focused using keyboard, they do not get the border highlight to show that they are focused on. However, if windows narrator is on, the border does appear.</t>
  </si>
  <si>
    <t>https://www.loom.com/i/72da5a83e15d488d8bdb1d9a19acf3c9</t>
  </si>
  <si>
    <t>UAT_CP_015</t>
  </si>
  <si>
    <t>Frequently Ask Questions --&gt; Expand any Question --&gt; Try to access any extra link in the answer through keyboard</t>
  </si>
  <si>
    <t>Keyboard users cannot access any extra link present inside the answer of any of the questions</t>
  </si>
  <si>
    <t>https://www.loom.com/i/d922762ca06f4a508f7032d5f38bde68</t>
  </si>
  <si>
    <t>UAT_CP_016</t>
  </si>
  <si>
    <t>Product Alert Carousel --&gt; All Touch Devices</t>
  </si>
  <si>
    <t>The slider positioning goes towards to right and out of the screen instead of being present in the center.</t>
  </si>
  <si>
    <t>https://www.loom.com/i/90ee089da3f446ef93a062a961268da2</t>
  </si>
  <si>
    <t>https://loom.com/i/91c260723ec24fd1b5e6470eaf0a2837</t>
  </si>
  <si>
    <t>Sachin</t>
  </si>
  <si>
    <t>Fixed on 12-02-2026</t>
  </si>
  <si>
    <t>19/02/2026</t>
  </si>
  <si>
    <t>19/02/2026 - The issue is resolved on devsit1 - https://loom.com/i/aa487897f68b4688b4388190f089cbc4
09/02/2026 - This issue is no longer occuring on devsit - https://loom.com/i/8e4f868a315d4c0a861ea7183fbc114f
But when checking on the benchmark HTML - 54v with devsit css copied to it, it behaves incorrectly for devices around width Actual Result - https://www.loom.com/i/79174709c5b54cedb405c4ef77ffdf51
In case of widths aroung 750px the stacked cards behind are not visible.
https://loom.com/i/e6a036e2127845008665d30f99ff8fb0</t>
  </si>
  <si>
    <t>UAT_CP_017</t>
  </si>
  <si>
    <t>Assistance Made Simple --&gt; iPads / Tablets --&gt; All 3 Containers --&gt; Span Text</t>
  </si>
  <si>
    <t>The text gets truncated with 3 dots from the end.</t>
  </si>
  <si>
    <t>https://www.loom.com/i/d5d7262522d148f6ae5ec77bd3a82599</t>
  </si>
  <si>
    <t>19/02/2026 - As there is only a limit to the content that can be accomodated in that space,the content was shorten keeping this in mind, copied the final content (updated) and put it on devsit1 to check, the issue doesn't occur hence closing - https://loom.com/i/50fbf74cf6ba465abcfb4ccac6c7f8d8
https://loom.com/i/91ad0fdac45d43b295508a510ba76045
11/02/2026 - The issue is as it is in case of iPads - https://www.loom.com/i/e82447758a9e45b3b81300dfb236e89d 
The issue is not resolved in HTML and is also found in case of mobile phones if font is increased to large - https://www.loom.com/i/e9da04f8003e47a792c92b6d7d41dbc0</t>
  </si>
  <si>
    <t>UAT_CP_018</t>
  </si>
  <si>
    <t>Your Card. Your Way --&gt; All Cards --&gt; Card shadow effect</t>
  </si>
  <si>
    <t>The shadow effect below each card doesn't adjust according to the aspect ratio/size of the uploaded image.</t>
  </si>
  <si>
    <t>https://www.loom.com/i/b7a23c4058d1437da9f99aff8896c45f</t>
  </si>
  <si>
    <t>https://www.loom.com/i/e13134e1070c4d72948f18c3c644b960</t>
  </si>
  <si>
    <t>Working fine on HTML</t>
  </si>
  <si>
    <t>06/02/2026 - The issue is no longer occurring. Hence closing the issue.</t>
  </si>
  <si>
    <t>UAT_CP_019</t>
  </si>
  <si>
    <t>Your Card. Your Way --&gt; Desktops / iPads --&gt; Vertical alignment of different card contents with each other.</t>
  </si>
  <si>
    <t>Some of the card may have more/lengthier content that others, this breaks the vertical alignment between the content &amp; CTA buttons of different cards wheen compared with each other side by side. This is necessary for a systematic and aligned view.</t>
  </si>
  <si>
    <t>https://www.loom.com/i/599f2b5dc9e74f87935f235b6b5dec33</t>
  </si>
  <si>
    <t>19/02/2026 - Issue is resolved on devsit1 - https://loom.com/i/dd08d2eb9b6649f79db755754b836adb
11/02/2026 - The issue has been checked on HTML v54 with UAT css and is resolved - https://loom.com/i/04ef081cfee84234bcc33e68bacf0915</t>
  </si>
  <si>
    <t>UAT_CP_020</t>
  </si>
  <si>
    <t>Your Card. Your Way --&gt; Each Card CTA Buttons --&gt; Gap between them</t>
  </si>
  <si>
    <t>The Gap between the Apply Now button and the See benefits button is more than required (in case of all devices). The width of both the buttons can be increased in all cases such that only the required amount of gap remains between them. Check the actual vs expected screenshots.</t>
  </si>
  <si>
    <t>https://www.loom.com/i/2c308fe2c6ca4138bee3a0fa907acabd</t>
  </si>
  <si>
    <t>https://www.loom.com/i/b20597f147864b6ab62f657cfffadc10</t>
  </si>
  <si>
    <t>19/02/2026 - Issue is resolved on devsit1 - https://loom.com/i/890b88473a2c413d9ec203f80f3e449d
11/02/2026 - The CTA width has only been adjusted for the first card - 
https://www.loom.com/i/04de0ed1f1904dbb9670fd289db0528e</t>
  </si>
  <si>
    <t>UAT_CP_021</t>
  </si>
  <si>
    <t>Exclusivity. Elegance. Yours. --&gt; All Slides Content</t>
  </si>
  <si>
    <t>The Title's bottom line text gets clipped from the bottom. Especially in case of large font</t>
  </si>
  <si>
    <t>https://www.loom.com/i/a8013e13ab7f4206a33a026469fce2b7</t>
  </si>
  <si>
    <t>19/02/2026 - Issue is resolved on devsit1 - https://loom.com/i/cf4f9e2b59534cb29b7adc88bd900f6c
11/02/2026 -  The issue has been checked on HTML v54 with UAT css and is resolved - https://loom.com/i/33a78849dddf4563be2c0e386e7160ca</t>
  </si>
  <si>
    <t>UAT_CP_022</t>
  </si>
  <si>
    <t>Exclusivity. Elegance. Yours. --&gt; All Slides --&gt; Title element</t>
  </si>
  <si>
    <t>Regardless if user increases or decreases the font size, the line height of the title element remains the same 36px. As a result, different line texts start to overlap with each other the size increased and do not maintain a standard gap between them in order to be clean and readable.</t>
  </si>
  <si>
    <t>https://www.loom.com/i/a5a434a3dda74a6299020c2ad538d8d9</t>
  </si>
  <si>
    <t>19/02/2026 = Issue is resolved on devsit1 - https://loom.com/i/4eb9bac9d12d476fa616fda70e413240
11/02/2026 -  The issue has been checked on HTML v54 with UAT css and is resolved -  https://loom.com/i/0fee1b4995de4725a8b8ec34d99aa0a9</t>
  </si>
  <si>
    <t>UAT_CP_023</t>
  </si>
  <si>
    <t>Height</t>
  </si>
  <si>
    <t>Find Your Perfect Card Section --&gt; Section's Height</t>
  </si>
  <si>
    <t>The section's height seems more than the what it is in the design reference. As a result, small or mid sized Desktops will never show the complete section on the screen frame and user would always have to scroll to view it completely. Size of images used and some padding can be reduced to decreased the size of the overall section.</t>
  </si>
  <si>
    <t>https://www.loom.com/i/1b4b6675f90546449fb438881cec8a5a</t>
  </si>
  <si>
    <t>https://loom.com/i/3bf3442af92e4b479619b484b03f3fd8</t>
  </si>
  <si>
    <t>The section height has been reduced as much as possible. Since this section contains two tabs, and the second tab’s HTML is coming from the home page, the height has been adjusted according to that component as much as feasible. Any further changes would also require updates on the home page.</t>
  </si>
  <si>
    <t>21/02/2026</t>
  </si>
  <si>
    <t>21/02/2026 - As confirmed by Arun sir on call (Sachin Present) - Namita ma'am confirmed that -  this issue is to be kept P3 for now as it can be picked in the next phase 
19/02/2026 - The issue is not yet solved (from HTML side as well) and needs to be discussed on call.
11/02/2026 - Issue still not resolved. As per Namita ma'am the section should fit having a complete view in the common desktop sizes such that user doesn't have to scroll up or down to view the section completely - https://loom.com/i/8868d1de2ecb4e90ba6fd16b737b96fc</t>
  </si>
  <si>
    <t>UAT_CP_024</t>
  </si>
  <si>
    <t>Already Applied section --&gt; Section Heading</t>
  </si>
  <si>
    <t>Question mark missing after "Already Applied" in the title</t>
  </si>
  <si>
    <t>https://www.loom.com/i/da2b3efb5f154e879798ca0b56835d9a</t>
  </si>
  <si>
    <t>UAT_CP_025</t>
  </si>
  <si>
    <t>Frequently Ask Questions --&gt; Expand any Question --&gt;Check if the blue border appears for the expanded container instead of being by default at the first question.</t>
  </si>
  <si>
    <t>The blue border are the question remains on the first question box always. Instead, it should only appear on the question box that gets expanded.</t>
  </si>
  <si>
    <t>https://www.loom.com/i/2895b651d1e440bb86a11656d83319bc</t>
  </si>
  <si>
    <t>20/02/2026 - The issue is resolved on devsit1 - https://www.loom.com/share/8f217498b43c45e98dd8b7ab9b635a35
19/02/2026 - The issue is not resolved on devsit1. On top of it, the question boxes are no longer expanding to display the answer - 
11/02/2026 - The issue has been checked on HTML v54 with UAT css and is resolved - https://loom.com/i/6b86a9e338ae4c688de5e63383caeef7</t>
  </si>
  <si>
    <t>UAT_CP_026</t>
  </si>
  <si>
    <t>Mobille Devices</t>
  </si>
  <si>
    <t>Assistance Made Simple --&gt; Mobile Devices --&gt; All 3 Containers</t>
  </si>
  <si>
    <t>The 3 containers in the grid do not have width divided between them equally and instead based on the content in them. As a result, the last container is noticeably narrower then the other two.</t>
  </si>
  <si>
    <t>https://www.loom.com/i/a749bfbc87334c12a4b339fb7f3e88c8</t>
  </si>
  <si>
    <t>Fixed it you can check</t>
  </si>
  <si>
    <t>19/02/2026 - The issue is resolved on devsit1 - https://loom.com/i/b84c108dd578491296e83feb02c28785
11/02/2026 - The issue has been checked on HTML v54 with UAT css and is resolved - https://loom.com/i/f1e70b7ec1d249b9b9a121db34d1d1b0</t>
  </si>
  <si>
    <t>UAT_CP_027</t>
  </si>
  <si>
    <t>Touch Devices --&gt; Your Card. Your Way. --&gt; Filters Menu</t>
  </si>
  <si>
    <t>In case of touch devices, while scrolling through the Filters menu that opens up, as soon as the scroll path of the menu is over, it shifts its position slighly upwards and at the bottom we can see the page in the background getting scrolled even when the filter menu is open.</t>
  </si>
  <si>
    <t>https://www.loom.com/share/4d3384536efd4d0bbecab9b7d9d32fdd</t>
  </si>
  <si>
    <t>25/02/2026 - As the issue occurs on real devices (demonstrated on call) and it works fine in case of HTML, therefore issue updated - Assigned to Neha Jain &amp; Platform changed from HTML/CSS to UAT
19/02/2026 - Issue still not resolved on devsit1 when checked on real mobile device - When user scrolls up and down after opening the filter, the a gap at the bottom of the filter modal can be noticed and through this, the page in the back getting scrolled is visible. This gets replicated especially if user performs any up or down swipe gesture outside the filter modal. Check the screen recording for better understanding - https://www.loom.com/share/ab3a30d24d924724bb5d146093bd71c9
11/02/2026 - The filter pop up now opens from the bottom without any gap but the page in the background still gets scrolled while the filter menu is open - https://www.loom.com/share/827b65e0881a497992ad8466ac432455</t>
  </si>
  <si>
    <t>UAT_CP_028</t>
  </si>
  <si>
    <t xml:space="preserve"> When user drags down the menu with touch gesture, the filter menu doesn't close.</t>
  </si>
  <si>
    <t>https://www.loom.com/i/79b55267c9e2420bbc78abaae1efee65</t>
  </si>
  <si>
    <t>Need Discussion updated on 12-02-2026. Need to imlement as feature.
fix is given in the doc on 16-02-2026</t>
  </si>
  <si>
    <t>25/02/2026 - As the slider has been replaced by a cross button and it is functional. The only problem is it doesn't have an icon therefore the issue couldn't be marked as closed. However, its priority is now changed from P1 to P2 and stage column updated to PVT from HTML/CSS and issue assigned to Neha Jain as icon has been provided.
19/02/2026 - The issue is not resolved on devsit1 - the cross button icon/image doesn't load - https://www.loom.com/i/33c22f5c301a4d74a55545cb2cf77cac
11/02/2026 - As per Namita ma'am on call, this issue needs to be fixed therefore opened again. Either implement the drag to close functionality on the pop up or provide a cross button instead of slide bar at the top.
06/02/2026 - As per Dev remark and after discussion on call with Sachin &amp; Arun sir. This is not being considered as an issue. Hence closing this one.</t>
  </si>
  <si>
    <t>UAT_CP_029</t>
  </si>
  <si>
    <t>Compare your Cards pop up --&gt; Choose cards with lengthy names</t>
  </si>
  <si>
    <t>Card Names &amp; placeholder "Select another card to compare" get truncated from the end with 3dots due to less space available in case of touch devices.</t>
  </si>
  <si>
    <t>https://www.loom.com/i/3d0e175d8bc940889f9671db8f11607c</t>
  </si>
  <si>
    <t>Need Discussion updated on 12-02-2026</t>
  </si>
  <si>
    <t>19/2/2026</t>
  </si>
  <si>
    <t>19/02/2026 - Issue resolved on devsit1 - https://loom.com/i/74b6d4e1a0bc400ebb2010b50cb51d55
13/02/2026 - The fix for this is yet to be given from Sachin's side.
11/02/2026 - As per Namita ma'am, the card titles should be free flowing even if it takes upto 4 lines and "Select another card to compare" needs to be  removed and instead the "Add" needs to be changed to "Add Card". If this suggested solution breaks anything then the placeholder "Select another card" needs to be replaced with something short.
https://www.loom.com/i/195256345b954747bc70e1e9fe410f72</t>
  </si>
  <si>
    <t>UAT_CP_030</t>
  </si>
  <si>
    <t>Your Cards. Your Way. --&gt; Each Card --&gt; Benefit Bullet points</t>
  </si>
  <si>
    <t>If card benefit point has more than 1 sentence the tick mark icon that acts as bullet for the point should always be aligned with the first line of the point. Check the actual vs expected result.</t>
  </si>
  <si>
    <t>https://www.loom.com/i/bf5a3bc1805441eda98a8a00558c8d5c</t>
  </si>
  <si>
    <t>https://www.loom.com/i/7d5dd03071a3446b81bc8e1f2e42ff13</t>
  </si>
  <si>
    <t>19/02/2026 - The issue is resolved on devsit1 - https://loom.com/i/6692292fcc9148bc8aee7f021d76b1a7
11/02/2026 - The issue has been checked on HTML v54 with UAT css and is resolved. - https://loom.com/i/5df14e58afae4594822cf0316a17b28d</t>
  </si>
  <si>
    <t>UAT_CP_031</t>
  </si>
  <si>
    <t>Your Cards. Your Way. --&gt; Filters Menu --&gt; Select any check box</t>
  </si>
  <si>
    <t>In case of desktop selecting any check box from the filter menu directly applies the filter as there is no "Apply" button but in case of touch devices, filter menu opens that has an "Apply Filter" button so the filter should not be applied until user clicks on the apply button.</t>
  </si>
  <si>
    <t>https://www.loom.com/share/0bb4e33fc96f44e587dcb4b4b509d682</t>
  </si>
  <si>
    <t>24/02/2026 - As discussed on call, this needs to be picked in the next release therefore changing it's status to "Hold"
20/02/2026 - As discussed on call with Arun sir (Sachin Present) Namita ma'am confirmed that this can be changed from P1 to P3.</t>
  </si>
  <si>
    <t>UAT_CP_032</t>
  </si>
  <si>
    <t>Exclusivity. Elegance. Yours. --&gt; All Slides --&gt; Title</t>
  </si>
  <si>
    <t>Lengthy title, card names and sub titles get truncated with 3 dots at the end. For example: check the 2nd slide's title.</t>
  </si>
  <si>
    <t>https://www.loom.com/i/b6acc34740454010afcca94c27306081</t>
  </si>
  <si>
    <t>25/02/2026 - Sachin's fix - " Fix was given as much as it can be reduced" was implemented as confirmed by Neha Laddha ma'am
Need Discussion updated on 12-02-2026,
Font size for all the three title, card &amp; sub-text to be reduced throught out, wee need to handle card title specially so that it should not trucate anyway.
Sachin - Fix was given as much as it can be reduced</t>
  </si>
  <si>
    <t>25/02/2026 - As suggested by Arun sir, the width of the container needs to be increased to properly solve this and this change will be picked in the next release therefore marking this issue as P3 for now and it remains in HTML team's bucket.
24/02/2026 - The QA remark mentioned on 10/02/2026 is still applicable
10/02/2026 - Font size slightly needs to be decreased as discussed on call with Namita ma'am to avoid this. This needs to be done for Card Names &amp; Subtitles as well.
06/02/2026 - Based on Dev Remark, content team will have to restrict content to be not more than 72 charactes.</t>
  </si>
  <si>
    <t>UAT_CP_033</t>
  </si>
  <si>
    <t>Product Alert Carousel --&gt; Try to drag/swipe through the slides</t>
  </si>
  <si>
    <t>Unlike other sliders on the page, the Product alert carousel slider doesn't slide if user tries to drag or swipe through it.</t>
  </si>
  <si>
    <t>https://www.loom.com/share/a54c2fb3b7f94e3a88e714d356920ea7</t>
  </si>
  <si>
    <t>19/02/2026 - The issue is resolved on devsit1 - https://www.loom.com/share/ce21adbb0bc14d85a9c8cc478a162e9c
11/02/2026 - The issue has been checked on HTML v54 with UAT css and is resolved. - https://www.loom.com/share/60a006d7b2f74381a17b7f0389388a9e
06/02/2026 - Issue remains the same</t>
  </si>
  <si>
    <t>UAT_CP_034</t>
  </si>
  <si>
    <t>Exclusivity. Elegance. Yours. --&gt; All Slides --&gt; The Diagonal Card Image</t>
  </si>
  <si>
    <t>The Diagonal Card Image touches the container or even gets slightly clipped from top &amp; bottom. Instead, it should have at least some padding gap</t>
  </si>
  <si>
    <t>https://www.loom.com/i/3ede1f0f5db8486db622173e75b4ac1d</t>
  </si>
  <si>
    <t xml:space="preserve">19/02/2026 - The issue is resolved on devsit1 - https://loom.com/i/72a12c0691464d6d825e451c5fc0341c
11/02/2026 - The issue has been checked on HTML v54 with UAT css and looks like this - https://loom.com/i/6d9e6ae265c747e1b975b675adeb5dc4 This was reviewed on call with Arun sir and Namita ma'am and confirmed that this would work. Therefore marking as fixed.
10/02/2026 - This issue only occurs on desktops below 1400px. </t>
  </si>
  <si>
    <t>UAT_CP_035</t>
  </si>
  <si>
    <t>Nu HMTL Checker - https://validator.nu/ --&gt; Website link</t>
  </si>
  <si>
    <t>The website has 1 error and 1 warning found by W3C HTML validator -1.)  Start tag seen without seeing a doctype first. Expected &lt;!DOCTYPE html&gt;. And, 2.) Consider adding a lang attribute to the html start tag to declare the language of this document.</t>
  </si>
  <si>
    <t>https://loom.com/i/fc95df927d7f42ddb77e4be96de5e28d</t>
  </si>
  <si>
    <t>24/02/2026 - As discussed on call, this needs to be picked in the next release therefore changing it's status to "Hold"</t>
  </si>
  <si>
    <t>UAT_CP_036</t>
  </si>
  <si>
    <t>Your Cards. Your Way. --&gt; Filters Menu --&gt; Benefits Criteria</t>
  </si>
  <si>
    <t>The Benefits criteria have a long extensive list of check boxes, some even duplicate. Only 8-9 Benefits are there. The list should only have those.</t>
  </si>
  <si>
    <t>https://www.loom.com/i/dd09a26be50847a7a59fc44c5d59d932</t>
  </si>
  <si>
    <t>UAT_CP_037</t>
  </si>
  <si>
    <t>Your Cards. Your Way. --&gt; Select any card type tab (Premium, Lifestyle, Rewards etc) --&gt; go to  Filters Menu --&gt;Reset All Button</t>
  </si>
  <si>
    <t>If the user clicks on the Reset All button, the card type tab should be default go to the "Featured" tab but instead it unselects all tabs. Check the actual vs expected behaviour in the screen recording.</t>
  </si>
  <si>
    <t>https://www.loom.com/share/759746e86a104fba85527fb7ac263806</t>
  </si>
  <si>
    <t>30/01/2026 - This bug was resolved on 21/01/2026 but was found to be occurring again on 30th Jan. Therefore reopening.
https://www.loom.com/i/59eedaa3a8954dedb875f1662232a5b6</t>
  </si>
  <si>
    <t>UAT_CP_038</t>
  </si>
  <si>
    <t>Assistance Made Simple --&gt; Contact Us, SMS, Whatsapp Connect</t>
  </si>
  <si>
    <t>Both title and sub title text below are now center aligned instead of being aligned to the left.</t>
  </si>
  <si>
    <t>https://www.loom.com/i/de018ab84bd24797a20c7e621b3f1753</t>
  </si>
  <si>
    <t>https://www.loom.com/i/8ce3268531194f7180e6fdce7b4e3d18</t>
  </si>
  <si>
    <t>23/02/2026 - Fixed on devsit1
16/02/2026 - Fixed on devsit1
Issue due to chat bot class - main.css 6 file</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</si>
  <si>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https://loom.com/i/e4f3ef9bcb0846909f07f1f368849e3f
24/02/2026 - The issue is no longer occuring but it was occuring due to ILA chatbot which is no longer present on devsit1. As informed on UAT Discussion call, can only close this issue if it doesn't occur even when chatbot ILA is present - https://loom.com/i/aabd1657779344dcafa3625349e73fd6
17/02/2026 - The issue is no longer occuring but it was occuring due to ILA chatbot which is no longer present on devsit1. As informed on UAT Discussion call, can only close this issue if it doesn't occur even when chatbot ILA is present - https://loom.com/i/aabd1657779344dcafa3625349e73fd6</t>
  </si>
  <si>
    <t>UAT_CP_039</t>
  </si>
  <si>
    <t>Where Privilege Meets Prestige --&gt; Each Slider --&gt; Title &amp; Sub Title</t>
  </si>
  <si>
    <t>Both title and sub title text are now center aligned. As per the benchmark and the design they are supposed to be left aligned. If this is changed intentionally, the CTA button below is getting mis-aligned because it is still aligned towards the left.</t>
  </si>
  <si>
    <t>https://www.loom.com/i/6c0fb8588e03499abc0e9e3bb2a9e5f0</t>
  </si>
  <si>
    <t>https://www.loom.com/i/81fff0d7160847ba91324a88c27557a6</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</si>
  <si>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https://loom.com/i/b432b45ef5e642f68bafef4c0321601b
24/02/2026 -The issue is no longer occuring but it was occuring due to ILA chatbot which is no longer present on devsit1. As informed on UAT Discussion call, can only close this issue if it doesn't occur even when chatbot ILA is present  - https://loom.com/i/984f2b4639ec4f089d0006b8eeb928b6
17/02/2026 -The issue is no longer occuring but it was occuring due to ILA chatbot which is no longer present on devsit1. As informed on UAT Discussion call, can only close this issue if it doesn't occur even when chatbot ILA is present  - https://loom.com/i/984f2b4639ec4f089d0006b8eeb928b6</t>
  </si>
  <si>
    <t>UAT_CP_040</t>
  </si>
  <si>
    <t>Applied Already section --&gt;Title &amp; Sub Title</t>
  </si>
  <si>
    <t>Both title and sub title text are now center aligned. As per the benchmark and the design they are supposed to be left aligned. If this is changed intentionally, the CTA buttons below are getting mis-aligned becausethey are still aligned towards the left.</t>
  </si>
  <si>
    <t>https://www.loom.com/i/65cbd352ceab4cabb0c7fa7e95a44ae9</t>
  </si>
  <si>
    <t>https://www.loom.com/i/f2cb47a339e4478681162a35be18f02f</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</si>
  <si>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https://loom.com/i/62016e4e2e4140b4b51eb441b1dfcab4
24/02/2026 - The issue is no longer occuring but it was occuring due to ILA chatbot which is no longer present on devsit1. As informed on UAT Discussion call, can only close this issue if it doesn't occur even when chatbot ILA is present -  https://loom.com/i/391686b9220042a1bea2f513152aea45
17/02/2026 - The issue is no longer occuring but it was occuring due to ILA chatbot which is no longer present on devsit1. As informed on UAT Discussion call, can only close this issue if it doesn't occur even when chatbot ILA is present -  https://loom.com/i/391686b9220042a1bea2f513152aea45</t>
  </si>
  <si>
    <t>UAT_CP_041</t>
  </si>
  <si>
    <t>Own a SBI Card Today! Section--&gt; Title &amp; Sub Title</t>
  </si>
  <si>
    <t>Both title and sub title text are now center aligned. As per the benchmark and the design they are supposed to be left aligned.</t>
  </si>
  <si>
    <t>https://www.loom.com/i/bf0bdddef77745f885be9fd9be3b7926</t>
  </si>
  <si>
    <t>https://www.loom.com/i/50b697e835cc43ef8be31ba4c59493a1</t>
  </si>
  <si>
    <t>02/03/2026 - The issue was resolved on devsit1 but is not resolved on pvt. Therefore, when raised the same on UAT Discussion call, Neha Laddha ma'am confirmed that we can open this bug and transfer it from UAT to PVT until the chatbot team fixes it on pvt as well.
25/02/2026 - The issue is resolved on devsit1 - https://loom.com/i/5360585221af41fdb71223981a2eb89d
24/02/2026 - The issue is no longer occuring but it was occuring due to ILA chatbot which is no longer present on devsit1. As informed on UAT Discussion call, can only close this issue if it doesn't occur even when chatbot ILA is present  - https://loom.com/i/1fb5cf957b224567a6f6774bf70557ab
17/02/2026 - The issue is no longer occuring but it was occuring due to ILA chatbot which is no longer present on devsit1. As informed on UAT Discussion call, can only close this issue if it doesn't occur even when chatbot ILA is present  - https://loom.com/i/1fb5cf957b224567a6f6774bf70557ab</t>
  </si>
  <si>
    <t>UAT_CP_042</t>
  </si>
  <si>
    <t>A Card For Every Lifestyle --&gt; Select "Banking Partnerships" Tab --&gt; Check the filters menu</t>
  </si>
  <si>
    <t>When "Banking Partnerships tab is selected, the entire filters menu gets disabled.</t>
  </si>
  <si>
    <t>https://www.loom.com/i/d749f664749e4456ba5f96371ba741ff</t>
  </si>
  <si>
    <t>This was the requirement from SBI Team</t>
  </si>
  <si>
    <t>06/02/2026 - expected behaviour - as discussed on call with Namita ma'am</t>
  </si>
  <si>
    <t>UAT_CP_043</t>
  </si>
  <si>
    <t>A Card For Every Lifestyle --&gt; Filter Menu</t>
  </si>
  <si>
    <t>The filters menu is not scrollable on its own. User has to scroll entire page to access the remaining filter criteria</t>
  </si>
  <si>
    <t>https://www.loom.com/i/80b19d3b71d84e8ca16e63d5ef1a619e</t>
  </si>
  <si>
    <t>https://www.loom.com/i/fb26f1cc71f245a6832bd08ba185564f</t>
  </si>
  <si>
    <t>UAT_CP_044</t>
  </si>
  <si>
    <t>A Card For Every Lifestyle --&gt; Select a Category with long list of cards --&gt; Scroll down --&gt; Filter Menu --&gt; Tick any filter check box that reduces the number of cards.</t>
  </si>
  <si>
    <t>When user scrolls down the card grid, if applies any filter by clicking on the check box, filter gets applied but the section doesn't auto scroll to the top. As a result, the proceeding sections appear on the screen as soon as user applies a check box filter.</t>
  </si>
  <si>
    <t>https://www.loom.com/share/4bff73722cf64804b753042fbf0b4462</t>
  </si>
  <si>
    <t>25/02/2026 - We couldn't find this fix on any of the documents received.</t>
  </si>
  <si>
    <t>25/02/2026 - As the fix was not found in the documents shared, the issue remains in HTML Team's bucket but as the SBI Team is no longer picking any HTML fixes in this release, as requested by Arun sir, changed the priority of this bug to P3.
24/02/2026 - The HTML fix has not yet implemented on devsit1
11/02/2026 - The issue has been checked on HTML v54 with UAT css and is now not working at all - https://www.loom.com/share/99648268f5a84c6f9c825ff6d9f5f102
06/02/2026 - As soon as filter is applied, page auto scrolls to the top of the section. But, before it reaches the top, the sections at the bottom show up for a split second and then from their it goes to the top. If this auto scroll can be handled more gracefully, it would be better - https://www.loom.com/share/a396c22fcc6348fdba0ddd468969f920</t>
  </si>
  <si>
    <t>UAT_CP_045</t>
  </si>
  <si>
    <t>A Card For Every Lifestyle --&gt; Filter Menu --&gt; Criteria Check Boxes --&gt; Click on any criteria outside the area of check box or its label</t>
  </si>
  <si>
    <t>The clickable area of any of the filter criteria is extra instead of only remaining till the checkbox and it's label. User positions the mouse on the right side of the filter label still is able to check or uncheck the box by a click.</t>
  </si>
  <si>
    <t>https://www.loom.com/share/7920d2cf29c2440ca816a4e310b2b6af</t>
  </si>
  <si>
    <t>11/02/2026 - The issue has been checked on HTML v54 with UAT css and is now not working at all -  https://www.loom.com/share/a377be63bd974cf7a7f34422581f5ea8</t>
  </si>
  <si>
    <t>UAT_CP_046</t>
  </si>
  <si>
    <t>Keyboard Accessibility --&gt; Frquently Ask Questions --&gt; Get the focus on any of the questions tab or the Load More button</t>
  </si>
  <si>
    <t>When user focuses on any of the tabs or the load more button, the border implying the focus is on the element doesn't appear.</t>
  </si>
  <si>
    <t>https://www.loom.com/share/c0643edab463447fa6d13ef443a64f87</t>
  </si>
  <si>
    <t>UAT_CP_047</t>
  </si>
  <si>
    <t>Keyboard Accessibility --&gt; A Card For Every Lifestyle section --&gt; Each Card's Add to Compare check box &amp; "Own a SBI Card Today!" Section --&gt; "I authorize" Check Box</t>
  </si>
  <si>
    <t>When user focuses on any of the check boxes mentioned in the steps to reproduce column, the border implying that the element is in focus remains missing.</t>
  </si>
  <si>
    <t>https://www.loom.com/i/267cb9a44c8941e19de486d5955fa2b7
https://www.loom.com/i/b28d0a00130e435ca97440458cef990b</t>
  </si>
  <si>
    <t>It will be in separate doc where design of this section is changed</t>
  </si>
  <si>
    <t>26/02/2026 - Opening this bug just so that Sachin can get this when he applies filter for HTML/CSS while creating the document for the next release.
30/01/2026 - As discussed on call, accessibility issues are to be kept on hold for now and to be picked in the next release.
11/02/2026 - The issue has been checked on HTML v54 with UAT css and is now not working at all -  https://www.loom.com/share/8e71b3c06be842c0adb312babcdabd86</t>
  </si>
  <si>
    <t>UAT_CP_048</t>
  </si>
  <si>
    <t>Keyboard Accessibility --&gt; A Card For Every Lifestyle section --&gt; Tick the Add to Compare Check box --&gt; Get the tab focus on the "Compare your cards" pop up --&gt; Focus on the collapse, cross &amp; remove buttons in the pop up.</t>
  </si>
  <si>
    <t>While on the "Compare Your Cards" pop up, if the focus is on the collapse, cross &amp; remove buttons, they do not get the border implying the same.</t>
  </si>
  <si>
    <t>https://www.loom.com/share/e204f9f9d7de4cd58a14a6d5a86673db</t>
  </si>
  <si>
    <t>UAT_CP_049</t>
  </si>
  <si>
    <t>Keyboard Accessibility --&gt; A Card For Every Lifestyle section --&gt; Filters Menu --&gt; Get the focus on "Reset All" button</t>
  </si>
  <si>
    <t>When the tab focus comes to the "Reset All" button in the filter's menu, the border implying the focus remains missing.</t>
  </si>
  <si>
    <t>https://www.loom.com/i/dd114f54b96545a9ad4aedca6af2536d</t>
  </si>
  <si>
    <t>UAT_CP_050</t>
  </si>
  <si>
    <t>Keyboard Accessibility --&gt; A Card For Every Lifestyle section --&gt; Filters Menu --&gt; Try to expand any of the filter criteria that is in collapsed state</t>
  </si>
  <si>
    <t>While navigating through the filter's menu using keyboard, the focus never goes to the criteria that is currently collapsed. Hence, user remains unable to expand or collapse any of the filter criteria.</t>
  </si>
  <si>
    <t>https://www.loom.com/share/687b0315fe3f4f1e8c15a1ecf1b5105f</t>
  </si>
  <si>
    <t>UAT_CP_051</t>
  </si>
  <si>
    <t>A Card For Every Lifestyle --&gt; Load More button</t>
  </si>
  <si>
    <t>The clickable area of any of the Load More button is extra instead of only remaining till the checkbox and it's label. User positions the mouse far left or right from its label still is able to click on it.</t>
  </si>
  <si>
    <t>https://www.loom.com/i/75208dc218464586bd3fed706166e4cd</t>
  </si>
  <si>
    <t>11/02/2026 - The issue has been checked on HTML v54 with UAT css and is now not working at all - https://www.loom.com/share/88131f2db2814b828c4e9d628d6e438c</t>
  </si>
  <si>
    <t>UAT_CP_052</t>
  </si>
  <si>
    <t>All  Browsers</t>
  </si>
  <si>
    <t>Windows Narrator --&gt; "Own a SBI Card Today!" section --&gt; Focus on "GET YOUR CARD INSTANTLY" button when its in disabled state</t>
  </si>
  <si>
    <t>When user focuses on "GET YOUR CARD INSTANTLY" button, the narrator doesn't announce its current state "Enabled" or "Disabled". Visually challenged user will keep pressing enter thinking why the button work and will have no way to know whether it is enabled or disabled or why disabled.</t>
  </si>
  <si>
    <t>https://www.loom.com/share/d13d54a97fd5499d8eca513a629b9253</t>
  </si>
  <si>
    <t>UAT_CP_053</t>
  </si>
  <si>
    <t>Windows Narrator --&gt; Hero Section --&gt; Focus on the slider dots</t>
  </si>
  <si>
    <t>When user focuses on any of the slider dots, the windows narrator announces it twice.</t>
  </si>
  <si>
    <t>https://www.loom.com/share/15fd10fc7a74437d8dacd06c7d083693</t>
  </si>
  <si>
    <t>UAT_CP_054</t>
  </si>
  <si>
    <t>Edge</t>
  </si>
  <si>
    <t>Hero Section --&gt; Auto Slide --&gt; Notice the smoothness of slide transition</t>
  </si>
  <si>
    <t>In the Hero section, when the slide is changed or gets auto slided, the transition to the new slide is not smooth and feels slow/laggy or choppy in case of edge browsers.</t>
  </si>
  <si>
    <t>https://www.loom.com/share/f52c5c5d827e4357b4ac7c2c8e757c4a</t>
  </si>
  <si>
    <t>Will be covered in next release as there are too much of changes there in all html, css and js</t>
  </si>
  <si>
    <t>10/02/2026 - Only occurring in the QA's system, but not occuring in any of the latest devices therefore closing this issue as per discussion with namita ma'am on call</t>
  </si>
  <si>
    <t>UAT_CP_055</t>
  </si>
  <si>
    <t>Get Ready to Apply --&gt; Card Eligibility &amp; Documents Required Tabs</t>
  </si>
  <si>
    <t>3rd Tab is no longer has any label or content but user still gets to click and select it.</t>
  </si>
  <si>
    <t>https://www.loom.com/i/da4ffac6a7dd4028a8393b85a0c9a77c</t>
  </si>
  <si>
    <t>06-02-2026- Verified on desktop, mobile and ipad device</t>
  </si>
  <si>
    <t>09/02/2026 - The issue is resolved - https://loom.com/i/717c24bce6864e74b473b5f645c7e056
05/02/2026 - The issue still occurs - https://www.loom.com/share/7f993374053e4c7d92ef79155a25265e
04/02/2026 - The 3rd tab can no longer be selected like before but the hover action is still present. Check the recording - 
https://www.loom.com/share/5e608e77bca645138f8be74da5af7afb</t>
  </si>
  <si>
    <t>UAT_CP_056</t>
  </si>
  <si>
    <t>Large/Medium/Small</t>
  </si>
  <si>
    <t>A Card For Every Lifestyle --&gt; Add to Compare --&gt; Compare your Cards pop up --&gt; Increase or decrease the font size.</t>
  </si>
  <si>
    <t>Increasing and decreasing the font size doesn't change the size of the Card Titles, Remove Button, Add button in the "Compare Your Cards" pop up.</t>
  </si>
  <si>
    <t>https://www.loom.com/i/22fc14694e56460ea20e71fe027ad8d1</t>
  </si>
  <si>
    <t>19/02/2026 - The issue is resolved on devsit1 - https://www.loom.com/share/7821d20357914b2d89b8ecb24ec8240b
11/02/2026 - The issue has been checked on HTML v54 with UAT css and is resolved. - https://loom.com/i/9dff901221c74ad081b7c3b5e21d7195</t>
  </si>
  <si>
    <t>UAT_CP_057</t>
  </si>
  <si>
    <t xml:space="preserve">A Card For Every Lifestyle --&gt; Add to Compare --&gt; Compare your cards --&gt; Add a card with a lengthy title or notice the placeholder - "Select another card to compare" </t>
  </si>
  <si>
    <t>If the card added for comparison has a lengthy title, it gets truncated with 3 dots at the end. This is especially in case of small screens like mobile phone ipads. The placeholder "Select another card to compare" also gets truncated - in case of desktop, when font size is smallest. In case of mobile phones, any font size and in case of ipads/tablets, when font size is the largest</t>
  </si>
  <si>
    <t>https://www.loom.com/i/9bd0cf0ebfad477eb8812e6af53e1cc9</t>
  </si>
  <si>
    <t>23/02/2026 - Fixed on devsit1</t>
  </si>
  <si>
    <t>24/02/2026 - As per Namita ma'am, "Select another card to compare" needs to be  removed and instead, the "Add" needs to be changed to "Add Card". If this suggested solution breaks anything then the placeholder "Select another card" needs to be replaced with something short.</t>
  </si>
  <si>
    <t>UAT_CP_058</t>
  </si>
  <si>
    <t>Medium/Small</t>
  </si>
  <si>
    <t>A Card For Every Lifestyle --&gt; iPads / Tablets / Mobile (landscape) --&gt; Small font --&gt;  Featured tab besides the filter button</t>
  </si>
  <si>
    <t>The "Featured" tab besides the filters button slightly gets clipped from the left in case of iPads / Tablets or mobile phones (landscape) when the font size is reduced to smallest. In case of mobile phones (portrait mode) same happens in case of default font.</t>
  </si>
  <si>
    <t>https://www.loom.com/i/f18b1976ed76438aa7827ad33409c0ce</t>
  </si>
  <si>
    <t>https://www.loom.com/i/11b212d5a54f4497a5154a0d9d3a5746</t>
  </si>
  <si>
    <t>11/02/2026 -  The issue has been checked on HTML v54 with UAT css and is now not working. https://www.loom.com/i/1f9097de865542988de6493fbf9939b7</t>
  </si>
  <si>
    <t>UAT_CP_059</t>
  </si>
  <si>
    <t>Own a SBI Card Today! Section--&gt; Touch Devices --&gt; Input boxes --&gt; Fill the input boxes --&gt; Check the green tick mark's vertical alignment</t>
  </si>
  <si>
    <t>The green tick mark that appears as the input box gets filled need to be vertically center aligned in case of moble phones &amp; ipads / tablets</t>
  </si>
  <si>
    <t>https://www.loom.com/i/08b32296e8fe404593397329db0176a9</t>
  </si>
  <si>
    <t>09/02/2026 - Issue resolved - https://loom.com/i/620257a5ea984484b9437b0c11cdb329
05/02/2026 - 
In case of iPad mini, iPad, iPad Air or iPad Pro 11 inches, the tick mark is still not center aligned - https://www.loom.com/i/5227ffe974054d2d81da316dda25f43e</t>
  </si>
  <si>
    <t>UAT_CP_060</t>
  </si>
  <si>
    <t>Own a SBI Card Today! Section --&gt; Enter only the First Name --&gt; Check if the "Get Your Card Instantly" button gets activated</t>
  </si>
  <si>
    <t>Even though all 3 fields are required to be filled and the check box to be ticked before the form should get submitted, the "Get Your Card Instantly" button gets activated as soon as the first name is filled.</t>
  </si>
  <si>
    <t>https://www.loom.com/share/08d61d24bc474ed3a7490e9d11060259</t>
  </si>
  <si>
    <t>This is not a bug this is same as per the HTML but we fixed as per our discussion
- Start Number 012 not allowed
- CTA is not getting enabled if mandatory field is not filled
- Max limit implemented on first name and last name</t>
  </si>
  <si>
    <t>04/02/2026 - This was a bug because as per our discussion, input box validations were to be handled by the team</t>
  </si>
  <si>
    <t>UAT_CP_061</t>
  </si>
  <si>
    <t>Own a SBI Card Today! Section --&gt; Click the "Get Your Card Instantly" button to submit the form</t>
  </si>
  <si>
    <t>The form doesn't instantly get submitted and redirected to the next step that is to enter OTP. Sometimes it either takes a while if get submitted to move to the next step if at all. There could be a loader for indication that the form submittion is in progress.</t>
  </si>
  <si>
    <t>09/02/2026 - The issue is no longer occurring and no update whether we should have the loader or not therefore closing this issue until further notice - https://www.loom.com/share/4fd4a0b078ed46eca461bf1640849511
04/02/2026 - The delay did occur previously as evident in the screen recording. Therefore, this bug cannot be rejected. Also, even though the delay is now reduced significantly but still a some mili second of wait can be noticed. Need to discuss if we need to have a loader or not - as mentioned in the bug.</t>
  </si>
  <si>
    <t>UAT_CP_062</t>
  </si>
  <si>
    <t>Own a SBI Card Today! Section --&gt; Click the "Get Your Card Instantly" button to submit the form --&gt; Resend OTP button</t>
  </si>
  <si>
    <t>Even when the OTP is already requested and the user has to wait for 45 seconds as shown as the countdown besides the "Resend OTP" button, the button doesn't go to a disabled state.</t>
  </si>
  <si>
    <t>https://www.loom.com/i/bcd113c017c244138bcf64461c8e913b</t>
  </si>
  <si>
    <t>02/03/2026 - As confirmed by Namita ma'am on call, these issues mentioned in the QA remark below need to be picked after this release as it requires HTML/CSS changes as for now we are not picking it in this release.
26/02/2026 - SBI team confirms that the timer of 45 sec to be changed to 30 secs and Resend OTP disabled state UI first needs to be done from the HTML/CSS team first. Plus, they need a message to be displayed after user requests Resend OTP 5 times. As they do not have that message, the currently do not hide the Resend button after it is requested for 5 times.
25/02/2026 - Need to discuss with SBI Team whether they are going to implement this functionality
10/02/2026 - As discussed with Namita ma'am on call, Resend OTP needs to be disabled until the timer is over and the Resend OTP should only be available till 5th time. Timer should be 30 seconds instead of 45 seconds. Another field - Middle name needs to be added and the existing field - "Telephone Number" needs to be "Phone Number"
06/02/2026 - The "Resend OTP" button neither goes in disabled state nor disappears until the countdown finishes</t>
  </si>
  <si>
    <t>UAT_CP_063</t>
  </si>
  <si>
    <t>Own a SBI Card Today! Section --&gt; Click the "Get Your Card Instantly" button to submit the form --&gt; "Submit OTP" &amp; "Cancel &amp; go back" button</t>
  </si>
  <si>
    <t>The "Submit OTP" button doesn't seem to be functional. If incorrect OTP is sent, it doesn't throw any error. If correct OTP is entered, it doesn't proceed forward.</t>
  </si>
  <si>
    <t>https://www.loom.com/share/96d2651f27aa491eb93dd313d1ed387d</t>
  </si>
  <si>
    <t>23/02/2026 - WIP
Not able to reproduce, as we discussed on the call also</t>
  </si>
  <si>
    <t>24/02/2026 - As this issue had WIP comment in the dev remark therefore not verifying this.
09/02/2026 - Now when entering the correct OTP, error appears - "something went wrong" and then "OTP doesn't exist" - https://www.loom.com/share/276a2a25fb5a46e6a90fdaef2a86dfda
04/02/2026 - Even after entering the correct OTP and clicking on submit, the OTP doesn't get submitted and when incorrect OTP is entered, the alert prompt below the input boxes do not appear.
02/02/2026 - After discussion on call, when tried this on incognito mode, the correct OTP got submitted and the page was redirected to the sprints page to which Namita ma'am confirmed that sprint page redirection is not required.</t>
  </si>
  <si>
    <t>UAT_CP_064</t>
  </si>
  <si>
    <t>Keyboard Navigation --&gt; Own a SBI Card Today! Section --&gt; Click the "Get Your Card Instantly" button to submit the form --&gt; Enter OTP --&gt; Submit OTP button</t>
  </si>
  <si>
    <t>While user focuses on the "Submit OTP" button or the "Cancel &amp; Back" button using the keyboard, the focus border doesn't appear for both the buttons.</t>
  </si>
  <si>
    <t>https://www.loom.com/i/dd5666e2bd494e55bf154e7e827b2778</t>
  </si>
  <si>
    <t>UAT_CP_065</t>
  </si>
  <si>
    <t>Hero Section --&gt; Slide 1 --&gt; Title "EXCEPTIONAL PRIVILEGES FOR AN UNCOMPROMISING LIFESTYLE"</t>
  </si>
  <si>
    <t>As the slide 1 title is lengthy, a horizontal mis alignment is observed specially for it and not for other slides where it doesn't appear to be in center.</t>
  </si>
  <si>
    <t>https://www.loom.com/i/e52297f42d824d6982bccd03af871ea4</t>
  </si>
  <si>
    <t>Padding is reduced here 6/2/2026 in sides
12-02-2026 it should be removed from doc as content is going change</t>
  </si>
  <si>
    <t>19/02/2026 - The issue is resolved on devsit1 - https://loom.com/i/a283b18bcf624b76a0c49ae34be0ed48
10/02/2026 - For now, we need to replace the word "Uncompromised" with "Outstanding" as discussed with Namita ma'am</t>
  </si>
  <si>
    <t>UAT_CP_066</t>
  </si>
  <si>
    <t>Compare your Cards pop up --&gt; Scroll down to Product Alert Carousel Section --&gt; Slider dots</t>
  </si>
  <si>
    <t>While the compare your cards pop up is open and user scrolls down the page, the Product Alert Carousel slider dots overlap with the pop up.</t>
  </si>
  <si>
    <t>https://www.loom.com/i/fbac3f99cf134cb5b447000125bc5327</t>
  </si>
  <si>
    <t>19/02/2026 - The issue is resolved on devsit1 - https://loom.com/i/6a24b84cf7974eaaa430abf220612d61
11/02/2026 - The issue has been checked on HTML v54 with UAT css and is resolved. https://loom.com/i/ca7be021845d4bfb85740a179e2cde0b</t>
  </si>
  <si>
    <t>UAT_CP_067</t>
  </si>
  <si>
    <t>Dark Mode --&gt; Product Alert Carousel --&gt; Slider dots</t>
  </si>
  <si>
    <t>The slider dot colours do not change according to the dark mode and therefore they do not remain visible.</t>
  </si>
  <si>
    <t>https://www.loom.com/i/91bd58c986d4426ab9ca6142fba101a5</t>
  </si>
  <si>
    <t>19/02/2026 - The issue is resolved on devsit1 - https://loom.com/i/2307d20d7005481894a1c549d20d4b59
11/02/2026 - The issue has been checked on HTML v54 with UAT css and is resolved - https://loom.com/i/cc7cf1dc3f544f068d4eab755818fb74</t>
  </si>
  <si>
    <t>UAT_CP_068</t>
  </si>
  <si>
    <t>Frequently ask questions --&gt; Load More --&gt; Inc. or Dec. font size</t>
  </si>
  <si>
    <t>Font size of the load more button doesn't change as the user increases of decreases the font.</t>
  </si>
  <si>
    <t>https://www.loom.com/i/c431e98e07c44dceab4d0a6155ec4155</t>
  </si>
  <si>
    <t>19/02/2026 - The issue is resolved on devsit1 - https://loom.com/i/ae45ec481ad34005a24747d36d078313
11/02/2026 - The issue has been checked on HTML v54 with UAT css and is resolved - https://loom.com/i/a7976c66c2d14ce19871e1b4f0584df2</t>
  </si>
  <si>
    <t>UAT_CP_069</t>
  </si>
  <si>
    <t>Hero section --&gt; Mobile Devices --&gt; Each Slide --&gt; Titles, CTAs, KPIs --&gt; Inc. or Dec. font size</t>
  </si>
  <si>
    <t>Font size of the Titles, CTAs, KPIs do not change as the user increases of decreases the font.</t>
  </si>
  <si>
    <t>https://www.loom.com/i/4082cfefb27645df8684bc00534d1137</t>
  </si>
  <si>
    <t>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19/02/2026 - The issue is not yet solved (from HTML side as well) and needs to be discussed on call.
11/02/2026 - The issue has been checked on HTML v54 with UAT css and is now not working. The Title font in each slide doesn't adjust its font size in case of iPads / Tablets &amp; Mobile Phones - https://www.loom.com/share/45ce819abb1d435a8af7d83b2467bbbe</t>
  </si>
  <si>
    <t>UAT_CP_070</t>
  </si>
  <si>
    <t>Hero Section --&gt; Each slide's Title &amp; CTA Label --&gt; Inc. or Dec. font size</t>
  </si>
  <si>
    <t>Font size of the Titles &amp; CTA labels do not change as the user increases of decreases the font.</t>
  </si>
  <si>
    <t>https://www.loom.com/i/57e9c088d01c443eb6c98aab1eb5dd10</t>
  </si>
  <si>
    <t xml:space="preserve">20/02/2026 - As discussed with Arun sir (Saching present) that as in case of Home Page Hero section Banner, we do not let the Title text size adjust when user increases decreases font size in case of Desktops and iPads/ Tablets but only in case of Mobile Phones we let it get adjusted. We need to follow the same in case of Catalogue page. This issue currently needs to be marked as P3
11/02/2026 - The issue has been checked on HTML v54 with UAT css and is now not working for mobile phones &amp; iPads/tablets. The title font sitll doesn't adjusts its size - https://www.loom.com/share/45ce819abb1d435a8af7d83b2467bbbe
06/02/2026 - The Title font no longer adjust their font size in any of the devices </t>
  </si>
  <si>
    <t>UAT_CP_071</t>
  </si>
  <si>
    <t>Find Your Perfect Card Section --&gt; Mobile Devices --&gt; Inc. or Dec. font size</t>
  </si>
  <si>
    <t>Title &amp; CTA button "Find Your Perfect Card" font sizes do not change.</t>
  </si>
  <si>
    <t>https://www.loom.com/i/351334bfcb0d4c9c869542b745ca02d3</t>
  </si>
  <si>
    <t>Fixed on HTML Given with fix</t>
  </si>
  <si>
    <t>24/02/2026 - The Title still doesn't adjusts it's font size when user increases or decreases it from the accessibility bar - https://www.loom.com/i/be51061ff3d5490499c6b0580d83d9ca
11/02/2026 - The issue has been checked on HTML v54 with UAT css and is now resolved. https://www.loom.com/i/3f59cbc82f85401b9de831e9269ed781</t>
  </si>
  <si>
    <t>UAT_CP_072</t>
  </si>
  <si>
    <t>Find Your Perfect Card section --&gt; CTA button "Find Your Perfect Card --&gt; Inc. or Dec font size</t>
  </si>
  <si>
    <t>Font size of the CTA button label doesn't change.</t>
  </si>
  <si>
    <t>https://www.loom.com/i/800da0b161784e67a2312fd38006ca2b</t>
  </si>
  <si>
    <t>24/02/2026 - The issue has been resolved on devsit1 - https://loom.com/i/bca18dc266e142f68808a0ade90073ae
11/02/2026 - The issue has been checked on HTML v54 with UAT css and is now resolved. https://loom.com/i/442164afec11400fb9eb65a525d1e4c1</t>
  </si>
  <si>
    <t>UAT_CP_073</t>
  </si>
  <si>
    <t>Own a SBI Card Today! --&gt; Didn't get the code?, Resend OTP &amp; Submit OTP button --&gt; Inc. or Dec. font size</t>
  </si>
  <si>
    <t>Didn't get the code? &amp; Resend OTP do not change their font size in case of all devices &amp; "Submit OTP" button label as well in case of iPads/ Tablets &amp; mobiles</t>
  </si>
  <si>
    <t>https://www.loom.com/i/9aa88144bf4c4e92b68538d48d6310c1</t>
  </si>
  <si>
    <t>24/02/2026 - The issues still exists in case of desktop, iPads / Tablets - The "Resend OTP" &amp; "Didn't get the code" do not adjust their font size - https://www.loom.com/i/df9ac28679cb442dbf5f481c957e8f8d
11/02/2026 - The issue has been checked on HTML v54 with UAT css and is now not working for iPads / Tablets and desktops. https://www.loom.com/share/1714fc5046bd4711aa793b099c51636f</t>
  </si>
  <si>
    <t>UAT_CP_074</t>
  </si>
  <si>
    <t>Applied Already? --&gt; Subtitle text and CTA button labels --&gt; Inc. or Dec. font size</t>
  </si>
  <si>
    <t>Subtitle text and CTA button labels do not change their font size in case of iPads / Tablets &amp; mobiles</t>
  </si>
  <si>
    <t>https://www.loom.com/i/b2797dbf58d4403ebb16c9ae16a814f9</t>
  </si>
  <si>
    <t>19/02/2026 - The issue is resolved on devsit1 - https://www.loom.com/share/dbe015aa158e4334a2be68697a6733df
11/02/2026 - The issue has been checked on HTML v54 with UAT css and is now resolved.  https://www.loom.com/i/bce048851cfe4f2299bf5cdc99ccf111</t>
  </si>
  <si>
    <t>UAT_CP_075</t>
  </si>
  <si>
    <t>Frequently Ask Questions --&gt; Mobile Phones --&gt; Section Title &amp; Questions &amp; Answers --&gt; Inc. or Dec. font size</t>
  </si>
  <si>
    <t>Section Title &amp; Questions &amp; Answers font do not change their font size in case of mobile phones.</t>
  </si>
  <si>
    <t>https://www.loom.com/i/b197ddab5d2c40189805f3062207a468</t>
  </si>
  <si>
    <t>19/02/2026 - The issue is resolved on devsit1 - https://loom.com/i/b35d331e09474c1fbf8a96e603704385
11/02/2026 - The issue has been checked on HTML v54 with UAT css and is now resolved.   https://loom.com/i/c59de654089f44779b472b09ffe1228c</t>
  </si>
  <si>
    <t>UAT_CP_076</t>
  </si>
  <si>
    <t>SBI Card Mobile App Section --&gt; Mobile Phones --&gt; Title --&gt; Inc. or Dec. Font Size</t>
  </si>
  <si>
    <t>Title doesn't change it's font size in case of mobile phones.</t>
  </si>
  <si>
    <t>https://www.loom.com/i/176a4dddde8a4b2d934a14c0cc70cabb</t>
  </si>
  <si>
    <t>19/02/2026 - The issue is resolved on devsit1 - https://loom.com/i/7f3d8309dc184721b8ac4ef2c3f8c00f
11/02/2026 -  The issue has been checked on HTML v54 with UAT css and is now resolved.   https://www.loom.com/i/0b108bbe114d4e60b821d38d9d26e330</t>
  </si>
  <si>
    <t>UAT_CP_077</t>
  </si>
  <si>
    <t>Assistance Made Simple Section --&gt; Mobile Phones --&gt; Title --&gt; Inc. or Dec. Font Size</t>
  </si>
  <si>
    <t>https://www.loom.com/i/89c27af4e84a40d4bedd36a73b21b083</t>
  </si>
  <si>
    <t>24/02/2026 - The issues is still not resolved on devsit1 - https://www.loom.com/i/fd4a1459d1534b8e805903ae68d93941
11/02/2026 - The issue has been checked on HTML v54 with UAT css and is now resolved. https://loom.com/i/fbc12646b34f4129ac28aa30c99b20f4</t>
  </si>
  <si>
    <t>UAT_CP_078</t>
  </si>
  <si>
    <t>SBI Card Mobile App --&gt; Mobiles Phones, iPads / Tablets --&gt; Extra Gap between Title &amp; SubTitle</t>
  </si>
  <si>
    <t>In case of screens having 481px - 768px width, extra gap is observed between the title &amp; the subtitle and the subtitle font does go larger in size then the title when font size is reduced because the subtitle font doesn't get adjusted accordingly. In all cases sub-title font needs to be lesser in size then title.</t>
  </si>
  <si>
    <t>https://www.loom.com/i/43e79d1afac2475e9029959b8a03b111</t>
  </si>
  <si>
    <t>20/2/2026</t>
  </si>
  <si>
    <t>20/02/2026 - After discussion &amp; confirmation on call by Arun sir (Sachin present) this issue is to be marked as P3 from P2.
19/02/2026 - The issue is not resolved on devsit1 - Font size hierarchy between Title &amp; subtitle breaks because the subtitle doesn't adjust its font size when user increases or decreases it but the title does. - https://www.loom.com/i/b6eacc22a4d54964be773d26fdb71e2c
11/02/2026 - The issue has been checked on HTML v54 and has not been resolved. https://loom.com/i/45ae7b46d8ea44a2bfd44d983bb645b7</t>
  </si>
  <si>
    <t>UAT_CP_079</t>
  </si>
  <si>
    <t>Own a SBI Card Today! Section --&gt; Fill all input boxes --&gt; Click on "Get Your Card Instantly" button --&gt; Click on "Cancel &amp; go back" button --&gt; Check if despite all input boxes being filled as it is if the button is in enabled or disabled state</t>
  </si>
  <si>
    <t>Case when user fills the form and proceeds to next step but then clicks on cancel &amp; go back button, the user lands on the 1st step again where all the input boxes are already filled but still the "Get your card instantly" button remains disabled until user focuses on any of the input box once.</t>
  </si>
  <si>
    <t>https://www.loom.com/share/f4ca0c8b238f4c6cab0fc47bf35bbd75</t>
  </si>
  <si>
    <t>06-02-2026- Requirement Changed, as per new requirement , tall the values in the form wiped out when we click on Go back</t>
  </si>
  <si>
    <t>06/02/2026 - 
Discussions were made on UAT call that this is expected behaviour and is as per the current production website therefore and if any change is required, it will be informed until then, need to keep this bug closed.
05/02/2026 - The issue still occurs - https://www.loom.com/share/27715ec18d5d4deb98242e03ebd0baae</t>
  </si>
  <si>
    <t>UAT_CP_080</t>
  </si>
  <si>
    <t>A Card For Every Lifestyle --&gt; Filter Menu --&gt; Div with ID- sidebar-filters</t>
  </si>
  <si>
    <t>Extra class px-8 has been added in the Div - sidebar-filters as a result the filter list has more padding then required. Compare the actual vs expected result screenshots.</t>
  </si>
  <si>
    <t>https://www.loom.com/i/b1dd1aa0ae314e7f8bd8c4fdd55914b3</t>
  </si>
  <si>
    <t>https://www.loom.com/i/6e7717945aad431cac2ae86baa7bc97c</t>
  </si>
  <si>
    <t xml:space="preserve">06-02-2026- Verified </t>
  </si>
  <si>
    <t>09/02/22026 - Issue resolved - https://loom.com/i/430322c78fb8453fa8dba4a34abccb58</t>
  </si>
  <si>
    <t>UAT_CP_081</t>
  </si>
  <si>
    <t>Own a SBI Card Today! --&gt; Submit a Form successfully --&gt; Click on submit another request --&gt; Check if the input boxes are still filled with the previous details --&gt; Fill the form with the same number again</t>
  </si>
  <si>
    <t>When user clicks on submit another request, Step 1 of the form appears again but with the same details already pre-filled. Also, if user submits the form with a mobile number that is already been submitted, then instead of "Application Received" it should say "Your application is already with us"</t>
  </si>
  <si>
    <t>https://www.loom.com/share/0bea1a7e88374c909f1522c40049ab03</t>
  </si>
  <si>
    <t>This is as per the existing functionality.</t>
  </si>
  <si>
    <t>06/02/2026 - Discussions were made on UAT call that this is expected behaviour and therefore needs to be closed. Hence closing.</t>
  </si>
  <si>
    <t>UAT_CP_082</t>
  </si>
  <si>
    <t>Hyperlink to CTA</t>
  </si>
  <si>
    <t>"Product alert banner" &amp; "Where Privilege meets prestige section" --&gt; Hyperlinks on each slide</t>
  </si>
  <si>
    <t>"Product alert banner" &amp; "Where Privilege meets prestige section" hyperlinks need to be changed to CTAs (Pill shaped action buttons used every were) as discussed and confirmed by Dheeraj, SBI team can use the CTA's HTML/CSS for these hyerlinks</t>
  </si>
  <si>
    <t>https://www.loom.com/i/75dec64d98be4a15bb79a625d44beb33</t>
  </si>
  <si>
    <t>23/02/2026 - We will pick this in next release</t>
  </si>
  <si>
    <t>24/02/2026 - As already confirmed on call, SBI Team will pick this up in the next release. therefore keeping this point on "Hold"
16/02/2026 - As discussed on UAT Discussion call - Neha Laddha ma'am cannot pick this change in the current release, therefore it's priority has been set to P3 in order to be picked in the later release.</t>
  </si>
  <si>
    <t>UAT_CP_083</t>
  </si>
  <si>
    <t>Mobile Phones --&gt; Scroll down till the Product Alert Banner section --&gt; Slider Dots --&gt; Mobile Footer wrap menu</t>
  </si>
  <si>
    <t>The Product Alert Banner section slider dots overlap on top of the mobile footer menu wrap in case of mobile phones.</t>
  </si>
  <si>
    <t>https://www.loom.com/i/5de83887328a405abd951657015dafd1</t>
  </si>
  <si>
    <t>19/02/2026 - The issue is resolved on devsit1 - https://loom.com/i/91655e31068e443291d56046c26b5a24</t>
  </si>
  <si>
    <t>UAT_CP_084</t>
  </si>
  <si>
    <t>Mobile Phones --&gt; Open the Add to Compare pop up --&gt; Open the Side Bar Menu</t>
  </si>
  <si>
    <t>The Side Bar menu's z index needs to be higher than the compare cards pop up in case of mobile so that the compare cards pop up doesn't overlap above the side bar menu.</t>
  </si>
  <si>
    <t>https://www.loom.com/i/a0f31eb0640f415880bba42a88674ab9</t>
  </si>
  <si>
    <t>19/02/2026 - The issue is resolved on devsit1 - https://loom.com/i/9483945f3ba44369a05ba11f5731f5b0</t>
  </si>
  <si>
    <t>UAT_CP_085</t>
  </si>
  <si>
    <t>13/2/2026</t>
  </si>
  <si>
    <t>Input Box</t>
  </si>
  <si>
    <t>Own a SBI Card Today! --&gt; Input boxes</t>
  </si>
  <si>
    <t>Another input box "Middle Name" needs to be added and the label &amp; placeholder for the input box "Telephone Number" needs to change to "Mobile Number". Bug added as requested by Namita ma'am</t>
  </si>
  <si>
    <t>https://loom.com/i/c2b3480f05ca471fac28b0e4eb0c4875</t>
  </si>
  <si>
    <t>25/02/2026 - The issue is resolved on devsit1 - https://loom.com/i/f7ffd4e6fb594248a62f7a82788c4bd0
24/02/2026 - This bug was present in the observation summary sheet shared on 23rd Feb but didn't had any remark or colour highlight that indicated whether it is fixed and needs to be checked. Therefore didn't verify this bug.</t>
  </si>
  <si>
    <t>UAT_CP_086</t>
  </si>
  <si>
    <t>Error Verbiage</t>
  </si>
  <si>
    <t>Own a SBI Card Today! --&gt; Input boxes (including OTP)  --&gt; Error prompts</t>
  </si>
  <si>
    <t>The error prompts and their verbiage that needs to appear below each input box in case of error needs to be implemented</t>
  </si>
  <si>
    <t>https://loom.com/i/7b390fc61cb74bb09b68f01b652137ef</t>
  </si>
  <si>
    <t>27/02/2026 - As per Neha Laddha, if the error verbiages are supposed to come below the input boxes, then they should've been included in the HTML as well. Currently only the boxes get Red Highlighted in case of error and the design is anyway going to change after this release. So, we much ignore this issue for this release
25/02/2026 - This is fixed on devsit1</t>
  </si>
  <si>
    <t>02/03/2026 - As confirmed by Namita ma'am on call, these issues mentioned in the QA remark below need to be picked after this release as it requires HTML/CSS changes as for now we are not picking it in this release.
27/02/2026 - Need Namita ma'am confirmation on Neha Laddha ma'am comment in the Dev Remark.
26/02/2026 - The issue is not resolved on devsit1 - https://loom.com/i/061ee743464e435ab55155b56479d015
24/02/2026 - This bug was present in the observation summary sheet shared on 23rd Feb but didn't had any remark or colour highlight that indicated whether it is fixed and needs to be checked. Therefore didn't verify this bug.</t>
  </si>
  <si>
    <t>UAT_CP_087</t>
  </si>
  <si>
    <t>Filter menu --&gt; Mobile Devices --&gt; Filter button</t>
  </si>
  <si>
    <t>The filter button needs to be labelled as "Apply"</t>
  </si>
  <si>
    <t>https://www.loom.com/i/f28f246587d34b11afdc71379e1e1bf3</t>
  </si>
  <si>
    <t>02/03/2026 - As confirmed by Namita ma'am. If only same text can be used for both Mobile &amp; Desktop Filter Menu then we should name it back to "Filter" instead of "Apply.
26/02/2026 - Sachin confirmed on UAT call that the Filter component for desktop &amp; for mobile are different therefore changing the label from "Filter" to "Apply" for mobile filter should not affect desktop's filter menu. But, Neha Laddha ma'am raised an arguement that it was not specified that both Filter Menus (Desktop &amp; Mobile) were to be authored differently and therefore they are linked together for authoring.
24/02/2026 - Verified this issue on sbi-pvt. Need to discuss this issue because now the Filters Menu heading is also changed to "Apply" instead of "Filter" in case of desktops - https://www.loom.com/i/a943157bf26c4864bb4d92dead404b33</t>
  </si>
  <si>
    <t>UAT_CP_088</t>
  </si>
  <si>
    <t>A Card for Every Lifestyle --&gt; Load More button at the bottom</t>
  </si>
  <si>
    <t>The "Load More..." label needs to be changed to "Load More"</t>
  </si>
  <si>
    <t>https://www.loom.com/i/def3b75a9b1a47aa86520455d83472b4</t>
  </si>
  <si>
    <t>25/02/2026 - The issue is resolved on sbi-pvt - https://loom.com/i/2ceae3f149b245e58b7fc15daee6a09a
24/02/2026 - The issue is resolved on devsit1 - https://loom.com/i/26b49b5f23504429a81958f63f0e350c</t>
  </si>
  <si>
    <t>UAT_CP_089</t>
  </si>
  <si>
    <t>14/02/2026</t>
  </si>
  <si>
    <t>Tab Style</t>
  </si>
  <si>
    <t>Get Ready to Apply --&gt; Dark Mode --&gt; Card Eligibility &amp; Documents Required Tabs --&gt; 1px border Grid line below the tabs</t>
  </si>
  <si>
    <t>In case of dark mode, the 1 px border grid line below the "Card Eligibility" &amp; "Documents Required" tab (things-need-tab-flex) border colour needs to be light so that it is visible as a grid line for the tabs.</t>
  </si>
  <si>
    <t>https://www.loom.com/i/1acfb87e26cc48a0b1100504bb904bc5</t>
  </si>
  <si>
    <t>UAT_CP_090</t>
  </si>
  <si>
    <t>CTA Word Wrap</t>
  </si>
  <si>
    <t>Desktops (1300px - 1700px width) --&gt; A Card for Every Lifestyle --&gt; Increase the font size to largest</t>
  </si>
  <si>
    <t>When user increases the font size to the largest, the CTA label gets word wrapped to next line in turn increasing the height of the CTA</t>
  </si>
  <si>
    <t>https://loom.com/i/d99da16497464bf69d4dd8087b710639</t>
  </si>
  <si>
    <t>UAT_CP_091</t>
  </si>
  <si>
    <t>Mobile Devices --&gt; Add to Compare --&gt; Add a lengthy, medium and short length title cards --&gt; Check the mis-aignment in the compare cards pop modal</t>
  </si>
  <si>
    <t>In case of mobile phones when credit cards of different title lengths are added, the alignment goes incorrect.</t>
  </si>
  <si>
    <t>https://www.loom.com/i/41ce7e2ca408418eae121288d803cfc3</t>
  </si>
  <si>
    <t>26/02/2026 - A request was made to Neha Laddha ma'am to take the fix of this bug that has come as a result of a previous bug fix but she confirmed that is not possible and it can only be picked in the next release. Therefore this needs to be marked as P3.</t>
  </si>
  <si>
    <t>UAT_CP_092</t>
  </si>
  <si>
    <t>iPhone 14 Pro</t>
  </si>
  <si>
    <t>Content Cropping</t>
  </si>
  <si>
    <t>iPhone 14 Pro or narrower devices --&gt; SBI Card Mobile App section --&gt; increase font to largest --&gt; Check the subtitle being overlapped under the section image on the right</t>
  </si>
  <si>
    <t>The subtitle gets overlapped by the section's image on the right in case when font size is largest and phone iphone 14 pro or narrower</t>
  </si>
  <si>
    <t>https://www.loom.com/i/5ec375ae95a740bfb0fca0956d831af1</t>
  </si>
  <si>
    <t>20/02/2026 - Issue Priority changed from P2 to P3 after discussion on call with Arun sir (Sachin Present)</t>
  </si>
  <si>
    <t>UAT_CP_093</t>
  </si>
  <si>
    <t>iPad Mini --&gt; Already Applied Section --&gt; Increase the font size to largest --&gt; Check the "Retrive Application" CTA getting overlapped with the image on the right side</t>
  </si>
  <si>
    <t>For iPad Mini, in case of largest font size, the 2nd CTA "Retrieve Application" gets overlapped by the image on the right side</t>
  </si>
  <si>
    <t>https://www.loom.com/i/f147fb5581b84671b985d57e4c220589</t>
  </si>
  <si>
    <t>UAT_CP_094</t>
  </si>
  <si>
    <t>Creatives</t>
  </si>
  <si>
    <t>Find Your Perfect Card --&gt; The credit card stack image</t>
  </si>
  <si>
    <t>Another image needs to be provided by the HTML Team where the dummy name &amp; card number is not present in the image and the first card in the stack is slightly more slanted.</t>
  </si>
  <si>
    <t>https://www.loom.com/i/83841c1e988341ba9ff72de3b76949a2</t>
  </si>
  <si>
    <t>13/03/2026 - The issue is resolved on sbi-pvt - https://loom.com/i/59ee2b55ad164528acd9b094c2385d7a
25/02/2026 - As the image regarding this is yet to be provided, this issue remains in HTML Team's bucket</t>
  </si>
  <si>
    <t>UAT_CP_095</t>
  </si>
  <si>
    <t>Hero Section --&gt; Slide 1 --&gt; Title --&gt; "EXCEPTIONAL PRIVILEGES FOR AN UNCOMPROMISED LIFESTYLE"</t>
  </si>
  <si>
    <t>The word "UNCOMPROMISING" needs to be "UNPARALLELED" as per the latest content file</t>
  </si>
  <si>
    <t>https://www.loom.com/i/e2f8cea5da1d4a7ab8bb84518f635a12</t>
  </si>
  <si>
    <t>05/03/2026 - The issue is resolved on sbi-pvt - https://loom.com/i/dd420a6fced0436b96b1e656a41cb054</t>
  </si>
  <si>
    <t>UAT_CP_096</t>
  </si>
  <si>
    <t>Hero Section --&gt; Slide 1 --&gt; 3rd KPI</t>
  </si>
  <si>
    <t>Instead of "27yrs+" it should be "27+ yrs". Also, instead of "Making Life Simple" it should be "of Making Life Simple"</t>
  </si>
  <si>
    <t>https://www.loom.com/i/ac035b43c90646419e9bab5e92324513</t>
  </si>
  <si>
    <t>05/03/2026 - Still not resolved on sbi-pvt - closed browser, opened incognito mode and cleared cache, cookies - https://loom.com/i/960179bba0ad4a3496ae78685e31517e</t>
  </si>
  <si>
    <t>UAT_CP_097</t>
  </si>
  <si>
    <t>A CARD FOR EVERY LIFESTYLE Section --&gt; Title</t>
  </si>
  <si>
    <t>As per the new content file, the "A CARD FOR EVERY LIFESTYLE" title needs to be changed to "A CARD DESIGNED AROUND YOU"</t>
  </si>
  <si>
    <t>https://www.loom.com/i/e9dfc3f49ce84eaaa9623dbfe64bfb7a</t>
  </si>
  <si>
    <t>05/03/2026 - Still not resolved on sbi-pvt - closed browser, opened incognito mode and cleared cache, cookies - https://loom.com/i/084b77b262cf4fba9ecb857e5fd2ec6f</t>
  </si>
  <si>
    <t>UAT_CP_098</t>
  </si>
  <si>
    <t>Find Your Perfect Card Section --&gt; Subtitle - Tell us what you need. We’ll match you to the perfect card</t>
  </si>
  <si>
    <t>It needs to be "Tell us" instead of "Tell Ys" and each word doesn't need to be capitalized, only the First word or each sentence needs to be capitalized</t>
  </si>
  <si>
    <t>https://www.loom.com/i/659506f0c9ba489ba3587f165889b3d3</t>
  </si>
  <si>
    <t>05/03/2026 - Still not resolved on sbi-pvt - closed browser, opened incognito mode and cleared cache, cookies - https://loom.com/i/c0987e1f08884ad29d728a80b901cfa3</t>
  </si>
  <si>
    <t>UAT_CP_099</t>
  </si>
  <si>
    <t>Where Privilege Meets Prestige --&gt; Aurum Card Slide --&gt; Title</t>
  </si>
  <si>
    <t>The Title needs to be "Turn every journey into a premium experience." instead of "Turn every flight into a first-class experience.</t>
  </si>
  <si>
    <t>https://www.loom.com/i/2fc360a12b1440fd9302aa08174acd7d</t>
  </si>
  <si>
    <t>26/02/2026 - The issue is no longer occurring. Hence closing - https://loom.com/i/b373f73d84f04ccbb6d07c2f929cce83</t>
  </si>
  <si>
    <t>UAT_CP_100</t>
  </si>
  <si>
    <t>Where Privilege Meets Prestige --&gt; KrisFlyer SBI Card Apex --&gt; Title</t>
  </si>
  <si>
    <t>The Title needs to be "Make every journey extraordinary." instead of "Turn every flight into a first-class experience."</t>
  </si>
  <si>
    <t>https://www.loom.com/i/9e3be3b562e640e18c36253c6c99ad3b</t>
  </si>
  <si>
    <t>26/02/2026 - The issue is no longer occurring. Hence closing - https://loom.com/i/7c227737959c45bc83715b3894ebaee8</t>
  </si>
  <si>
    <t>UAT_CP_101</t>
  </si>
  <si>
    <t>OWN A SBI CARD TODAY!--&gt; Title</t>
  </si>
  <si>
    <t>The Title needs to be "APPLY FOR AN SBI CREDIT CARD NOW!" instead of "Own a SBI Card Today!"</t>
  </si>
  <si>
    <t>https://www.loom.com/i/e66580e7870144658094f00389bb97bb</t>
  </si>
  <si>
    <t>05/03/2026 - The issue is resolved on sbi-pvt - https://loom.com/i/c1589ef4e15949adba15494939c76372</t>
  </si>
  <si>
    <t>UAT_CP_102</t>
  </si>
  <si>
    <t>Product Alert Carousel --&gt; 2nd Slide (Have You Activated Your New SBI Card?) --&gt; Banner Background Image</t>
  </si>
  <si>
    <t>The new background image needs to be used replacing the older one.</t>
  </si>
  <si>
    <t>https://www.loom.com/i/16b428057a2840d2858515575b53979e</t>
  </si>
  <si>
    <t>05/03/2026 - Still not resolved on sbi-pvt - closed browser, opened incognito mode and cleared cache, cookies  - https://loom.com/i/5aeb72d0cac8439991f199fb8c8d8880</t>
  </si>
  <si>
    <t>UAT_CP_103</t>
  </si>
  <si>
    <t>Product Alert Carousel --&gt; 2nd Slide (Have You Activated Your New SBI Card?) --&gt; Banner's Right Side Image</t>
  </si>
  <si>
    <t>The new right side image needs to be used replacing the older one.</t>
  </si>
  <si>
    <t>https://www.loom.com/i/2007b812c28141309bb07b9e1be1ffae</t>
  </si>
  <si>
    <t>UAT_CP_104</t>
  </si>
  <si>
    <t>Frequently Ask Questions --&gt; 1st Question (How to Apply for an SBI Card Online) --&gt; Answer</t>
  </si>
  <si>
    <t>The word "website" all across the answer needs to be capitalized and the word "team" in the "SBI Card team" as well.</t>
  </si>
  <si>
    <t>https://www.loom.com/i/cbe2dd7d529443749fc31c9ee46b56bf</t>
  </si>
  <si>
    <t>05/03/2026 - The issue is resolved on sbi-pvt</t>
  </si>
  <si>
    <t>UAT_CP_105</t>
  </si>
  <si>
    <t>Mobile Phones --&gt; Frequently Ask Questions --&gt; All answers --&gt; Bullet points</t>
  </si>
  <si>
    <t>The bullet dots in the answers do not appear in case of mobile phones</t>
  </si>
  <si>
    <t>https://www.loom.com/i/adf980ca316e4a069efde75032724e5a</t>
  </si>
  <si>
    <t>05/03/2026 - Still not resolved on sbi-pvt - closed browser, opened incognito mode and cleared cache, cookies - https://loom.com/i/f48e7aacb7704b8b9cf1dce21f5e3f7f</t>
  </si>
  <si>
    <t>UAT_CP_106</t>
  </si>
  <si>
    <t>Mobile Phones --&gt; Frequently Ask Questions --&gt; All answers --&gt; Bullet Points</t>
  </si>
  <si>
    <t>The bullet points need to have indentation gap</t>
  </si>
  <si>
    <t>https://www.loom.com/i/0c0749c7c8df4a8b8d49349845ca46bf</t>
  </si>
  <si>
    <t>UAT_CP_107</t>
  </si>
  <si>
    <t>Frequently Ask Questions --&gt; 1st Question (How to Apply for an SBI Card Online) --&gt; Answer --&gt; Bullet Point</t>
  </si>
  <si>
    <t>The bullet points have extra gap between them. Compare them with the bullet points of other bullet points</t>
  </si>
  <si>
    <t>https://www.loom.com/i/6f1f6f1fed8a4c688d93132e5043c005</t>
  </si>
  <si>
    <t>UAT_CP_108</t>
  </si>
  <si>
    <t>Frequently Ask Questions --&gt; 2nd Question (How to check my credit card eligibility?) --&gt; Answer</t>
  </si>
  <si>
    <t>The word "These" needs to be "There" in the second sentence as per the content file.</t>
  </si>
  <si>
    <t>https://www.loom.com/i/7e7536cb2fef4994abeba536fbeaa00f</t>
  </si>
  <si>
    <t>05/03/2026 - Th issue is resolved on sbi-pvt</t>
  </si>
  <si>
    <t>UAT_CP_109</t>
  </si>
  <si>
    <t>Frequently Ask Questions --&gt; 3rd  Question (What are the documents required to apply for an SBI Credit Card?) --&gt; Answer --&gt; 2nd bullet point</t>
  </si>
  <si>
    <t>The word "Adhar" needs to be "Aadhaar" as per the content file</t>
  </si>
  <si>
    <t>https://www.loom.com/i/df54c70db697438b8059742165810cb5</t>
  </si>
  <si>
    <t>UAT_CP_110</t>
  </si>
  <si>
    <t>Frequently Ask Questions --&gt; 3rd  Question (What are the documents required to apply for an SBI Credit Card?) --&gt; Answer --&gt; 3rd bullet point</t>
  </si>
  <si>
    <t>The word "maybe" needs to be "may be" as per the content file</t>
  </si>
  <si>
    <t>https://www.loom.com/i/0b2117d61f714940888b09e4ae6c4b33</t>
  </si>
  <si>
    <t>UAT_CP_111</t>
  </si>
  <si>
    <t>Frequently Ask Questions --&gt; 3rd  Question (What are the documents required to apply for an SBI Credit Card?) --&gt; Answer --&gt; Last Line</t>
  </si>
  <si>
    <t>comma missing between the word "documents" &amp; "click here"</t>
  </si>
  <si>
    <t>https://www.loom.com/i/c286f31df1244a49b12208dc7cd44808</t>
  </si>
  <si>
    <t>UAT_CP_112</t>
  </si>
  <si>
    <t>Frequently Ask Questions --&gt; 4th Question (How to track the status of a credit card application?) --&gt; Answer</t>
  </si>
  <si>
    <t>The word "that" needs to be "the". It should be "at the time" of applying for a card." &amp; "Click on the Track Button"</t>
  </si>
  <si>
    <t>https://www.loom.com/i/c43bd819dc4441a0a763697e5216d0d2</t>
  </si>
  <si>
    <t>UAT_CP_113</t>
  </si>
  <si>
    <t>Frequently Ask Questions --&gt; 6th Question (How to apply for an add-on credit card?) --&gt; Answer</t>
  </si>
  <si>
    <t>Words like "Add-on", "Documents" &amp; "Card" need to be capitalized where ever they are not</t>
  </si>
  <si>
    <t>https://loom.com/i/6339c541b28942049f2af56d82110457</t>
  </si>
  <si>
    <t>Not able to understand</t>
  </si>
  <si>
    <t>05/03/2026 - words like "add-on", "cards" &amp;  "documents" need to be capitalized.</t>
  </si>
  <si>
    <t>UAT_CP_114</t>
  </si>
  <si>
    <t>Frequently Ask Questions --&gt; 7th Question (What is the difference between a credit card and a debit card?)</t>
  </si>
  <si>
    <t>It needs to be " a debit card?" instead of simply "debit card?" in the question</t>
  </si>
  <si>
    <t>https://www.loom.com/i/6b1366eb20e7499983bff24782a59c32</t>
  </si>
  <si>
    <t>UAT_CP_115</t>
  </si>
  <si>
    <t>Frequently Ask Questions --&gt; 8th Question (What are cobrand credit cards and what are the different cobranded credit cards that SBI Card offers?)</t>
  </si>
  <si>
    <t>It needs to be "SBI Card" isn't of just "SBI"</t>
  </si>
  <si>
    <t>https://www.loom.com/i/0488610ab220496f8a4617dedc24e73f</t>
  </si>
  <si>
    <t>UAT_CP_116</t>
  </si>
  <si>
    <t>Frequently Ask Questions --&gt; 8th Question (What are cobrand credit cards and what are the different cobranded credit cards that SBI Card offers?) --&gt; Answer</t>
  </si>
  <si>
    <t>In the answer, the word "Cobrands" need to be "Cobrand" and "launched in partnership" instead of "launched in the partnership"</t>
  </si>
  <si>
    <t>https://www.loom.com/i/bd189aac7be54a8e87142ae19d1491cf</t>
  </si>
  <si>
    <t>UAT_CP_117</t>
  </si>
  <si>
    <t>Frequently Ask Questions --&gt; 9th Question (What is the minimum age limit to apply for a SBI Credit Card?) --&gt; 3rd Bullet point</t>
  </si>
  <si>
    <t>The word "limit" is not required as per the content file. It is " above the age of 25 years"</t>
  </si>
  <si>
    <t>https://www.loom.com/i/9266cf82462e4a7dba4f5f68079ff61d</t>
  </si>
  <si>
    <t>UAT_CP_118</t>
  </si>
  <si>
    <t>Frequently Ask Questions --&gt; 13th Question (What are the current offers available on SBI Credit Cards?) --&gt; Last Line</t>
  </si>
  <si>
    <t>The gap above the last line is missing.</t>
  </si>
  <si>
    <t>https://www.loom.com/i/2d5d28d071fc438f864dd2ff3813b70d</t>
  </si>
  <si>
    <t>UAT_CP_119</t>
  </si>
  <si>
    <t>SBI Credit Card Mobile App Section --&gt; Title</t>
  </si>
  <si>
    <t>The title needs to be "SBI CARD MOBILE APP" instead of "SBI Credit Card Mobile App"</t>
  </si>
  <si>
    <t>https://www.loom.com/i/4873a435444a4614b65e5c77a58565a9</t>
  </si>
  <si>
    <t>UAT_CP_120</t>
  </si>
  <si>
    <t>SBI Credit Card Mobile App Section --&gt; Sub-Title</t>
  </si>
  <si>
    <t>The sub-title needs to be "All Your Credit Card Services in One App" instead of "One App for Everything You Do"</t>
  </si>
  <si>
    <t>https://www.loom.com/i/c67d4507e6d44edd98bf44a3fc64f632</t>
  </si>
  <si>
    <t>UAT_CP_121</t>
  </si>
  <si>
    <t>Own a SBI Card Today --&gt; Check Box Disclaimer</t>
  </si>
  <si>
    <t>The check box disclaimer needs to be "I authorize SBICPSL &amp; its representatives to Call/SMS/Whatsapp me with reference to my Credit Card application and verify any information at Read More" in order to match with the disclaimer currently being used on production</t>
  </si>
  <si>
    <t>https://www.loom.com/i/a1dc9994bd6842448d6023c116e7e013</t>
  </si>
  <si>
    <t>UAT_CP_122</t>
  </si>
  <si>
    <t>Own a SBI Card Today --&gt; Mobile Number Input box --&gt; Enter only a single digit in the field --&gt; Click else where and check if it turns green</t>
  </si>
  <si>
    <t>The mobile number input box field turns green and the CTA button activates even if less than 10 digits are entered in it</t>
  </si>
  <si>
    <t>https://www.loom.com/share/c9caae2f9fe7474fac5bfe4d53dd8601</t>
  </si>
  <si>
    <t>05/03/2026 - The issue is resolved on devsit1. Will close this issue once it gets resolved on sbi-pvt - https://loom.com/i/8f27751bcdbc4a988fecf954fa4a9d8c</t>
  </si>
  <si>
    <t>UAT_CP_123</t>
  </si>
  <si>
    <t>Content Overlap</t>
  </si>
  <si>
    <t>Mobile Devices (width below 450px) --&gt; Own a SBI Card Today --&gt; Input box placeholders</t>
  </si>
  <si>
    <t>For mobile devices below 380px, all input box placholders will get overlapped from the right. For mobile devices with slighly wider screens, the 4 input box's placeholder "Enter Mobile Number" gets overlapped. As of now, this can only be handled by replacing with a shorter placeholder text.</t>
  </si>
  <si>
    <t>https://www.loom.com/i/19dd07b5d3f14d67a6c08ecd43dc0a92</t>
  </si>
  <si>
    <t>UAT_CP_124</t>
  </si>
  <si>
    <t>SBI Credit Card Mobile App Section --&gt; Section Image &amp; Background Image</t>
  </si>
  <si>
    <t>Instead of Catalogue Page's section image and background banner for this section that was being used, now the home page's images are being used</t>
  </si>
  <si>
    <t>https://www.loom.com/i/c00e393650454c8a972d45e9682b7e60</t>
  </si>
  <si>
    <t>13/03/2026 - The issue is resolved on sbi-pvt - https://loom.com/i/db1917cedb7543a1aee34528d87d4dc5</t>
  </si>
  <si>
    <t>UAT_CP_125</t>
  </si>
  <si>
    <t>Frequently Ask Questions --&gt; 4th Question --&gt; Answer --&gt; Home Page Hyperlink</t>
  </si>
  <si>
    <t>The Home Page hyperlink doesn't redirect to the home page.</t>
  </si>
  <si>
    <t>https://www.loom.com/i/6cd5ae3b8518464f9b67d9e7c061b409</t>
  </si>
  <si>
    <t>UAT_CP_126</t>
  </si>
  <si>
    <t>Frequently Ask Questions --&gt; 6th Question (How to apply for an add-on credit card?) --&gt; Answer --&gt; "the website" hyperlink</t>
  </si>
  <si>
    <t>The hyperlink redirection lead to "Page not found" as the link is incorrect</t>
  </si>
  <si>
    <t>https://www.loom.com/i/eb89ef870f854c359295f0a896c475c8</t>
  </si>
  <si>
    <t>UAT_CP_127</t>
  </si>
  <si>
    <t>Frequently Ask Questions --&gt; 7th Question (How do I upgrade to a new credit card? Do I have to apply for it again?) --&gt; Answer --&gt; "upgrade to a new credit card " hyperlink</t>
  </si>
  <si>
    <t>https://www.loom.com/i/cbba9b663dae467da76021b191db68c4</t>
  </si>
  <si>
    <t>UAT_CP_128</t>
  </si>
  <si>
    <t>Frequently Ask Questions --&gt; 13th Question (What are the current offers available on SBI Credit Cards?) --&gt; Answer --&gt; "click here" hyperlink</t>
  </si>
  <si>
    <t>https://www.loom.com/i/a8816c9c7f4e4c7f8c0feab64dfaa446</t>
  </si>
  <si>
    <t>UAT_CP_129</t>
  </si>
  <si>
    <t>Own a SBI Card Today --&gt; Disclaimer Check box --&gt; Read More</t>
  </si>
  <si>
    <t>No redirection added to the "Read More" Hyperlink</t>
  </si>
  <si>
    <t>https://www.loom.com/i/b736f9387be44a768cc9ed881a940752</t>
  </si>
  <si>
    <t>UAT_CP_130</t>
  </si>
  <si>
    <t>Product Alert Banner --&gt; Each Slider --&gt; Hyperlink --&gt; Arrow Icon SVG</t>
  </si>
  <si>
    <t>The arrow icon svg size doesn't adjust accordingly to mobile devices and instead, remains the same size as it does in case of desktops. As a result it appears slighly bigger than expected in case of mobile phones.It should be 11.86 x 8.9px in case of mobile phones. Check the actual vs expected screenshots.</t>
  </si>
  <si>
    <t>https://www.loom.com/i/f3b7db87c440464f9a45f4e12fba06b1</t>
  </si>
  <si>
    <t>https://loom.com/i/4d80276ac90441358166946168934370</t>
  </si>
  <si>
    <t>12/03/2026 - As per the Developer (Bharat) same icon/svg is to be used for both desktop &amp; touch devices and its size should get adjusted through CSS - something which is already being done in the benchmark version but not on UAT/PVT. Therefore this bug is in SBI Team's bucket.</t>
  </si>
  <si>
    <t>UAT_CP_131</t>
  </si>
  <si>
    <t>Where Privilege Meets Prestige --&gt; SBI Card Elite Slide --&gt; Sub title</t>
  </si>
  <si>
    <t>The sub title " Get rewarded with lounge access, entertainment perks, and premium privileges" gets truncated with 3 dots at the end due to limited space available</t>
  </si>
  <si>
    <t>https://www.loom.com/i/76229402b00c4cc7b0c672180e7a93aa</t>
  </si>
  <si>
    <t>UAT_CP_132</t>
  </si>
  <si>
    <t>Line Height</t>
  </si>
  <si>
    <t>Product Alert Banner --&gt; Each Slide --&gt; Title</t>
  </si>
  <si>
    <t>The line hieght of the title needs to be increased as it was done for "Where Privilege Meets Prestige" section in order to increase gap between lines for better readability</t>
  </si>
  <si>
    <t>https://www.loom.com/i/79aa724006164e438e4253c77090d3fa</t>
  </si>
  <si>
    <t>UAT_CP_133</t>
  </si>
  <si>
    <t>Hero Section --&gt; Each Slider --&gt; Explore More CTA</t>
  </si>
  <si>
    <t>Clicking on the "Explore More" CTA doesn't scroll down to the card list and apply the respective category filter</t>
  </si>
  <si>
    <t>https://www.loom.com/share/ad81b4386ca64a7aa78ab0c9d669b419</t>
  </si>
  <si>
    <t>UAT_CP_134</t>
  </si>
  <si>
    <t>Frequently Ask Questions --&gt; Question Box --&gt; Click on the already expanded question box</t>
  </si>
  <si>
    <t>User tries to collapse the already expanded question box by clicking on it or clicking on the minus button but it doesn't collapse and only does so when user expands any other question box</t>
  </si>
  <si>
    <t>https://www.loom.com/share/db9ed6eaf24c4c26b388c3a42fa85851</t>
  </si>
  <si>
    <t>05/03/2026 - The issue is resolved on devsit1. Will close this issue once it gets resolved on sbi-pvt - https://www.loom.com/share/3f41581103b747249fe67a16096940d8</t>
  </si>
  <si>
    <t>UAT_CP_135</t>
  </si>
  <si>
    <t>Scroll down the page until Secondary Header Menu disappears --&gt; Scroll up to make it appear again --&gt; Hover over the Login &amp; Help tabs on the top right --&gt; Check how the appear below the secondard header meany instead of appearing on top of it. --&gt; Check the same for language drop down as well</t>
  </si>
  <si>
    <t>When user scrolls up the page and the secondary header menu appears again, if user hovers over the Help or Login tab or opens the language drop down menu, instead of appearing on top of the header menu, it appears behind it</t>
  </si>
  <si>
    <t>https://www.loom.com/share/5ee96fffca1e431682751680b5eb9a6d</t>
  </si>
  <si>
    <t>UAT_CP_136</t>
  </si>
  <si>
    <t>A Card for Every Lifestyle --&gt; Landmark Rewards SBI Card Prime --&gt; 1st Key Benefit</t>
  </si>
  <si>
    <t>"on annual Fees payment" at the end of the first benefit needs to be removed as it is strike-through in the latest content file</t>
  </si>
  <si>
    <t>https://www.loom.com/i/be8bc6f4b9ac42acb8666343d840c596</t>
  </si>
  <si>
    <t>UAT_CP_137</t>
  </si>
  <si>
    <t>A Card for Every Lifestyle --&gt; Landmark Rewards SBI Card Prime --&gt; 2nd &amp; 3rd Key Benefit</t>
  </si>
  <si>
    <t>The word "complementary" needs to be removed from 2nd &amp; 3rd bullet as it is strike-through in the latest content file</t>
  </si>
  <si>
    <t>https://www.loom.com/i/e2db4633c3ca45c79ad2f6f62e6a964d</t>
  </si>
  <si>
    <t>UAT_CP_138</t>
  </si>
  <si>
    <t>Hero Section --&gt; 6th Banner missing</t>
  </si>
  <si>
    <t>A 6th Banner that has been shared needs to be added in the Hero section.</t>
  </si>
  <si>
    <t>https://www.loom.com/i/bce9bfe66cb04b1f9f3a7be980809c6b</t>
  </si>
  <si>
    <t>13/03/2026 - The 6th banner has been added on sbi-pvt - https://loom.com/i/b9dc0be325b447a99b78f4c9918fcdb3</t>
  </si>
  <si>
    <t>UAT_CP_139</t>
  </si>
  <si>
    <t>A Card for Every Lifestyle --&gt; AirIndia SBI Signature Card --&gt; Key Benefits --&gt; 1st Bullet point</t>
  </si>
  <si>
    <t>The 1st Key Benefit Bullet point should be "20,000 Reward Points on Joining" instead of "20,000 reward points on payment of joining fee".</t>
  </si>
  <si>
    <t>https://www.loom.com/i/df9e5be33f6446c5b7a6c4ea278d8b10</t>
  </si>
  <si>
    <t>UAT_CP_140</t>
  </si>
  <si>
    <t>A Card for Every Lifestyle --&gt; AirIndia SBI Signature Card --&gt; Key Benefits --&gt; 2nd Bullet point</t>
  </si>
  <si>
    <t>The 2nd Bullet point needs to be "Air India Maharaja Club Membership" instead of "Complimentary membership of Air India Maharaja Club"</t>
  </si>
  <si>
    <t>https://www.loom.com/i/4c81096836534fb7bd5c264a61e3659e</t>
  </si>
  <si>
    <t>UAT_CP_141</t>
  </si>
  <si>
    <t>A Card for Every Lifestyle --&gt; AirIndia SBI Signature Card --&gt; Key Benefits --&gt; 3rd Bullet point</t>
  </si>
  <si>
    <t>The 3rd bullet point needs to be "Reward Points on Air India Tickets" instead of "10 Reward Points per Rs. 100 spent on Air India tickets"</t>
  </si>
  <si>
    <t>https://www.loom.com/i/d1353c9d24fd462eb13428573fbe6226</t>
  </si>
  <si>
    <t>UAT_CP_142</t>
  </si>
  <si>
    <t>"Apply for an SBI Credit Card Now"  (Short Lead Form) --&gt; CTA Button "GET YOUR CARD INSTANTLY"</t>
  </si>
  <si>
    <t>The CTA button "GET YOUR CARD INSTANTLY"  label needs to be changed. to "Request a Call Back"</t>
  </si>
  <si>
    <t>https://www.loom.com/i/b1adf14867c9438c950e19f681696d6d</t>
  </si>
  <si>
    <t>13/03/2026 - The issue has been resolved on sbi-pvt - https://loom.com/i/715115c080db423ca856b1c6d0f6e702</t>
  </si>
  <si>
    <t>UAT_CP_143</t>
  </si>
  <si>
    <t xml:space="preserve">A Card for Every Lifestyle --&gt; Category Tabs </t>
  </si>
  <si>
    <t>2 new filter categories need to be added - "Super Premium" which will have - "- Aurum" and both KrisFlyer cards and there should be "All" Card tab that will show all the cards.</t>
  </si>
  <si>
    <t>https://www.loom.com/i/2dc1a2e71d46404782c0d13e9c439869</t>
  </si>
  <si>
    <t>UAT_CP_144</t>
  </si>
  <si>
    <t xml:space="preserve">Hero Section --&gt; Help me Choose CTA </t>
  </si>
  <si>
    <t>Click on "Help me Choose" CTA should redirect to the "Find Your Perfect Card" section</t>
  </si>
  <si>
    <t>https://www.loom.com/i/b68000d7b82140328abe4f552fcc3201</t>
  </si>
  <si>
    <t>-``</t>
  </si>
  <si>
    <t>UAT_CP_145</t>
  </si>
  <si>
    <t>A Card for Every Lifestyle --&gt; Card Image --&gt; Shadow effect in the background</t>
  </si>
  <si>
    <t>Each card needs to have a shadow effect behind it's card face image. Because, cards such as Indigo, Indigo Elite &amp; IRCTC SBI card have white colour in their card face which affects its outline as the background colour of the section is also white</t>
  </si>
  <si>
    <t>https://www.loom.com/i/18b06fc9e3bf4c6e95990fa86e26e3b6</t>
  </si>
  <si>
    <t>UAT_CP_146</t>
  </si>
  <si>
    <t xml:space="preserve">A Card for Every Lifestyle --&gt; Aurum Card --&gt; 1st Key Benefit </t>
  </si>
  <si>
    <t>The word "infection" is incorrect. It should be "Inflection Points" instead.</t>
  </si>
  <si>
    <t>https://www.loom.com/i/f64d5af0b7e04b5ab7235851cb7f93a6</t>
  </si>
  <si>
    <t>12/03/2026 - The issue has been resolved on sbi-pvt - https://www.loom.com/i/223ed345de4b4d8a848e14d77bf578af
12/03/2026 - the word "inflection" needs to be capitalized - "Inflection"</t>
  </si>
  <si>
    <t>UAT_CP_147</t>
  </si>
  <si>
    <t>A Card for Every Lifestyle --&gt; Load More</t>
  </si>
  <si>
    <t>Clicking on the load more loads one more row in the catalogue, for example, in case of desktop 3 cards in the next row get loaded but instead it should load 2 more rows which means 6 more cards should get loaded.</t>
  </si>
  <si>
    <t>https://www.loom.com/i/771b66983c1b4a1592102f9a243e6987</t>
  </si>
  <si>
    <t>UAT_CP_148</t>
  </si>
  <si>
    <t>Hero section --&gt; Cashback Slide (6th one currently) --&gt; Explore Cards CTA</t>
  </si>
  <si>
    <t>Clicking on the explore cards should scroll the section to the card listing section below with the "Cashback" tab selected.</t>
  </si>
  <si>
    <t>https://www.loom.com/i/2bb955640a0f412c8606c686d8ba6aec</t>
  </si>
  <si>
    <t>17/03/2026 - The issue has been resolved on sbifo-pvt - https://www.loom.com/share/667c47c7a73a49f59a330bd677b19bb1</t>
  </si>
  <si>
    <t>UAT_CP_149</t>
  </si>
  <si>
    <t>Hero section --&gt; Cashback Slide (6th one currently) --&gt; KPIs &amp; section Title</t>
  </si>
  <si>
    <t>The KPIs and the section title need to have the actual content instead of the dummy content currently used</t>
  </si>
  <si>
    <t>https://www.loom.com/i/de1d3db0242a46a58a76d342bf4d6748</t>
  </si>
  <si>
    <t>17/03/2026 - The issue has been resolved on sbifo-pvt - https://loom.com/i/8a6641285a754ce0a397917afadac532</t>
  </si>
  <si>
    <t>UAT_CP_150</t>
  </si>
  <si>
    <t>Where Privilege Meets Prestige --&gt; Aurum Card Slide</t>
  </si>
  <si>
    <t>The Title needs to be - "A bit like yourself, there's nothing quite like it." and the sub-title (below the Card Name) needs to be removed</t>
  </si>
  <si>
    <t>https://www.loom.com/i/46adf2def24e40bab1c424eeb9671a7f</t>
  </si>
  <si>
    <t>12/03/2026 - As Neha Jain ma'am informed on UAT Discussion call, the sub title cannot be removed as it is mandatory, therefore a new sub-title was given which has been updated. Therefore closing the issue - https://www.loom.com/i/7dffb216c94742aeb3d1432cc394f609</t>
  </si>
  <si>
    <t>UAT_CP_151</t>
  </si>
  <si>
    <t>Where Privilege Meets Prestige --&gt; Aurum Card Slide Banner</t>
  </si>
  <si>
    <t>The Banner image for the Aurum Card Slider needs to be updated</t>
  </si>
  <si>
    <t>https://www.loom.com/i/f857ce59d0fc4a8faea3973a91fa3800</t>
  </si>
  <si>
    <t>https://loom.com/i/9253e5fb6265479cae58f64b65cfa2e9</t>
  </si>
  <si>
    <t>13/03/2026 - The new banner has been updated but it's height is not consistent with other banners in case of desktops starting from 1400px - https://www.loom.com/i/a5e8cd86d88d418aa2c6d448a0e76087</t>
  </si>
  <si>
    <t>UAT_CP_152</t>
  </si>
  <si>
    <t>A Card for Every Lifestyle --&gt; Stay in any category tab other than Featured --&gt; Apply any check box filter criteria --&gt; Notice the filtered cards --&gt; Uncheck the filter criteria --&gt; Notice the card categories</t>
  </si>
  <si>
    <t>As soon as any filter criteria check box is selected from the filter's menu, along with that filter criteria, it also applies the "Featured" category filter no matter what category tab is currently selected on the top. And, we user unchecks the filter criteria, the criteria filter goes away but the "Featured" Category filter still remains. User has to change the category tab once in order to get the filter behaviour corrected. Check the screen recording for better understanding.</t>
  </si>
  <si>
    <t>https://www.loom.com/share/b8a112bf39904bc6bfcfc5d3a789578f</t>
  </si>
  <si>
    <t>UAT_CP_153</t>
  </si>
  <si>
    <t>A Card for Every Lifestyle --&gt; Travel &amp; Fuel --&gt; Club Vistara SBI Card Prime</t>
  </si>
  <si>
    <t>Club Vistara SBI Card PRIME image has gone incorrect.</t>
  </si>
  <si>
    <t>https://www.loom.com/i/33fca21953e94b9484d9cff0c6e8c00d</t>
  </si>
  <si>
    <t>13/03/2026 - The issue has been resolved on UAT Call on sbi-pvt - https://loom.com/i/f603c5ad45d141bcb87177fd83023fe1</t>
  </si>
  <si>
    <t>UAT_CP_154</t>
  </si>
  <si>
    <t>A Card for Every Lifestyle --&gt; Travel &amp; Fuel --&gt; SBI Card Unnati</t>
  </si>
  <si>
    <t>SBI Card Unnati's image is now broken</t>
  </si>
  <si>
    <t>https://www.loom.com/i/e9949b676694488889c064d7dde5c8ba</t>
  </si>
  <si>
    <t>13/03/2026 - The issue has been resolved on UAT Call on sbi-pvt - https://loom.com/i/f581ba47934342ba8f9d4ba8bc8de734</t>
  </si>
  <si>
    <t>UAT_CP_155</t>
  </si>
  <si>
    <t>A Card for Every Lifestyle --&gt; Category Filters Tab --&gt; Scroll down till card listing such that the header secondary menu wrap disappears --&gt; Scroll up slightly for the header menu wrap to appear again --&gt; Notice the Filter tab container shifting it's position</t>
  </si>
  <si>
    <t>As the secondary header menu wrap has to appear &amp; disappear according to user scrolling down and up the page. Because of it, the Category Filters tabs container on top of the card listing page has to change it's position and it needs to be smooth and without any delay on pvt. Notice the screen recording that has pvt &amp; benchmark html behaviour for the same.</t>
  </si>
  <si>
    <t>https://www.loom.com/share/bbdeed84a462411295df4f0600da81da</t>
  </si>
  <si>
    <t>16/03/2026</t>
  </si>
  <si>
    <t>16/03/2026 - The issue has been resolved - https://www.loom.com/share/e789a1d88ff64b128fe29e6484e47505</t>
  </si>
  <si>
    <t>UAT_CP_156</t>
  </si>
  <si>
    <t>A Card for Every Lifestyle --&gt; Filter Menu --&gt; Apply some filter criteria and also change category tabs --&gt; Click on Reset All Button --&gt; Check if the card list resets --&gt; Select any check box --&gt; Check if the count is incorrect</t>
  </si>
  <si>
    <t>After applying check box filters and changing category tab, when user clicks on "Reset All" button, the filter count goes 0, filter check boxes get unchecked, category tab switches to "Featured" but the card listing remains the same (filters remain applied). This is evident because the count starts right where it was before clicking to Reset All instead of count from 0 again.</t>
  </si>
  <si>
    <t>https://www.loom.com/share/60eaeb59747540109cfd5163db6475a4</t>
  </si>
  <si>
    <t>UAT_CP_157</t>
  </si>
  <si>
    <t>iPads/Tablets</t>
  </si>
  <si>
    <t>iPad/Tablet --&gt; Landscape mode --&gt; Tick any filter check boxes --&gt; rotate to portrait mode --&gt; Open the filter pop up modal --&gt; Check if the applied filter checkboxes appear as ticked --&gt; Tick some new check boxes --&gt; Rotate to landscape mode again --&gt; Check if the filter checkboxes ticked in portrait mode layout are ticked in landscape mode layout or not</t>
  </si>
  <si>
    <t>As we have different filter layouts - filter modal for below 1024px width and filter menu for 1024px width and above. When an iPad or Tablet user ticks any filter check box in any of the layout and then switches to different layout, the filter remains applied but the checkboxes go unchecked.</t>
  </si>
  <si>
    <t>https://www.loom.com/share/4b022bc92aba4e3cb4d5a696b19e5dd2</t>
  </si>
  <si>
    <t>UAT_CP_158</t>
  </si>
  <si>
    <t>Frequently Asked Questions --&gt; Section Heading</t>
  </si>
  <si>
    <t>The section title should be "FREQUENTLY ASKED QUESTIONS" instead of "FREQUENTLY ASK QUESTIONS"</t>
  </si>
  <si>
    <t>https://www.loom.com/i/577225b386744611b5197de7d6e9834c</t>
  </si>
  <si>
    <t>UAT_CP_159</t>
  </si>
  <si>
    <t>Header --&gt; Sub Navigation Menu --&gt; Credit Cards --&gt; Click on any category tab --&gt; Check if after landing on the catalogue page, it also auto scrolls to the category that was selected to reach the page</t>
  </si>
  <si>
    <t>From the header, if user selects any category to reach the catalogue page, after landing on the page, it doesn't auto-scroll to the card listing page. User remains on the Hero section of the page.</t>
  </si>
  <si>
    <t>https://www.loom.com/share/594b8431f653411a97d911fc3acfb340</t>
  </si>
  <si>
    <t>Platform</t>
  </si>
  <si>
    <t>Found on</t>
  </si>
  <si>
    <t>UAT_HF_001</t>
  </si>
  <si>
    <t>Product Details</t>
  </si>
  <si>
    <t>Mobile Phones --&gt; Scroll down --&gt; Check if the Mobile Menu (one with apply now button) at the bottom appears</t>
  </si>
  <si>
    <t>The mobile menu at the bottom of the screen for mobile users (one with apply button) that appears as user scrolls is missing. Check expected vs actual result screenshot for better understanding</t>
  </si>
  <si>
    <t>https://www.loom.com/i/d4f321de18a14f72924208c066145add</t>
  </si>
  <si>
    <t>https://www.loom.com/i/60b70e4e176f4e7dbb763a5a1e43e48a</t>
  </si>
  <si>
    <t>09/02/2026 - This is intented behavious not a bug as discussed with Namita ma'am on call. It was done purposely.</t>
  </si>
  <si>
    <t>UAT_HF_002</t>
  </si>
  <si>
    <t>Accessibility Bar --&gt; Font Increase/Decrease button</t>
  </si>
  <si>
    <t>The buttons are not vertically center aligned because of missing class "flex-align-center"</t>
  </si>
  <si>
    <t>https://www.loom.com/i/276d855d371f42b08bf5ccb2b3e2eec8</t>
  </si>
  <si>
    <t xml:space="preserve">5/1/2026 - The issue occurs on UAT but not in the benchmark version of the page because the header &amp; footer code is not up to date on UAT as it is in the benchmark version. </t>
  </si>
  <si>
    <t>UAT_HF_003</t>
  </si>
  <si>
    <t>Logo Menus (below accessibility bar) --&gt; Login --&gt; Fogot password &amp; New User? Register Now buttons</t>
  </si>
  <si>
    <t>Forgot password &amp; New User? Register Now buttons are too close together. Gap missing</t>
  </si>
  <si>
    <t>https://www.loom.com/i/8c05d3abdee74e8e890ee0fb7a4ff921</t>
  </si>
  <si>
    <t>https://www.loom.com/i/1a1c18fd03064c63a9f333f028ddd399</t>
  </si>
  <si>
    <t xml:space="preserve">24/02/2026 - Issue resolved on devsit1 - https://loom.com/i/0d1c8e9a88394ad89268ab9c6a0707a4
5/1/2026 - The issue occurs on UAT but not in the benchmark version of the page because the header &amp; footer code is not up to date on UAT as it is in the benchmark version. </t>
  </si>
  <si>
    <t>UAT_HF_004</t>
  </si>
  <si>
    <t>Accessibility with Keyboard --&gt; Accessibility Bar --&gt; Skip to main content, Theme &amp; font buttons</t>
  </si>
  <si>
    <t>The Skip to main content, Theme &amp; font buttons are not accessible through the keyboard</t>
  </si>
  <si>
    <t xml:space="preserve">13/02/2026 - As dicussed on Bug Priority call with Namita ma'am,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</si>
  <si>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UAT_HF_005</t>
  </si>
  <si>
    <t>Accessibility with Keyboard --&gt; Header--&gt; Login</t>
  </si>
  <si>
    <t>The login tab is not accessibile through the keyboard. User isn't able to get the focus on it and as a result the drop down as well cannot open</t>
  </si>
  <si>
    <t>UAT_HF_006</t>
  </si>
  <si>
    <t>Accessibility with Keyboard --&gt; Header Secondary Menu</t>
  </si>
  <si>
    <t>While moving focus from top to bottom using keyboard the focus for the secondary header menu drop downs get skipped</t>
  </si>
  <si>
    <t xml:space="preserve">13/02/2026 - As dicussed on Bug Priority call with Namita ma'am, we need to park the accessibility issues for now (for this release)  therefore status change to HOLD.
05/01/2026 - The issue occurs on UAT but not in the benchmark version of the page because the header &amp; footer code is not up to date on UAT as it is in the benchmark version. </t>
  </si>
  <si>
    <t>UAT_HF_007</t>
  </si>
  <si>
    <t>Accessibility with Keyboard --&gt; Header --&gt; Personal, Corporate, About SBI Card</t>
  </si>
  <si>
    <t>While moving focus from top to bottom using keyboard the focus doesn't move to header tabs besides the SBI logo</t>
  </si>
  <si>
    <t>UAT_HF_008</t>
  </si>
  <si>
    <t>Accessibility with Keyboard --&gt; Header--&gt; Help drop down</t>
  </si>
  <si>
    <t>User focuses on the Help tab but remains unable to open it by pressing enter or Alt + down arrow key</t>
  </si>
  <si>
    <t xml:space="preserve">13/02/2026 - As dicussed on Bug Priority call with Namita ma'a, we need to park the accessibility issues for now (for this release)  therefore status change to HOLD.
5/1/2026 - The issue occurs on UAT but not in the benchmark version of the page because the header &amp; footer code is not up to date on UAT as it is in the benchmark version. </t>
  </si>
  <si>
    <t>UAT_HF_009</t>
  </si>
  <si>
    <t>Accessibility with Keyboard --&gt; Accessibility Bar --&gt; Language Drop Down</t>
  </si>
  <si>
    <t>User focuses on the Language tab but remains unable to open it by pressing enter or Alt + down arrow key</t>
  </si>
  <si>
    <t xml:space="preserve">13/02/2026 - As dicussed on Bug Priority call with Namita ma'am, we need to park the accessibility issues for now (for this release)  therefore status change to HOLD.
05/02/2026 - The issue occurs on UAT but not in the benchmark version of the page because the header &amp; footer code is not up to date on UAT as it is in the benchmark version. </t>
  </si>
  <si>
    <t>UAT_HF_010</t>
  </si>
  <si>
    <t>All Devices --&gt; Headers &amp; Footers</t>
  </si>
  <si>
    <t>The Header &amp; footer version 55 needs to be implemented on call pages, currently the older header &amp; footer version is present which does have UI or accessibility bug fixes that version 55 has. Due to this unable to further test the headers &amp; footers</t>
  </si>
  <si>
    <t>23/02/2026 - We will pick this after the release</t>
  </si>
  <si>
    <t>23/02/2026 - As already confirmed on UAT Discussion call, header footer v55 is to be picked in the next release. Therefore this bug needs to be kept on hold.</t>
  </si>
  <si>
    <t>UAT_HF_011</t>
  </si>
  <si>
    <t>Footer - Playstore &amp; App store Download button --&gt; iPads / Tablets</t>
  </si>
  <si>
    <t>No gap between the download from Playstore and Appstore button</t>
  </si>
  <si>
    <t>https://www.loom.com/i/1ddd8cdc199c4883a3111e69175dc38a</t>
  </si>
  <si>
    <t>https://www.loom.com/i/be2e637ee1e04b64ac5212cdfa4f2bd4</t>
  </si>
  <si>
    <t>23/02/2026 - The issue was already marked as resolved on 20/02/2026
20/02/2026 - The issue is resolved on devsit1 - https://www.loom.com/i/90dce47b9cda4d38978a4796abb5c802
13/02/2026 - Issue resolved on HTML v50-2 - https://loom.com/i/4ff39bd423d54e9e8327bc3f186b7d30</t>
  </si>
  <si>
    <t>UAT_HF_012</t>
  </si>
  <si>
    <t>iPads / Tablets --&gt;Header --&gt; Logo Menu sub header --&gt;  Login button</t>
  </si>
  <si>
    <t>In case of iPads / Tablets, the login button logo disappears.</t>
  </si>
  <si>
    <t>https://www.loom.com/i/7dbc1e00d0904745a3f99c6c237083eb</t>
  </si>
  <si>
    <t>https://www.loom.com/i/1916aaa00f2843b6ac38f012d311ce99</t>
  </si>
  <si>
    <t>24/02/2026 - Issue resolved on devsit1 - https://loom.com/i/ff174d8dbdb54526a826158602f9da73
13/02/2026 - Issue resolved on HTML v50-2 - https://loom.com/i/5a0f8a4a8fa6430885ceea7a26b88f0b</t>
  </si>
  <si>
    <t>UAT_HF_013</t>
  </si>
  <si>
    <t>Mobile Phones / iPads / Tablets --&gt; Header's Side Bar Menu --&gt; Dropdown</t>
  </si>
  <si>
    <t>None of the dropdowns expand or open the list upon tapping on them in case of catalogue page. (they work fine on all other pages)</t>
  </si>
  <si>
    <t>https://www.loom.com/share/e8ced555ab5340859d3aff68e1839cb4</t>
  </si>
  <si>
    <t>UAT_HF_014</t>
  </si>
  <si>
    <t>Width</t>
  </si>
  <si>
    <t>Mobile Phones / iPads / Tablets --&gt; Header's Side Bar Menu --&gt; Credit Cards, EMI &amp; More</t>
  </si>
  <si>
    <t>Bullet points for the mentioned dropdowns get word wrapped to next line even if there is plenty of space available in the same line.</t>
  </si>
  <si>
    <t>https://www.loom.com/i/cf551ea294ee4b55a8d18cf8edf42b81</t>
  </si>
  <si>
    <t>https://www.loom.com/i/ff2f114bf7a448a5a3ff14c1e4277a28</t>
  </si>
  <si>
    <t>UAT_HF_015</t>
  </si>
  <si>
    <t>iPads / Tablets --&gt; Header --&gt; Side Bar Menu</t>
  </si>
  <si>
    <t>Clicking on the side bar menu is not opening it. (In case of iPads or Tablets only)</t>
  </si>
  <si>
    <t>https://www.loom.com/share/2bb66231480847228aa6b2f8feb80dfb</t>
  </si>
  <si>
    <t>UAT_HF_016</t>
  </si>
  <si>
    <t>Desktops --&gt; Reduce the font size to smallest --&gt; Footer --&gt; Playstore and Appstore download buttons</t>
  </si>
  <si>
    <t>Gap between both the download button increases to more than required</t>
  </si>
  <si>
    <t>https://www.loom.com/i/7a8267c9357d42b69461fa3b2061eac7</t>
  </si>
  <si>
    <t>24/02/2026 - The issue is resolved on devsit1 - https://loom.com/i/e26ee874b4f94ef0ba663716b240f45b
13/02/2026 - Issue is not resolved on HTML v50-2 - https://www.loom.com/i/52cb787a19cf4cbc9e7d8ba82709f7b3</t>
  </si>
  <si>
    <t>UAT_HF_017</t>
  </si>
  <si>
    <t>Sticky Position</t>
  </si>
  <si>
    <t>Mobile Devices (iPhone 14 Pro) --&gt; Logo Menu Header</t>
  </si>
  <si>
    <t>For some mobile phones, for example - iPhone 14 Pro, while scrolling down, the logo-menus-wrap container gets overlapped by the above container appearing on top of it.</t>
  </si>
  <si>
    <t>https://www.loom.com/share/1f657ea4933f4df88ac807e895e964db</t>
  </si>
  <si>
    <t>24/02/2026 - The issue was already marked as resovled on 20/02/2026
20/02/2026 - The issue is resolved on devsit1
13/02/2026 - Issue not resolved on HTML v50-2</t>
  </si>
  <si>
    <t>UAT_HF_018</t>
  </si>
  <si>
    <t>Device width 767px --&gt; Sub Navigation menu</t>
  </si>
  <si>
    <t>Both Sub navigation menu &amp; footer mobile menu appear when the breakpoint is 767px</t>
  </si>
  <si>
    <t>https://www.loom.com/i/e2384a97a31c4687aacdc393c9b0a1c0</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</si>
  <si>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24/02/2026 - As discussed on call, we need to ignore this for the current release and pick this up in the next one. Therefore, it's priority is set to P3 and now changing it's status to "On Hold"
13/02/2026 - Issue is not resolved on HTML v50-2 - https://loom.com/i/05fd47f01565470ebf1580287096e879</t>
  </si>
  <si>
    <t>UAT_HF_019</t>
  </si>
  <si>
    <t>Touch Devices --&gt; Side bar menu --&gt; Do not open any drop down</t>
  </si>
  <si>
    <t>Notice the extra gap between SBI Logo &amp; the line separator below and between the tabs (personal, corporate, who are we) and the first drop down below. These gaps get adjusted correctly as soon as any drop down is opened but they should be correct even when no drop down is opened.</t>
  </si>
  <si>
    <t>https://www.loom.com/i/a7e93358b65d402ba4a25ed8d607f0a4</t>
  </si>
  <si>
    <t>https://www.loom.com/i/4d735842f8dd4262bbdc3a65808f02d6</t>
  </si>
  <si>
    <t>24/02/2026 - The issue was already marked as resovled on 20/02/2026
20/02/2026 - The issue is resolved on devsit1 - https://loom.com/i/3391c27d07db4ab6919bb573ec58df34
13/02/2026 - Issue is resolved on HTML v50-2 - https://loom.com/i/cfe964866e3a421d9b39654a55346b67</t>
  </si>
  <si>
    <t>UAT_HF_020</t>
  </si>
  <si>
    <t>Touch Devices --&gt; Side Bar Menu --&gt; Increase/Decrease the font</t>
  </si>
  <si>
    <t>As the user changes the font size, the following elements do not change their size and same type of element need to follow the same font size (for ex: all subtitles same font, all bullet points same font)  - 
1.) Personal, Corporate, Who We Are tabs on the tab. 
2.) Sub headings (heading just above the list in side the drop downs)
3.) Connect with Us Headings 
4.) All the icons present in the side bar menu</t>
  </si>
  <si>
    <t>https://www.loom.com/i/cfadde0fa47943dc84c5ee9f43cbf15b</t>
  </si>
  <si>
    <t>25/02/2026 - The issue remains the same as mentioned on 24th Feb remark. However, its priority has been changed to P3 as requested by Arun sir because the SBI Team is no longer picking any further HTML/CSS fixes.
24/02/2026 - The issue is resolved on devsit1 in case of mobile phones but not in case of iPads / Tablets. The "Personal", "Corporate" "About SBI Card" tab font &amp; subtitle font size still doesn't get adjusted - https://www.loom.com/share/efddccaeef004852b66e4e6abfcf6930
20/02/2026 - The issue is resolved on devsit1 in case of mobile phones but not in case of iPads / Tablets. The "Personal", "Corporate" "About SBI Card" tab font &amp; subtitle font size still doesn't get adjusted - https://www.loom.com/share/efddccaeef004852b66e4e6abfcf6930
13/02/2026 - Issue not resolved on HTML v50-2 - In case of iPads / Tablets, the "Personal", "Corporate", "Who We Are" Tabs still do not adjust their font size. The Subtitles under any accordion do not maintain the same font size among each other and do not adjust their font size - https://www.loom.com/i/fb86eb2490584daa946e22c29b8ffd7f</t>
  </si>
  <si>
    <t>UAT_HF_021</t>
  </si>
  <si>
    <t>Top of the page --&gt; Scroll down the page slowly--&gt; Notice the hero section's top while scrolling</t>
  </si>
  <si>
    <t>Notice the hero section's top while scrolling --&gt; While scrolling up or down slowly from top to bottom, a sudden position change is noticeable on the top of the hero section. A slight overlapping in the SBI logo header menu can also be noticed.</t>
  </si>
  <si>
    <t>https://www.loom.com/share/10df6176adf4477f8acfda1f30a3c7cf</t>
  </si>
  <si>
    <t>13/02/2026 - Issue is not resolved on HTML v50-2</t>
  </si>
  <si>
    <t>UAT_HF_022</t>
  </si>
  <si>
    <t>Side bar menu --&gt; Do not open any drop down</t>
  </si>
  <si>
    <t>13/02/2026 Priority for this changed to P3 on UAT dicussion call after discussion with Namita ma'am &amp; Neha ma'am
09/02/2026 - expected behaviour as discussed on call. Not an issue</t>
  </si>
  <si>
    <t>UAT_HF_023</t>
  </si>
  <si>
    <t>Side bar menu --&gt; Mobile Footer Menu --&gt; Card Payment Tab</t>
  </si>
  <si>
    <t>09/02/2026 - Transferred this but to home page therefore closing here.</t>
  </si>
  <si>
    <t>UAT_HF_024</t>
  </si>
  <si>
    <t>21/06/2026</t>
  </si>
  <si>
    <t>Header &amp; Footer --&gt; Accessibility Checker (if extension doesn't work, can you chrome lighthouse)</t>
  </si>
  <si>
    <t>For Header &amp; Footer, 15 accessibility instances failed when tested with automated accessibility checker plug in - https://accessibilityinsights.io/</t>
  </si>
  <si>
    <t>https://www.loom.com/i/fc9eb4b1b5de4501b34e559560c2b26d
https://www.loom.com/i/7ab5f68567ca4f25af228f3c847aa552</t>
  </si>
  <si>
    <t>26/02/2026 - Changing the status from Hold to Open just so bharat gets this when applies filter on HTML/CSS issues to included in the document for the next release. Priority is P3 anyway, which helps us filter them out for current release as we are not picking P3 in the current release.
13/02/2026 - As dicussed on Bug Priority call with Namita ma'a, we need to park the accessibility issues for now (for this release)  therefore status change to HOLD.</t>
  </si>
  <si>
    <t>UAT_HF_025</t>
  </si>
  <si>
    <t>Credit Card Pages</t>
  </si>
  <si>
    <t>Header &amp; Footer --&gt; Mobile Phone --&gt; The Mobile footer menu with "Apply Now" button</t>
  </si>
  <si>
    <t>The footer menu layout &amp; position is not as intended. It should be cylindrical shaped with rounded corners along with appropriate gap from the left, right &amp; bottom. Check the actual vs expected result.</t>
  </si>
  <si>
    <t>https://www.loom.com/i/51acabb27a034ffcbe713e4248313956</t>
  </si>
  <si>
    <t>https://www.loom.com/i/3b26990df0824d078a1794931f01d640</t>
  </si>
  <si>
    <t>09/02/2026 - This is intended behaviour as discussed on call with Namita ma'am therefore clsoing this issue.</t>
  </si>
  <si>
    <t>UAT_HF_026</t>
  </si>
  <si>
    <t>Header &amp; Footer --&gt; Mobile Phone --&gt; Scroll down through the Key benefits on to Exclusive Privileges section</t>
  </si>
  <si>
    <t>The "Apply Now" footer menu doesn't appear when user scrolls down beyond the "Key Benefits" section and half past "Exclusive Privileges" section Instead it should appear as soon as user reaches the "Exclusive Privileges" section</t>
  </si>
  <si>
    <t>https://www.loom.com/share/69288b6753cb4b739221fefa046a80c5</t>
  </si>
  <si>
    <t>09/02/2026 - This card cannot be applied online therefore this is intended behaviour. hence closing.</t>
  </si>
  <si>
    <t>UAT_HF_027</t>
  </si>
  <si>
    <t>Header &amp; Footer --&gt; Page Top --&gt; Stick Navigation Block in the main content section of the page</t>
  </si>
  <si>
    <t>In Firefox browser, from the page top, while user scrolls down, as the header secondary menu disappears, it takes noticeable time for the Sticky Navigation Block to adjust its position to the top of the section.</t>
  </si>
  <si>
    <t>https://www.loom.com/share/a59b44bd18f14461b7d5402946fa0620</t>
  </si>
  <si>
    <t>23/02/2026 - Not able to check</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</si>
  <si>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05/03/2025 - As the SBI Team is unable to check this on firefox, need to discuss what needs to be done for the bug.
24/02/2026 - Can only close the issue once it gets resolved</t>
  </si>
  <si>
    <t>UAT_HF_028</t>
  </si>
  <si>
    <t>Personal - Benefits Page</t>
  </si>
  <si>
    <t>Header &amp; Footer --&gt; Logo Menu Position --&gt; Gap above the logo menu while scrolling</t>
  </si>
  <si>
    <t>The position of the logo menu doesn't adjust correctly when the user scrolls and as a result a gap above the menu is observed.</t>
  </si>
  <si>
    <t>https://www.loom.com/i/91b619a6cb2342c6ad3a33f2b1e0c81d</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</si>
  <si>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https://loom.com/i/444213a86c3d421a948b7a0152f5b378</t>
  </si>
  <si>
    <t>UAT_HF_029</t>
  </si>
  <si>
    <t>Who We Are - About Us Page</t>
  </si>
  <si>
    <t>https://www.loom.com/i/267ce1b979ef4721ac4af875fc323470</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</si>
  <si>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https://loom.com/i/e5749e964b0044d59aaf7d1fc0ecb9ed</t>
  </si>
  <si>
    <t>UAT_HF_030</t>
  </si>
  <si>
    <t>Do Not Disturb Page</t>
  </si>
  <si>
    <t>https://www.loom.com/i/e0f4607538534ddca1aff1f1243f8ab6</t>
  </si>
  <si>
    <t>06/03/2026 - As checked on UAT call, as this issue also occurs in HTML/CSS therefore changing its stage column value from UAT to HTML/CSS and assigning it to Bharat. Also, as the SBI team is no longer picking any HTML/CSS fixes after 16th Feb, changing this issue's priority to P3.
05/03/2026 - As the issue is being marked as fixed but is not getting resolved, need to discuss on UAT call regarding the same.
24/02/2026 - The issue is not resolved on devsit1. In case of mobile phones, when user clicks on the cross button of the top offer "Amazon gift card worth Rs. 500" and then scrolls down, the Logo Menu header position doesn't adjust to the top - https://loom.com/i/55ad71693c664dbb95218825237bba8a</t>
  </si>
  <si>
    <t>UAT_HF_031</t>
  </si>
  <si>
    <t>Header &amp; Footer --&gt; Breadcrumbs</t>
  </si>
  <si>
    <t>The breadcrumb position goes incorrect and starts to overlap with the section below by appearing above it.</t>
  </si>
  <si>
    <t>https://www.loom.com/i/8f583dd8578e4f21a39a9f4c234eec22</t>
  </si>
  <si>
    <t>23/02/2026 - This is the same as we receive from the HTML team</t>
  </si>
  <si>
    <t>10/03/2026 - As discussed on UAT call, Neha Laddha ma'am showed that this is because of revamp.css that bharat has given, therefore this issue is transferred to Bharat and marked as HTML/CSS.
05/03/2026 - As the issue is being marked as fixed but is not getting resolved, need to discuss on UAT call regarding the same.
24/02/2026 - Even though the position of the breadcrumb is fixed but it still overlaps with the Title of the top section - https://www.loom.com/i/9b44a4bf0cb6437489b500c0fddbb805</t>
  </si>
  <si>
    <t>UAT_HF_032</t>
  </si>
  <si>
    <t>The breakcrumb position goes incorrect and starts to overlap with the section below by appearing above it.</t>
  </si>
  <si>
    <t>https://www.loom.com/i/ef1319fd97c242cbae064cfbbec32da4</t>
  </si>
  <si>
    <t>24/02/2026 - The issue is resolved on devsit1 - https://loom.com/i/1a5a6a25a3bc43b4933ac77d2f8c26e6</t>
  </si>
  <si>
    <t>UAT_HF_033</t>
  </si>
  <si>
    <t>https://www.loom.com/i/871d8a6002714fba92dbcfe97d881988</t>
  </si>
  <si>
    <t>24/02/2026 - The issue is resolved on devsit1 - https://loom.com/i/54b6fbd3de21445aa39786530a5b1e7b</t>
  </si>
  <si>
    <t>UAT_HF_034</t>
  </si>
  <si>
    <t>All Old Pages - (Benefits, Do Not Disturb, About Us)</t>
  </si>
  <si>
    <t>Footer --&gt; Back to Top button --&gt; Not Available --&gt; Top Bar (Limited Offer - Amazon Gift Card) --&gt; Cross button --&gt; Back to Top button appears</t>
  </si>
  <si>
    <t>The Back to Top button remains missing above the footer but when a mobile user closes the top bar by clicking on the cross botton, it starts to appear above the logo menu container</t>
  </si>
  <si>
    <t>https://www.loom.com/share/14be5ec52cf54bfc9be17212a7023fc5</t>
  </si>
  <si>
    <t>24/02/2026 - The issue is resolved on devsit1 - https://www.loom.com/share/72dce57a1b4c4d9eaadbd10ce9e0d82a</t>
  </si>
  <si>
    <t>UAT_HF_035</t>
  </si>
  <si>
    <t>Header --&gt; Top Bar ( Limited Offer - Amazon Gift Card) --&gt; Skip to Main Content</t>
  </si>
  <si>
    <t>The "Skip to Main Content" button is missing</t>
  </si>
  <si>
    <t>https://www.loom.com/i/3b69d15a78f3450d87a10ed8796fa993</t>
  </si>
  <si>
    <t>The skip to main content button is missing intentionally as confirmed by Neha Laddha ma'am &amp; Namita ma'am on HTML Discussion call therefore closing this issues.</t>
  </si>
  <si>
    <t>UAT_HF_036</t>
  </si>
  <si>
    <t>Header --&gt; Change font to Large --&gt; Check the Top Bar block</t>
  </si>
  <si>
    <t>For screens having width anywhere between 767px to 800px, if user increases the font size, the "Skip to main menu", "Font +", "Font -", Dark Mode &amp; Language buttons/drop down shift to the next line.</t>
  </si>
  <si>
    <t>https://www.loom.com/i/41b0727a81294f05bef292fca4bf424d</t>
  </si>
  <si>
    <t>23/02/2026 - Unable to reproduce</t>
  </si>
  <si>
    <t>24/02/2026 - The issue is resolved on devsit1 - https://loom.com/i/646ff041fdca4f9da215cb689f15930d</t>
  </si>
  <si>
    <t>UAT_HF_037</t>
  </si>
  <si>
    <t>Header --&gt; Touch Devices --&gt; Side Bar Menu --&gt; Dropdowns --&gt; Bullet points</t>
  </si>
  <si>
    <t>Case when the bullet point in any dropdown goes more than 1 line, the bullet dot position goes vertically at the center of the lines. Instead, the bullet point dot should always be at the first line of the bullet.</t>
  </si>
  <si>
    <t>https://www.loom.com/i/81ddb2f3f5524e6c98d37981b5c59d91</t>
  </si>
  <si>
    <t>You can close this because it will always in one line as discussed in call with SBI Team</t>
  </si>
  <si>
    <t>13/02/2026 - Issue is not resolved on HTML v50-2 - https://loom.com/i/fd7022a044a54994b0f90cc3d6e75b9a
09/02/2026 - The &lt;br&gt; tag needs to be removed for "EMI &amp; More" accordion's list items.</t>
  </si>
  <si>
    <t>UAT_HF_038</t>
  </si>
  <si>
    <t>Header --&gt; Side Bar Menu --&gt; Dropdown, Footer --&gt; Dropdowns All other elements in header &amp; footer</t>
  </si>
  <si>
    <t>In case of real touch devices, a light blue colour on click effect can be noticed for each of the drop down. For all other elements, dotted border appears whenever they get clicked. Both of these behaviors do not occur on any of the new pages.</t>
  </si>
  <si>
    <t>https://www.loom.com/share/789bf132cca64b699aac9824398b6a53</t>
  </si>
  <si>
    <t>05/03/2026 - Please share the video recording if working fine on your end.
24/02/2026 - The issue has already been demonstrated on UAT Discussion call</t>
  </si>
  <si>
    <t>UAT_HF_039</t>
  </si>
  <si>
    <t>All New Pages</t>
  </si>
  <si>
    <t>Header --&gt; Logo Menu Container --&gt; Login Button</t>
  </si>
  <si>
    <t>The login button is missing between the search and the side bar menu in case of touch devices</t>
  </si>
  <si>
    <t>https://www.loom.com/i/5d340fb647d34cbbbcf8a3fbbd50782b</t>
  </si>
  <si>
    <t>24/02/2026 - The issue is resolved on devsit1 - https://loom.com/i/dbff6a1294f541fd91f822dc33a152df</t>
  </si>
  <si>
    <t>UAT_HF_040</t>
  </si>
  <si>
    <t>Error</t>
  </si>
  <si>
    <t>PVT --&gt; SBI Card Miles Elite --&gt; Header &amp; Footer</t>
  </si>
  <si>
    <t>The header &amp; footer doesn't load and throws - "an error occurred while processing this directive"</t>
  </si>
  <si>
    <t>https://www.loom.com/i/4f078a37557e4e4f96e661195bbd6a2e</t>
  </si>
  <si>
    <t>24/02/2026 - The issue is resolved on devsit1 - https://loom.com/i/40b55976c5a54eb18c884dc86849e10a</t>
  </si>
  <si>
    <t>UAT_HF_041</t>
  </si>
  <si>
    <t>Product Details &amp; Catalogue Page</t>
  </si>
  <si>
    <t>Mobile Phones --&gt; Mobile footer menu wrap at the bottom --&gt; Services</t>
  </si>
  <si>
    <t>Clicking on the services tab doesn't open the pop up modal as it does on the Home Page.</t>
  </si>
  <si>
    <t>https://www.loom.com/share/ff46c7a3f0d94c06b269ae43cb6d8409</t>
  </si>
  <si>
    <t>24/02/2026 - The issue is resolved on devsit1 - https://loom.com/i/9166b9a3e86f4df3b91975a2e49cae49
https://loom.com/i/43c035fad4214105a24f14adff33fc4b</t>
  </si>
  <si>
    <t>UAT_HF_042</t>
  </si>
  <si>
    <t>Header Secondary Meny wrap --&gt; Credit Cards --&gt; Premium &amp; Cashback category cards</t>
  </si>
  <si>
    <t>The word "Cards" need to be added after each category</t>
  </si>
  <si>
    <t>https://www.loom.com/i/e9561f0aeaa048fc8f6d37baf05f2224</t>
  </si>
  <si>
    <t>24/02/2026 - The issue is resolved on pvt - https://loom.com/i/26c8a312ce0a43c5b97c824d09aba78f</t>
  </si>
  <si>
    <t>UAT_HF_043</t>
  </si>
  <si>
    <t>Touch Devices --&gt; Header Containers --&gt; Scroll down the page --&gt; Check if the header containers disappear --&gt; Scroll up --&gt; Check if the appear again.</t>
  </si>
  <si>
    <t>As per Namita ma'am on SBI Daily Connect call, in case of touch devices, these three header containers should disappear while user is scrolling down and should only appear as soon as user scrolls up.</t>
  </si>
  <si>
    <t>https://www.loom.com/i/f695f83842cc4a3c80c01f157c77ffb6</t>
  </si>
  <si>
    <t>13/02/2026 - Fix for this has not yet sent.</t>
  </si>
  <si>
    <t>UAT_HF_044</t>
  </si>
  <si>
    <t>Touch Devices --&gt; Dark Mode --&gt; Side Bar Menu (hamburger menu)</t>
  </si>
  <si>
    <t xml:space="preserve">Even when the dark mode is enabled, the side bar menu remains as it it in the light mode </t>
  </si>
  <si>
    <t>https://loom.com/i/0cf8ba51849046e8bfab679f8ff84709</t>
  </si>
  <si>
    <t>25/02/2026 - The issue is not resolved because of the same reason as mentioned on 13th Feb and as this is HTML issue it is in HTML team's bucket but it's priority is changed to P3 as SBI Team is no longer taking any HTML Fixes - https://loom.com/i/31af5d7816114ac99bc9fdcfca5bf436
13/02/2026 - Now side bar menu also accomodates dark mode but one of the accordion image - "Credit Card" icon needs to be corrected - https://www.loom.com/i/4e59cca8c5db4dd88288eb91fac3c6da</t>
  </si>
  <si>
    <t>UAT_HF_045</t>
  </si>
  <si>
    <t>Touch Devices --&gt; Side Bar Menu --&gt; Connect with us social media buttons</t>
  </si>
  <si>
    <t>An extra gap is observed right below the social media icons which seems more than necessary.</t>
  </si>
  <si>
    <t>https://www.loom.com/i/ab0fb94a0cd945d88dacbc8c63505c71</t>
  </si>
  <si>
    <t>13/02/2026 - This issue is not occurring on real devices and only on emulator as demonstrated on call therefore closing this issue.
https://www.loom.com/share/45b575b8afb540eea52c5cf5afb9afbf</t>
  </si>
  <si>
    <t>UAT_HF_046</t>
  </si>
  <si>
    <t>Gridline</t>
  </si>
  <si>
    <t>Touch Devices --&gt; Side Bar Menu --&gt; More Links accordion</t>
  </si>
  <si>
    <t>A gridline / line separator between the "More Links" accordion &amp; "Connect with Us" heading is missing.</t>
  </si>
  <si>
    <t>https://www.loom.com/i/a33cfebc7a8c4e5aba0d11b6629b821a</t>
  </si>
  <si>
    <t>25/02/2026 - The issue is not resolved because of the same reason as mentioned on 13th Feb and as this is HTML issue it is in HTML team's bucket but it's priority is changed to P3 as SBI Team is no longer taking any HTML Fixes - https://loom.com/i/2f4bcf7d078c42c1aa21ba98a8fa07ec
13/02/2026 - Now the gridline between the "Important Links" &amp; "More Links" accordion appears brighter than the same gridline below because bottom gridline for above element and top gridline of bottom element overlap with each other and make it brighter - https://www.loom.com/i/d97c8149f30e4e11a7ec81fd4dc6d178</t>
  </si>
  <si>
    <t>UAT_HF_047</t>
  </si>
  <si>
    <t>iPads / Tablets --&gt; Side Bar Menu --&gt; Connect with us --&gt; Social Media buttons</t>
  </si>
  <si>
    <t>The social media bottons are too far from each other. The amount of gap current present between them needs to be reduced. They are fine in case of mobile phones</t>
  </si>
  <si>
    <t>https://www.loom.com/i/4b1ba9b07aa64595982197a62c2cff38</t>
  </si>
  <si>
    <t xml:space="preserve">20/02/2026 - Fixed on devsit1 </t>
  </si>
  <si>
    <t>20/02/2026 - The issue is resolved on devsit1 - https://loom.com/i/4fc069ca877d456cad400c8653e6e273</t>
  </si>
  <si>
    <t>UAT_HF_048</t>
  </si>
  <si>
    <t>Touch Devices --&gt; Side Bar Menu --&gt; Help Accordion</t>
  </si>
  <si>
    <t>When user opens the help accordion, it doesn't completely get in the view because it doesn't auto scroll after the accordion is expanded. Check video recording for better understanding.</t>
  </si>
  <si>
    <t>https://www.loom.com/share/13b5f4b248c741cd8e741454b2584999</t>
  </si>
  <si>
    <t>13/02/2026 - Fix for this has not yet received.</t>
  </si>
  <si>
    <t>UAT_HF_049</t>
  </si>
  <si>
    <t>Touch Devices --&gt; Side Bar Menu --&gt; "Credit Cards", "EMI &amp; More" &amp; "Pay" Icons</t>
  </si>
  <si>
    <t xml:space="preserve">Same icon is being used for these 3 accordions - "Credit Cards", "EMI &amp; More" &amp; "Pay" </t>
  </si>
  <si>
    <t>https://www.loom.com/i/2e9f12149ba041b783fd677fb6957fa2</t>
  </si>
  <si>
    <t>03/03/2026 - The issue is resolved on sbi-pvt - https://loom.com/i/6561b37bb8c0455ab633e2f5968b3c95
24/02/2026 - Verified this on PVT. The icons are correct but unable to resolve this issue until the size of all the icons get consistent. Currently some are larger while other are smaller when compared with each other - https://www.loom.com/i/06f4c6c0bf854ae580a2126a546d7ecf Icons of same size have been shared. They need to be implemented.</t>
  </si>
  <si>
    <t>UAT_HF_050</t>
  </si>
  <si>
    <t>Touch Devices --&gt; Open the Side Bar Menu --&gt; Click somewhere on the screen outside the side bar menu --&gt; Check if the side bar menu closes</t>
  </si>
  <si>
    <t>In case of touch devices, when the side bar menu is open and lets suppose user has scrolled down to the very bottom of it and now wants to close it. User would think clicking anywhere outside on the screen would close it but it doesn't. Instead user has to scroll up to the get to the cross button to close the pop up. It should also close if user touches anywhere else</t>
  </si>
  <si>
    <t>https://www.loom.com/share/56e0738d66ac4d9bbaf5bbbf0f9b9200</t>
  </si>
  <si>
    <t>UAT_HF_051</t>
  </si>
  <si>
    <t>Help Tab --&gt; Hover over the tab --&gt; pop up modal --&gt; Bullet point " Address Change"</t>
  </si>
  <si>
    <t>The bullet point needs to be "Address Change KYC" as per the header &amp; footer content file</t>
  </si>
  <si>
    <t>https://www.loom.com/i/5ca346dc8a024507859ffd07a62a91c0</t>
  </si>
  <si>
    <t>24/02/2026 - The issue is resolved on pvt - https://loom.com/i/57de699feee64cffa58d9b6d74c1e4b4</t>
  </si>
  <si>
    <t>UAT_HF_052</t>
  </si>
  <si>
    <t>Touch Devices --&gt; Try to find the login to account options and CTA related to it.</t>
  </si>
  <si>
    <t>"Login to Account" CTA,  "Forgot/UserID Password" as well as "New User? Register Now" hyperlinks &amp; quick links are missing in case of tablet's &amp; mobile phones. In case of mobile phones, the login button itself doesn't appear.</t>
  </si>
  <si>
    <t>https://www.loom.com/i/877fc2038f9f4d37888649b94f757eaf</t>
  </si>
  <si>
    <t>25/02/2025 - As discussed on call with Neha Laddha ma'am, these CTAs are already present in the login page where user gets redirected.</t>
  </si>
  <si>
    <t>02/03/2026 - As discussed with Namita ma'am on call, this is not an issue and is expected. Therefore, closing this.
24/02/2026 - The issue is not yet resolved</t>
  </si>
  <si>
    <t>UAT_HF_053</t>
  </si>
  <si>
    <t>Login</t>
  </si>
  <si>
    <t>Login Tab --&gt; Hover over the tab --&gt; pop up modal --&gt; Quick Links</t>
  </si>
  <si>
    <t>Hyperlink "Card Payments" needs to be "Pay your card dues" as per the header &amp; footer content file.</t>
  </si>
  <si>
    <t>https://www.loom.com/i/afb9cbba9df24c08825f1746129f2ccd</t>
  </si>
  <si>
    <t>24/02/2026 - The issue is resolved on pvt - https://loom.com/i/e62d038caa7e4ee1aa8e25dd9cfce474</t>
  </si>
  <si>
    <t>UAT_HF_054</t>
  </si>
  <si>
    <t>Login Tab --&gt;Forgot User ID / Password &amp; New User? Register Now Hyperlinks</t>
  </si>
  <si>
    <t>The "?" missing after "Forgot User ID / Password" and both the hyperlinks need to be in separate lines.</t>
  </si>
  <si>
    <t>https://www.loom.com/i/4bf691c6ef8d491eaa076bebf6f2a04f</t>
  </si>
  <si>
    <t>05/03/2026 - The issue was already marked as resolved on 3rd March 2026
03/03/2026 - The issue is resolved on sbi-pvt - https://www.loom.com/i/38d367478ef44346b4b08307413a3902
24/02/2026 - The issue is resolved of devsit1 - https://loom.com/i/430d231945cd46f2bcafe72543f42d06</t>
  </si>
  <si>
    <t>UAT_HF_055</t>
  </si>
  <si>
    <t>Accessibility Bar --&gt; "Skip to main content" button</t>
  </si>
  <si>
    <t xml:space="preserve"> button label is "--Skip to main content". It has extra hyphen "-"</t>
  </si>
  <si>
    <t>https://www.loom.com/i/88c39dcfebbc43d7bdc5a9677f35eedd</t>
  </si>
  <si>
    <t>05/03/2026 - The issue was already marked as resolved on 3rd March 2026
03/03/2026 - The issue is resolved on sbi-pvt - https://www.loom.com/i/47c7b62eb1eb457fa6b16e72e0b9d363
24/02/2026 - The issue is resolved on devsit1 - https://loom.com/i/d613e6db6ba44b1492bbd478255840aa</t>
  </si>
  <si>
    <t>UAT_HF_056</t>
  </si>
  <si>
    <t>Header Secondary Menu Wrap --&gt; Benefits Tab (Hover over it) --&gt; Bills Pay &amp; Recharge Tab</t>
  </si>
  <si>
    <t>The Bills Pay &amp; Recharge Tab icon doesn't match. Rs. symbol missing in the icon that is used.</t>
  </si>
  <si>
    <t>https://www.loom.com/i/f240b1d1842745bd947bd9a42b3cd978</t>
  </si>
  <si>
    <t>23/02/2026 - Need new icon</t>
  </si>
  <si>
    <t>24/02/2026 - The new icon has been provided as confirmed by Arun sir</t>
  </si>
  <si>
    <t>UAT_HF_057</t>
  </si>
  <si>
    <t>Footer --&gt; Important Links --&gt; Card Holder Terms &amp; Conditions</t>
  </si>
  <si>
    <t>"Card Holder Terms &amp; Conditions" hyperlink needs to be "Cardholder Agreement"</t>
  </si>
  <si>
    <t>https://www.loom.com/i/402c8e17377c4727918438aa3cc3e6da</t>
  </si>
  <si>
    <t>24/02/2026 - The issue is resolved on pvt - https://loom.com/i/8c503261bb5342f091ee49d03ef0016f</t>
  </si>
  <si>
    <t>UAT_HF_058</t>
  </si>
  <si>
    <t>Header Secondary Menu Wrap --&gt; EMI &amp; More &amp; Benefits Tab (Hover over it) --&gt; Quick Links --&gt; Track/Retrive Application &amp; Digitized Membership Kits Hyperlinks</t>
  </si>
  <si>
    <t>Track/Retrive Application &amp; Digitized Membership Kits hyperlink labels need to be changed to be - "Track/Retrieve My Application" &amp; "Digital Memership Kits"</t>
  </si>
  <si>
    <t>https://www.loom.com/i/124161e8f6a445fdbefc19dcbd5f8903</t>
  </si>
  <si>
    <t>24/02/2026 - The issue is resolved on pvt - https://loom.com/i/05cc03513e37469090769f8a1832edfa</t>
  </si>
  <si>
    <t>UAT_HF_059</t>
  </si>
  <si>
    <t xml:space="preserve">Header Secondary Menu Wrap --&gt; Credit Cards Tabs --&gt; Track/Retrive My Application </t>
  </si>
  <si>
    <t>Even as plenty of space avaible for the hyperlink "Track/Retrive My Application " to be in single line, it still takes 2 lines.</t>
  </si>
  <si>
    <t>https://www.loom.com/i/cefab591e0e74a93945127286bd2eb01</t>
  </si>
  <si>
    <t>23/02/2026 - As we discussed in the eve call, there is some space allocated to the redirection icon</t>
  </si>
  <si>
    <t>05/03/2026 - The issue was already marked as resolved on 24th Feb 2026
24/02/2026 - As discussed and shown on call by Neha Jain ma'am, we need to keep some space for the arrow icon that appears when user hovers on the hyperlink therefore the last word appears in the next line. This is not a bug therefore closing this issue.</t>
  </si>
  <si>
    <t>UAT_HF_060</t>
  </si>
  <si>
    <t>Home &amp; Product Details Page</t>
  </si>
  <si>
    <t>Side Bar Menu --&gt; All Accordions --&gt; Expand any of the accordion --&gt; Click on any other accordion --&gt; Notice that it collapses the already expanded accordion but doesn't open the one that was clicked.</t>
  </si>
  <si>
    <t>Home Page &amp; Product Details Page, on both pvt &amp; devsit1 URLs, while an accordion is expanded and another one is clicked, it collapses the currently open accordion but doesn't expand the new one that was clicked.</t>
  </si>
  <si>
    <t>https://www.loom.com/share/d4bdc6ca99b747328426dafbaf71026c</t>
  </si>
  <si>
    <t>05/03/2026 - The issue was already marked as resolved on 3rd March 2026
03/03/2026 - The issue is resolved on sbi-pvt
24/02/2026 - The issue is resolved on devsit1 - https://www.loom.com/share/528ca1ef80a84309b2ec6e09240fc549</t>
  </si>
  <si>
    <t>UAT_HF_061</t>
  </si>
  <si>
    <t>Header Secondary Menu Wrap --&gt; Deals &amp; Offers Tabs --&gt; Offers Terms &amp; Conditions</t>
  </si>
  <si>
    <t>Even as plenty of space avaible for the hyperlink "Offers Terms &amp; Conditions" to be in single line, it still takes 2 lines.</t>
  </si>
  <si>
    <t>https://www.loom.com/i/cff38c6cde1f490eb6ea2578ee215a1b</t>
  </si>
  <si>
    <t>05/03/2026 - The issue was already marked as resolved on 24th March 2026
24/02/2026 - As discussed and shown on call by Neha Jain ma'am, we need to keep some space for the arrow icon that appears when user hovers on the hyperlink therefore the last word appears in the next line. This is not a bug therefore closing this issue.</t>
  </si>
  <si>
    <t>UAT_HF_062</t>
  </si>
  <si>
    <t>ILA ChatBot</t>
  </si>
  <si>
    <t>Open Side Bar Menu in touch devices (or any other modal that appears on top of the page) --&gt; Check if the ILA chatbot overlaps above it</t>
  </si>
  <si>
    <t>In touch devices, if the side bar menu is opened, the ILA Chatbot pop up overlaps on top of it. The same is the case for Filters or compare cards pop up in catalogue page or Search Bar in the Header.</t>
  </si>
  <si>
    <t>https://loom.com/i/30de800ab12041888506e1501cfb1878</t>
  </si>
  <si>
    <t>UAT_HF_063</t>
  </si>
  <si>
    <t>QR Code</t>
  </si>
  <si>
    <t>Header --&gt; Click on the "Download our App" button --&gt; Check the QR code that appears</t>
  </si>
  <si>
    <t>The QR code appearing after clicking on the download our app button needs to be updated. Current QR code has the link - "https://rebrand.ly/sbicapp" whereas, new QR code has - "https://app.sbicard.com/newwebsitenudge". Check the actual vs expected screenshots</t>
  </si>
  <si>
    <t>https://www.loom.com/i/b159601dc02e4bc59f7d5f72deb8108a</t>
  </si>
  <si>
    <t>https://loom.com/i/78724836de00473d91d1f5c46ecdb7f5</t>
  </si>
  <si>
    <t>13/03/2026 - The issue is resolved on sbi-pvt - https://loom.com/i/8f835ef425a64b32833194bb16a22b08</t>
  </si>
  <si>
    <t>UAT_HF_064</t>
  </si>
  <si>
    <t xml:space="preserve">Header --&gt; Secondary Menu Wrap --&gt; Benefits </t>
  </si>
  <si>
    <t>Airport Lounge Access tab needs to be added in the benefits pop up modal as a tab</t>
  </si>
  <si>
    <t>UAT_HF_065</t>
  </si>
  <si>
    <t>Footer --&gt; All rights reserved at the bottom left</t>
  </si>
  <si>
    <t>Instead of "© 2025 SBI. All rights reserved" it should be "© 2026 SBI Card. All rights reserved"</t>
  </si>
  <si>
    <t>https://www.loom.com/i/4d47f7e150f04be7997076f702647feb</t>
  </si>
  <si>
    <t>17/03/2026 - As Neha Laddha ma'am later confirmed that we need to test everything based on sbifo-pvt instead of sbi-pvt and it is not yet resolved on sbipvt therefore keeping this issue open - https://loom.com/i/70263c9486714bb694e5ce58ff89337d
17/03/2026 - Neha Jain ma'am on UAT Call shared the content received from Namita ma'am regarding this as - "© 2026. All rights reserved". Up on no objection regarding this raised on call, closing this issue - https://loom.com/i/35b98754094c4c5095dbb8cab3dd1566</t>
  </si>
  <si>
    <t>UAT_HF_066</t>
  </si>
  <si>
    <t>From home page, click to go to catalogue page --&gt; Click on the back button of the browser to reach back to the home page --&gt; Hover over the credit cards tab in the header's secondary menu wrap</t>
  </si>
  <si>
    <t>From home page, if user goes to catalogue page and then clicks on the browser's back button and reaches back to the home page and hovers over the credit cards tab in the secondary header menu, the pop up modal that is supposed to appear when hovering doesn't appear.</t>
  </si>
  <si>
    <t>https://www.loom.com/share/6c00f2c3e2694858a560e58db7ccdb81</t>
  </si>
  <si>
    <t>Found On (Pages)</t>
  </si>
  <si>
    <t>UAT_CR_001</t>
  </si>
  <si>
    <t>Club Vistara SBI Card Prime, IRCTC SBI Platinum Card, OLA Money SBI Card, PhonePe SBI Card Purple, Indigo SBI Card Elite, Indigo SBI Card, PhonePe SBI Card Select Black</t>
  </si>
  <si>
    <t>Key Benefits --&gt; Container Grid --&gt; Images</t>
  </si>
  <si>
    <t>For all the pages mentioned in the found on column, some of the Images in the container do not appear.</t>
  </si>
  <si>
    <t>https://www.loom.com/i/3aea1cead9284fbb9bd70d12096c0094</t>
  </si>
  <si>
    <t>23/01/2026</t>
  </si>
  <si>
    <t>All the images do appear for now for all pages. If issue occurs again, will log a new bug mentioning the specific page where it occurs</t>
  </si>
  <si>
    <t>UAT_CR_002</t>
  </si>
  <si>
    <t>Desktops, iPads/Tablets</t>
  </si>
  <si>
    <t>All pages</t>
  </si>
  <si>
    <t>Desktop/Tablet --&gt; Page Top</t>
  </si>
  <si>
    <t>Header sub navigation wrap appearing on top of header containers.</t>
  </si>
  <si>
    <t>https://www.loom.com/i/89bcf6f456b045d49d85cca533e192c4</t>
  </si>
  <si>
    <t>The issue resolved for all the pages tested till now. If occurs again, will reopen the bug</t>
  </si>
  <si>
    <t>UAT_CR_003</t>
  </si>
  <si>
    <t>Any Device --&gt; Check the Key Benefits section</t>
  </si>
  <si>
    <t>The entire Key Benefits container doesn't load</t>
  </si>
  <si>
    <t>https://www.loom.com/i/fbd047c11cd245b19b23138787e23dd4</t>
  </si>
  <si>
    <t>UAT_CR_004</t>
  </si>
  <si>
    <t>Phonepe SBI Card Select Black, Indigo SBI Card, Indigo SBI Card Elite, PhonePE SBI Card Purple, Krisflyer SBI Card, OLA Money SBI Card, IRCTC SBI Card Premier, IRCTC SBI Platinum Card, Club Vistara SBI Card Prime</t>
  </si>
  <si>
    <t>Explore Rewards --&gt; Both Reward Benefits &amp; Milestone Benefits</t>
  </si>
  <si>
    <t>For all the pages mentioned, images do not appear on both the tabs for the section.</t>
  </si>
  <si>
    <t>https://www.loom.com/i/241bc7cea51d4111b878cdc109659584</t>
  </si>
  <si>
    <t>Images do appear for now for all pages. If disappears again, will log a new bug mentioning the specific page this time.</t>
  </si>
  <si>
    <t>UAT_CR_005</t>
  </si>
  <si>
    <t>PhonePe SBI Card Select Black, Indigo SBI Card, Phonepe SBI Card Purple, Krisflyer SBI Card, Ola Money SBI Card, IRCTC SBI Card Premier, IRCTC SBI Platinum Card, Club Vistara SBI Card Prime</t>
  </si>
  <si>
    <t>Other Features section --&gt; Section Image</t>
  </si>
  <si>
    <t>Other Features section's image missing</t>
  </si>
  <si>
    <t>https://www.loom.com/i/6751bf92fd224b7095c5183860f3f245</t>
  </si>
  <si>
    <t>UAT_CR_006</t>
  </si>
  <si>
    <t>OLA Money SBI Card, Krisflyer SBI Card, SBI Card Miles Elite, Reliance SBI Card, Reliance SBI Card Prime</t>
  </si>
  <si>
    <t>Scroll down below "Other Features" section</t>
  </si>
  <si>
    <t>For all the pages mentioned, the "Product Video" section missing</t>
  </si>
  <si>
    <t>https://loom.com/i/fea470f061dc494da572fed5b68344e5</t>
  </si>
  <si>
    <t>As informed on call, these cards do not have any video therefore video section will not be present. Hence Closing.</t>
  </si>
  <si>
    <t>UAT_CR_007</t>
  </si>
  <si>
    <t>Key Benefits --&gt; Right Most Image</t>
  </si>
  <si>
    <t>The image used is incorrect SBI Card Elite being a lifestyle golden theme card.</t>
  </si>
  <si>
    <t>https://www.loom.com/i/f030d23976d941be9e412ac35b3b6794</t>
  </si>
  <si>
    <t>https://www.loom.com/i/0b9c2b10d15449279bc29bb8ec4137cd</t>
  </si>
  <si>
    <t>UAT_CR_008</t>
  </si>
  <si>
    <t>Explore Rewards --&gt; Section Image</t>
  </si>
  <si>
    <t>The Section image is incorrect SBI Card Elite being a lifestyle golden theme card.</t>
  </si>
  <si>
    <t>https://www.loom.com/i/856c78bc300641e881d684e2cfd23273</t>
  </si>
  <si>
    <t>https://www.loom.com/i/d729703155714891b3713795ee49da2e</t>
  </si>
  <si>
    <t>UAT_CR_009</t>
  </si>
  <si>
    <t>Network Privileges --&gt; Section Image</t>
  </si>
  <si>
    <t>https://www.loom.com/i/a71eb70f74ae44748f5143cf6eb3f477</t>
  </si>
  <si>
    <t>https://www.loom.com/i/8e26b32ca7774251922bf5c1baf01466</t>
  </si>
  <si>
    <t>UAT_CR_010</t>
  </si>
  <si>
    <t>Other Features --&gt; Section Image</t>
  </si>
  <si>
    <t>https://www.loom.com/i/e779dab1820143d28438af4ca04d0fb4</t>
  </si>
  <si>
    <t>https://www.loom.com/i/0aa02ccf79ac4b419fe2adfefbf9596f</t>
  </si>
  <si>
    <t>UAT_CR_011</t>
  </si>
  <si>
    <t>Side Bar Menu --&gt; Background Image</t>
  </si>
  <si>
    <t>Side Bar Menu's Background image is incorrect.</t>
  </si>
  <si>
    <t>https://www.loom.com/i/f69ca5a0b1c840ce8d22ec978928ed51</t>
  </si>
  <si>
    <t>https://www.loom.com/i/147b28ffe90b435b87bb299177225405</t>
  </si>
  <si>
    <t>Need-Discussion</t>
  </si>
  <si>
    <t>29/01/2026 - A solution to this is yet to be decided as card specific side bar banner is a requirement.
27/01/2026 - We are not using any bg imagein the sidebar. We only select a theme and based on that, the colors are displayed on the page</t>
  </si>
  <si>
    <t>06/02/2026 - Have been asked to verify this issue on PVT now and the card specific banner image is uploaded there. If any specifc issue found in the image, will log a new bug as advised by Neha ma'am
23/01/2026 - Issue still persists - https://loom.com/i/9cb49cdc9ebd4201a550ef2325e1a3c5</t>
  </si>
  <si>
    <t>UAT_CR_012</t>
  </si>
  <si>
    <t>DOCTOR'S SBI CARD &amp; Doctors with IMA SBI Card</t>
  </si>
  <si>
    <t>https://www.loom.com/i/8d585bd763694e24bf8d6d5adf23fb0d</t>
  </si>
  <si>
    <t>https://loom.com/i/f72391bdcf20474aba970845ac0967ec</t>
  </si>
  <si>
    <t>Marking all combined pages bugs as resolved if the mentioned issue occurs in any of the pages will log a new page specific bug.</t>
  </si>
  <si>
    <t>UAT_CR_013</t>
  </si>
  <si>
    <t>https://www.loom.com/i/51c4be234fba4b878282541aadc85eaa</t>
  </si>
  <si>
    <t>https://loom.com/i/c98bb5b1ecdd4639854862421a9cf4ad</t>
  </si>
  <si>
    <t>Duplicate</t>
  </si>
  <si>
    <t>Duplicate of 12</t>
  </si>
  <si>
    <t>06/02/2026 - Have been asked to verify this issue on PVT now and the card specific banner image is uploaded there. If any specifc issue found in the image, will log a new bug as advised by Neha ma'am
23/01/2026 - The issue still persists - https://loom.com/i/ad2156d963bb42b499b6c1191c49000b</t>
  </si>
  <si>
    <t>UAT_CR_014</t>
  </si>
  <si>
    <t>https://www.loom.com/i/ec147138115248e0acf54c5a31746744</t>
  </si>
  <si>
    <t>https://loom.com/i/22eff35d30b8438dace8b835ea4e2d97</t>
  </si>
  <si>
    <t>06/02/2026 - Have been asked to verify this issue on PVT now and the card specific banner image is uploaded there. If any specifc issue found in the image, will log a new bug as advised by Neha ma'am
23/01/2026 - Issue still persists - https://loom.com/i/8c64824ec32247e0a6e00021478f8686</t>
  </si>
  <si>
    <t>UAT_CR_015</t>
  </si>
  <si>
    <t>https://www.loom.com/i/a5c3f477acee43bb96c8ceaca58438b2</t>
  </si>
  <si>
    <t>https://www.loom.com/i/288f54ff7ee24f9bbbb6eae190554af3</t>
  </si>
  <si>
    <t>06/02/2026 - Have been asked to verify this issue on PVT now and the card specific banner image is uploaded there. If any specifc issue found in the image, will log a new bug as advised by Neha ma'am
23/01/2026 - The issue still persists - https://loom.com/i/ad8036ed5d654efb90a166c2ac0f65f4</t>
  </si>
  <si>
    <t>UAT_CR_016</t>
  </si>
  <si>
    <t>All Browsres</t>
  </si>
  <si>
    <t xml:space="preserve">Apollo SBI Card Select, SBI Card Pulse, Tata Neu Infinity SBI Card, Krisflyer SBI Card Apex, Krisflyer SBI Card, </t>
  </si>
  <si>
    <t>Key benefits --&gt; Benefit containers --&gt; Text content</t>
  </si>
  <si>
    <t>The text content gets truncated with 3 dots at the end.</t>
  </si>
  <si>
    <t>https://www.loom.com/i/4c5e050eae824c2ca11016ec3b5c3746</t>
  </si>
  <si>
    <t>UAT_CR_017</t>
  </si>
  <si>
    <t>Key Benefits  --&gt; Notice the container getting covered by a single image.</t>
  </si>
  <si>
    <t xml:space="preserve"> Image supposed to be at the right most of the grid covers the entire grid container instead.</t>
  </si>
  <si>
    <t>https://www.loom.com/i/6db2c02a62d54f2198f53875fbcd1c41</t>
  </si>
  <si>
    <t>UAT_CR_018</t>
  </si>
  <si>
    <t>Side Bar Menu --&gt; More button --&gt; Text Sentence</t>
  </si>
  <si>
    <t>The "Shopping now comes with extra benefits" sentence at the end is not required as it has strike through in the content document. Check the content document and screenshot for better understanding.</t>
  </si>
  <si>
    <t>https://www.loom.com/i/0283f9aef00b4200b81ceb0b3c57bff2</t>
  </si>
  <si>
    <t>UAT_CR_019</t>
  </si>
  <si>
    <t>Exclusive Privileges --&gt; Reward Benefits --&gt; 3rd Bullet Point</t>
  </si>
  <si>
    <t>The 1.5% needs to be removed and only 1% needs to be kept as the 1.5% in the content document has a strike through</t>
  </si>
  <si>
    <t>https://www.loom.com/i/3d7dd662c6b7452c9db5b7e6f730201a</t>
  </si>
  <si>
    <t>09/02/2026 - As per updated content, bug is no longer valid, therefore closing.
23/01/2026 - As per Namita ma'am, content is constantly getting changed therefore need to keep all the content related issues aside. Hence kept on hold.</t>
  </si>
  <si>
    <t>UAT_CR_020</t>
  </si>
  <si>
    <t>Exclusive Privileges --&gt; Spend Based Reversal icon</t>
  </si>
  <si>
    <t>Spend Based Reversal icon is incorrect</t>
  </si>
  <si>
    <t>https://www.loom.com/i/606a9e9ee8294644b56c06cd0a4730a8</t>
  </si>
  <si>
    <t>Prerna</t>
  </si>
  <si>
    <t>17/02/2026 - Icon is correct as per the icon library</t>
  </si>
  <si>
    <t>17/02/2026 - As discussed on UAT Discussion Call, Neha Laddha &amp; Namita Gupta ma'am confirmed on call that the icon used is correct as per the icon library and this would be used everywhere. The icon shown in the latest content file for products page is incorrect therefore closing this issue.
09/02/2026 - The bug is valid as per the final content. Therefore opening it again.
23/02/2026 - As per Namita ma'am, content is constantly getting changed therefore need to keep all the content related issues aside which includes icons as well according to Arun sir. Hence kept on hold.</t>
  </si>
  <si>
    <t>UAT_CR_021</t>
  </si>
  <si>
    <t>Exclusive Privileges --&gt; Reward Benefits</t>
  </si>
  <si>
    <t>Reward Benefits icon doesn't match with the icon shown in the content file</t>
  </si>
  <si>
    <t>https://www.loom.com/i/9db5cf9d907a4fe78f63ca3f92cac762</t>
  </si>
  <si>
    <t>UAT_CR_022</t>
  </si>
  <si>
    <t>Mobile devices --&gt; Exclusive Privileges</t>
  </si>
  <si>
    <t>Exclusive privileges like Fuel Surchange Waiver and Spend Based Reversal are missing in case of mobile view. There should have been another slide that would contain these privileges details.</t>
  </si>
  <si>
    <t>https://www.loom.com/i/4f24ea6162044b75b015f279eef77af2</t>
  </si>
  <si>
    <t>UAT_CR_023</t>
  </si>
  <si>
    <t>Fee &amp; Charges --&gt; Annual Fee &amp; Renewal Fee</t>
  </si>
  <si>
    <t>Plus sign (+) is present twice and "+ taxes" is missing after the Renewal Fee Rs. 499</t>
  </si>
  <si>
    <t>https://www.loom.com/i/e75720eb3f2b4acfa9be6bc37aef7c37</t>
  </si>
  <si>
    <t>UAT_CR_024</t>
  </si>
  <si>
    <t>The image used is incorrect Tata Neu Plus SBI Card being a lifestyle but non golden theme card.</t>
  </si>
  <si>
    <t>https://www.loom.com/i/52255049238b463eac04cca6bbdd7e8d</t>
  </si>
  <si>
    <t>UAT_CR_025</t>
  </si>
  <si>
    <t>Meta (Page Header)</t>
  </si>
  <si>
    <t>Tata New Plus SBI Card --&gt; Check the website header on the browser</t>
  </si>
  <si>
    <t>The website header doesn't mention the card name and instead says "card-detail"</t>
  </si>
  <si>
    <t>https://www.loom.com/i/2a1a51749b6f4ddc996bc4bc108ef3ce</t>
  </si>
  <si>
    <t>06/02/2026 - Resolved on PVT
23/01/2026 - As per Neha ma'am, team has not received the meta details therefore it will not be updated on the UAT for now, needs to be kept on hold till then</t>
  </si>
  <si>
    <t>UAT_CR_026</t>
  </si>
  <si>
    <t>https://www.loom.com/i/e6b49662f18446c4987c1aa6bfd62a73</t>
  </si>
  <si>
    <t>06/02/2026 - Have been asked to verify this issue on PVT now and the card specific banner image is uploaded there. If any specifc issue found in the image, will log a new bug as advised by Neha ma'am
23/01/2026 - The issue still persists - https://loom.com/i/6fe51536e0364ac982ddb1214a0039c5</t>
  </si>
  <si>
    <t>UAT_CR_027</t>
  </si>
  <si>
    <t>All Browser</t>
  </si>
  <si>
    <t>The image used is incorrect Tata Neu Infinity SBI Card being a lifestyle but non golden theme card.</t>
  </si>
  <si>
    <t>https://www.loom.com/i/f7dd0f79690347cdb9e7360b5c55dba1</t>
  </si>
  <si>
    <t>UAT_CR_028</t>
  </si>
  <si>
    <t>The Benefit's last sentence gets truncated with 3 dots at the end.</t>
  </si>
  <si>
    <t>https://www.loom.com/i/5fd0cea97ffb4bb6b018cd6b6803df41</t>
  </si>
  <si>
    <t>UAT_CR_029</t>
  </si>
  <si>
    <t>Key Benefits --&gt; Reward Benefits  --&gt; Icon</t>
  </si>
  <si>
    <t>The icon used for the 2nd benefit (Reward Benefits) doesn't match with the icon in the content file.</t>
  </si>
  <si>
    <t>https://www.loom.com/i/a3cc7605d6ef4799825b7f416af803df</t>
  </si>
  <si>
    <t>UAT_CR_030</t>
  </si>
  <si>
    <t>Exclusive Privilegest --&gt; Reward Benefits --&gt; 1st 2nd &amp; 3rd Bullet points --&gt; text like "the" &amp; "Rse."</t>
  </si>
  <si>
    <t>The words/letter that are strike through (deleted) in the content file still present in the bullet points. Check screenshot for better understanding.</t>
  </si>
  <si>
    <t>https://www.loom.com/i/2076ac745e664027aa39316be4b31dcf</t>
  </si>
  <si>
    <t>09/02/2026 - The strike through word is "the" which even if included, doesn't change the meaning of the sentence and as discussed with Vijaita ma'am, one or two words if extra or do not match but the meaning of the sentence remains very much same then it can be ignored. Also, the Rse. has been corrected to Re. therefore closing this issue.
23/01/2026 - As per Namita ma'am, content is constantly getting changed therefore need to keep all the content related issues aside. Hence kept on hold.</t>
  </si>
  <si>
    <t>UAT_CR_031</t>
  </si>
  <si>
    <t>Exclusive privileges like International Lounge Benefits, Fuel Surcharge Waiver, Spend Based Reversal, Lowest Forex Markup. There should have been another slide that would contain these privileges details.</t>
  </si>
  <si>
    <t>https://www.loom.com/i/9c18410fb9cb4c1797772d0aa04e967e</t>
  </si>
  <si>
    <t>UAT_CR_032</t>
  </si>
  <si>
    <t>https://www.loom.com/i/43543f1d0c3246a3be901423c2a2aa78</t>
  </si>
  <si>
    <t>Fixed on pvt</t>
  </si>
  <si>
    <t>05/03/2026 - The issue is resolved on sbi-pvt - https://loom.com/i/3dd82c3a58ad4187874790c5bc5ec3ae
27/02/2026 - The icon doesn't match when verified with the icon library. Screenshot for the same has been updated in the screenshot section. This same icon is to be used for "Spend Based Reversal" Privilege all across the pages.
23/01/2026 - As per Namita ma'am, content is constantly getting changed therefore need to keep all the content related issues aside which includes icons as well according to Arun sir. Hence kept on hold.</t>
  </si>
  <si>
    <t>UAT_CR_033</t>
  </si>
  <si>
    <t>Exclusive Privileges --&gt; Internationa Lounge Benefits --&gt; Bullet Points</t>
  </si>
  <si>
    <t>The first bullet point doesn't match with the one written in the content file. Bullet points start to get clipped starting point 3 in desktops &amp; ipads/tablets.</t>
  </si>
  <si>
    <t>https://www.loom.com/i/94ed24df991d4497b14fc43e33bbd6f4</t>
  </si>
  <si>
    <t>UAT_CR_034</t>
  </si>
  <si>
    <t>Plus sign (+) is present twice and "+ taxes" is missing after the Renewal Fee Rs. 1499</t>
  </si>
  <si>
    <t>https://www.loom.com/i/f21763bc96f249eabae5beebbdcae735</t>
  </si>
  <si>
    <t>UAT_CR_035</t>
  </si>
  <si>
    <t>Tata Neu Infinity SBI Card--&gt; Check the website header on the browser</t>
  </si>
  <si>
    <t>The website header doesn't mention the card name and instead says "irctc-sbi-platinum-card"</t>
  </si>
  <si>
    <t>https://www.loom.com/i/c617398232e64925886d8bb90664d8ed</t>
  </si>
  <si>
    <t>UAT_CR_036</t>
  </si>
  <si>
    <t>SBI Card Pulse--&gt; Check the website header on the browser</t>
  </si>
  <si>
    <t>The website header doesn't mention the card name and instead says "card detail"</t>
  </si>
  <si>
    <t>https://www.loom.com/i/28efaaf5e19e41fabff50cfa786b4093</t>
  </si>
  <si>
    <t>23/01/2026 - As per Neha ma'am, team has not received the meta details therefore it will not be updated on the UAT for now, needs to be kept on hold till then</t>
  </si>
  <si>
    <t>UAT_CR_037</t>
  </si>
  <si>
    <t>Check the theme of SBI Card Pulse</t>
  </si>
  <si>
    <t>The Entire Page (section banners, icons etc) is not following the SBI Card Pulse's Dark Theme.</t>
  </si>
  <si>
    <t>https://www.loom.com/i/0182ac624ab64dda80dfeac298bb7d34</t>
  </si>
  <si>
    <t>https://www.loom.com/i/f27553d6edd848599526b405386a21f9</t>
  </si>
  <si>
    <t>UAT_CR_038</t>
  </si>
  <si>
    <t>https://www.loom.com/i/51add941ab554d9bbacdef1dcbddb9e2</t>
  </si>
  <si>
    <t>UAT_CR_039</t>
  </si>
  <si>
    <t>The image used is incorrect SBI Card Pulse being a lifestyle but non golden theme card.</t>
  </si>
  <si>
    <t>https://www.loom.com/i/22521583dcf646c8b30d2b7becd606fe</t>
  </si>
  <si>
    <t>UAT_CR_040</t>
  </si>
  <si>
    <t>https://www.loom.com/i/a0b18d960f724356a74c3d7cc4facc54</t>
  </si>
  <si>
    <t>UAT_CR_041</t>
  </si>
  <si>
    <t>Side Bar Menu --&gt; Best For --&gt; Comprehensive Insurance Cover</t>
  </si>
  <si>
    <t>The word "Comprehensive" being more than 9 alphabets gets truncated with 3 dots at the end.</t>
  </si>
  <si>
    <t>https://www.loom.com/i/f9acfe851efc414bbdea209e87a1b3b9</t>
  </si>
  <si>
    <t xml:space="preserve">Same as HTML </t>
  </si>
  <si>
    <t>28/01/2026 - As per the discussion on call with Neha laddha ma'am &amp; Namita ma'am, content needs to be reduced in order to avoid such issues therefore they need to be assigned to Arun.
23/01/2025 - The issue still persists</t>
  </si>
  <si>
    <t>UAT_CR_042</t>
  </si>
  <si>
    <t>Key Benefits --&gt; 2nd Benefit --&gt; Get Fraud Liability</t>
  </si>
  <si>
    <t>The word "Get" is strike through in the content file yet it is included in the sentence.</t>
  </si>
  <si>
    <t>https://www.loom.com/i/114e092a8cd84f4c96247fbd5d28bc56</t>
  </si>
  <si>
    <t>UAT_CR_043</t>
  </si>
  <si>
    <t xml:space="preserve">Exclusive Benefits --&gt; Each Card --&gt;  Click Here links </t>
  </si>
  <si>
    <t>Instead of "Click Here" being the hyperlink, the link appears separately which in turn results in content overflowing out of the cards.</t>
  </si>
  <si>
    <t>https://www.loom.com/i/a3645c10ac3c485bb25fbd438fdf439d</t>
  </si>
  <si>
    <t>UAT_CR_044</t>
  </si>
  <si>
    <t>Exclusive Benefits --&gt; Card Sequence</t>
  </si>
  <si>
    <t>The "Welcome Gifts" card should be first in sequence as per the content file.</t>
  </si>
  <si>
    <t>https://www.loom.com/i/1297ba3b0aba4d9a8c6ee22bc1832e8f</t>
  </si>
  <si>
    <t>UAT_CR_045</t>
  </si>
  <si>
    <t>Exclusive Benefits --&gt; Exclusive Rewards Card --&gt; 3rd Bullet point</t>
  </si>
  <si>
    <t>Space missing between "Points", "=" &amp; "Re."</t>
  </si>
  <si>
    <t>https://www.loom.com/i/0bf2d764dac9413b859809909c6d329d</t>
  </si>
  <si>
    <t>UAT_CR_046</t>
  </si>
  <si>
    <t>Exclusive privileges like Milestone Benefits, Comprehensive Insurance Cover, Lounge Benefits. There should have been another slide that would contain these privileges details.</t>
  </si>
  <si>
    <t>https://www.loom.com/i/2129ce6bb8f5481e9f6fe272a9a9668e</t>
  </si>
  <si>
    <t>UAT_CR_047</t>
  </si>
  <si>
    <t xml:space="preserve">Explore Rewards --&gt; Milestone Benefits </t>
  </si>
  <si>
    <t>https://www.loom.com/i/a862282b3a5c47e6be45a0c9eb77457d</t>
  </si>
  <si>
    <t>UAT_CR_048</t>
  </si>
  <si>
    <t>Fee &amp; Charges Section --&gt; Annual Fee &amp; Renewal Fee</t>
  </si>
  <si>
    <t>https://www.loom.com/i/f438b325fd5a43058e670e6c5a93baf1</t>
  </si>
  <si>
    <t>09/02/2026 - The issue is resolved now. Hence closing the issue.
23/01/206 - As per Namita ma'am, content is constantly getting changed therefore need to keep all the content related issues aside. Hence kept on hold.</t>
  </si>
  <si>
    <t>UAT_CR_049</t>
  </si>
  <si>
    <t>Fee &amp; Charges Section --&gt; Fee Tab --&gt; Fees &amp; Charges Heading --&gt; Terms &amp; Conditions Link</t>
  </si>
  <si>
    <t xml:space="preserve">Instead of the link separately being present, the words "Terms &amp; Conditions" should act as hyperlink. </t>
  </si>
  <si>
    <t>https://www.loom.com/i/78a969c02ba5405e994aafde832d2ad8</t>
  </si>
  <si>
    <t>UAT_CR_050</t>
  </si>
  <si>
    <t>Other Features --&gt; FlexyPay --&gt; 3rd Bullet Point</t>
  </si>
  <si>
    <t xml:space="preserve">Instead of the link separately being present, the words "Click here" should act as hyperlink. </t>
  </si>
  <si>
    <t>https://www.loom.com/i/3100379b7845431eb74bc357e88db11c</t>
  </si>
  <si>
    <t>UAT_CR_051</t>
  </si>
  <si>
    <t>SBI Card Miles Elite --&gt; Check the website header on the browser</t>
  </si>
  <si>
    <t>https://www.loom.com/i/e21f13e7c3aa47ce90b06799115059e4</t>
  </si>
  <si>
    <t>06/02/2026 - This issue is fixed on PVT.
23/01/2026 - As per Namita ma'am, the team hasn't recieved the meta details therefore this is not yet updated and needs to be kept on Hold</t>
  </si>
  <si>
    <t>UAT_CR_052</t>
  </si>
  <si>
    <t>Side Bar Menu --&gt; Best For --&gt; Milestone Benefits</t>
  </si>
  <si>
    <t>The word "Milestone" being  9 alphabets gets truncated with 3 dots at the end in case user increase the font size.</t>
  </si>
  <si>
    <t>https://www.loom.com/i/c297013ccccf49529bf070a408552cef</t>
  </si>
  <si>
    <t>UAT_CR_053</t>
  </si>
  <si>
    <t>https://www.loom.com/i/6442a03ded404301adb22bd6053a0496</t>
  </si>
  <si>
    <t>Large/Medium</t>
  </si>
  <si>
    <t>UAT_CR_054</t>
  </si>
  <si>
    <t>Exclusive Benefits --&gt; Reward benefits --&gt; 4th Bullet Point</t>
  </si>
  <si>
    <t>Space missing between "Click here" and "to view"</t>
  </si>
  <si>
    <t>https://www.loom.com/i/43795b2b055b41618ac4ec991a2690cb</t>
  </si>
  <si>
    <t>27/02/2026</t>
  </si>
  <si>
    <t>27/02/2026 - The issue is resolved on sbi-pvt
23/01/2026 - As per Namita ma'am, content is getting changed constantly, need to keep the issues on hold until content gets finalized</t>
  </si>
  <si>
    <t>UAT_CR_055</t>
  </si>
  <si>
    <t>Exclusive Privileges --&gt; Mobile View --&gt; Section Image</t>
  </si>
  <si>
    <t>https://www.loom.com/i/28422c1973a6489c829baf86471554c6</t>
  </si>
  <si>
    <t>UAT_CR_056</t>
  </si>
  <si>
    <t>Elite Card Fee &amp; Charges --&gt; Fee &amp; charges &amp; FAQ section icon images</t>
  </si>
  <si>
    <t>Both the tab images get streched. Check the actual vs expected result</t>
  </si>
  <si>
    <t>https://www.loom.com/i/9d304da990314f08b0bbabe4d80b85fc</t>
  </si>
  <si>
    <t>https://loom.com/i/dc56f7bc5efc4c9c9882902debbf1e2c</t>
  </si>
  <si>
    <t>UAT_CR_057</t>
  </si>
  <si>
    <t>Exclusive Privileges --&gt; Mobile View --&gt; Slider dots</t>
  </si>
  <si>
    <t>The border before and after slider dots is not required and the padding needs to be reduced from the bottom at least to match with the design.</t>
  </si>
  <si>
    <t>https://www.loom.com/i/fd6122bbe9c7477295f2e3ffbd37e47e</t>
  </si>
  <si>
    <t>https://www.loom.com/i/22ccbce210a941bd99dc9187b5a5c4bc</t>
  </si>
  <si>
    <t>18/02/2026 - The issue is resoled on devsit1 - 
https://loom.com/i/0ecf682e051c46cba49cf2f3a63a6ebc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https://loom.com/i/b74ae9e966b6485b824d3b37fc35c58b
23/01/2026 - The border at the bottom still appears. https://www.loom.com/i/20c50c8e05504d86ae1c1ffefaae4346</t>
  </si>
  <si>
    <t>UAT_CR_058</t>
  </si>
  <si>
    <t>Explore Rewards --&gt; Milestone Benefits --&gt; Reward benefit Bar &amp; Reward Points text on the image</t>
  </si>
  <si>
    <t>The Reward Benefits Bar &amp; Reward Points Text animation on the image is missing. Check the actual vs expected result.</t>
  </si>
  <si>
    <t>https://www.loom.com/i/c96e89c7f8b64143b8335f65bc484e78</t>
  </si>
  <si>
    <t>https://www.loom.com/i/c36fbec3c7cb4fa0ab2aa5dd342c1d6f</t>
  </si>
  <si>
    <t>UAT_CR_059</t>
  </si>
  <si>
    <t>Side Bar Menu --&gt; Best For --&gt; Milestone Privileges</t>
  </si>
  <si>
    <t>The word "Milestone" being  9 alphabets gets truncated with 3 dots at the end especially in case user increase the font size.</t>
  </si>
  <si>
    <t>https://www.loom.com/i/ebfac4918b834347833ff07103b44ea2</t>
  </si>
  <si>
    <t>In Progress</t>
  </si>
  <si>
    <t>To be worked on by Arun sir</t>
  </si>
  <si>
    <t>28/01/2026 - The issue still occurs in case of iPads / Tablets or mid size desktops (width around 1536px)
23/01/2026 - The issue still persists - https://loom.com/i/f88cfa7d876940a2b02ba55b69462332</t>
  </si>
  <si>
    <t>UAT_CR_060</t>
  </si>
  <si>
    <t>Exclusive Privileges --&gt; Exclusive Concierge Service --&gt; 2nd Bullet point</t>
  </si>
  <si>
    <t>Margin gap is not followed and the sentence touches the container border.</t>
  </si>
  <si>
    <t>https://www.loom.com/i/29a3d6758b8d4c40b87a3471f8c429d4</t>
  </si>
  <si>
    <t>25/02/2026 - The issue remains the same as mentioned in remark on 23rd Feb. But as the SBI Team is no longer taking any further HTML/CSS bug fixes this remains in HTML team bucket with its priority changed to P3 as requested by Arun sir.
23/02/2026 - Now the padding from the left side is more than required. This is because of both the child and the parent container having padding - 
https://www.loom.com/i/ab4cbd4ac2af412fb4382224e829167a
Fix for this has been provided
13/02/2026 - The issue is resolved on HTML v50 - 1
09/02/2026 - As the issue also occurs in the HTML/CSS benchmark therefore changing the tagging to HTML/CSS
05/02/2026 - The issue is not fixed and still happen. The bullet point is just shifted to the back of the card and there it still touches the card border when user increases the font to large. Margin gap/padding cannot be found - https://www.loom.com/i/8c14fb4a250244dda4b2c065d3c82d38
23/01/2026 - The issue still persists - https://loom.com/i/45fda04ef44747adab8618ffd061b6bd</t>
  </si>
  <si>
    <t>UAT_CR_061</t>
  </si>
  <si>
    <t>Pop up Modal Theme</t>
  </si>
  <si>
    <t>Exclusive Privileges --&gt;Add Button --&gt; More button --&gt; Pop up Modal</t>
  </si>
  <si>
    <t>The pop up modal that appears does not follow the dark theme.</t>
  </si>
  <si>
    <t>https://www.loom.com/i/9a48147ba88e45c882730286eac0387a</t>
  </si>
  <si>
    <t>18/02/2026 - The issue is resolved on devsit1- https://loom.com/i/5dc774ba3c164085adafddee9f90c354
13/02/2026 - As of today, this is fixed on Devsit1 as checked on call. Need to be moved to PVT as well
13/02/2026 - The issue is resolved on HTML v50 - 1</t>
  </si>
  <si>
    <t>UAT_CR_062</t>
  </si>
  <si>
    <t>Side Bar Menu --&gt; Tag line - "An Exclusive and Exquisitely Crafted Card for those Who Live Beyond Ordinary"</t>
  </si>
  <si>
    <t>Each word needs to be capitalized as it is in the content file (except for filler words)</t>
  </si>
  <si>
    <t>https://www.loom.com/i/16221f518dd44e2fa13f99f4ba08828c</t>
  </si>
  <si>
    <t>23/01/2026 - The issue still persists - https://loom.com/i/995b5f5543174d69a499d9b2ae7cf79a</t>
  </si>
  <si>
    <t>UAT_CR_063</t>
  </si>
  <si>
    <t>Exclusive Privileges --&gt; Milestone Privileges --&gt; 1st Bullet Point</t>
  </si>
  <si>
    <t>"Earn" needs to be removed. "/" slash after Rs. 12,500 needs to be removed.</t>
  </si>
  <si>
    <t>https://www.loom.com/i/1496f38524954fe4b77db21e44207c7b</t>
  </si>
  <si>
    <t>23/01/2026 - The issue still persists - https://loom.com/i/fc2775ca2d2b4c5f902c967149e0e436</t>
  </si>
  <si>
    <t>UAT_CR_064</t>
  </si>
  <si>
    <t>Exclusive Privileges --&gt;Elite Rewards --&gt; 3rd Bullet point</t>
  </si>
  <si>
    <t>It should be Re. instead of Rs. as it is only 1 Re.</t>
  </si>
  <si>
    <t>https://www.loom.com/i/5b603116c88249f8933693cdd6915560</t>
  </si>
  <si>
    <t>23/02/2026 - Fixed on devsit1
16/02/2026 - Fixed on devsit1 &amp; pvt</t>
  </si>
  <si>
    <t>05/03/2026 - The issue is resolved on sbi-pvt - https://loom.com/i/3dd82c3a58ad4187874790c5bc5ec3ae
24/02/2026 - The issue is still not resolved - https://www.loom.com/i/3253daf1ca9b43ac9251dcaec75d572b
17/02/2026 - The issue is still not resolved - https://www.loom.com/i/3253daf1ca9b43ac9251dcaec75d572b
09/02/2026 - Now the 2nd bullet point has Re. and 3rd bullet point has Rs. We need Re. for 1 Rupees and Rs. for more than 1 ruppee.
23/01/2026 - As per Namita ma'am, content is constantly getting changed therefore need to keep all the content related issues aside. Hence kept on hold.
The issue still persists - https://loom.com/i/3e3d8a17317449a5a8c416509e7b3bdf</t>
  </si>
  <si>
    <t>UAT_CR_065</t>
  </si>
  <si>
    <t>Exclusive Privileges --&gt; International Lounge Benefits --&gt;Flip the card</t>
  </si>
  <si>
    <t>After the card gets flipped, the card title doesn't maintain the margin gap from the left side. Especially in case of large font</t>
  </si>
  <si>
    <t>https://www.loom.com/i/f885c3f2eccc4b3dbca86855aea50914</t>
  </si>
  <si>
    <t>23/02/2026 - Now the padding from the right side is more than required. This is because of both the child and the parent container having padding 
18/02/2026 - The issue is resolved on devsit1 - https://loom.com/i/dccd676396134c3abd5137ca2d7b3587
13/02/2026 - The issue is resolved on HTML v50 - 1</t>
  </si>
  <si>
    <t>UAT_CR_066</t>
  </si>
  <si>
    <t>Exclusive Privileges --&gt; Mobile View --&gt; Milestone Benefits, Elite Rewards, International Lounge Program, ITC Silver Tier Membership</t>
  </si>
  <si>
    <t>When in mobile view, the More button is missing for the mentioned privileges in order for the user to view all the benefit points of each privilage in mobile view as well.</t>
  </si>
  <si>
    <t>https://www.loom.com/i/8639d35fb970411abc3c2c34125dc6f5</t>
  </si>
  <si>
    <t>UAT_CR_067</t>
  </si>
  <si>
    <t>Explore Rewards --&gt; Milestone Privileges --&gt; All 4 Bullet Points</t>
  </si>
  <si>
    <t>4th bullet point doesn't match with the content file. Word "Get" needs to be removed from 2nd &amp; 3rd bullet point. "/" slash needs to be removed after Rs. 12,500</t>
  </si>
  <si>
    <t>https://www.loom.com/i/fb960cbdfc7145dcbbdaa146488fc3a7</t>
  </si>
  <si>
    <t>09/02/2026 - The bug is resolved. No longer occuring
23/01/2026 - As per Namita ma'am, content is constantly getting changed therefore need to keep all the content related issues aside. Hence kept on hold.</t>
  </si>
  <si>
    <t>UAT_CR_068</t>
  </si>
  <si>
    <t>Explore Rewards --&gt; Elite Rewards --&gt; 4th Bullet Point</t>
  </si>
  <si>
    <t>The 4th bullet point is missing "(Extra service tax applicable)"</t>
  </si>
  <si>
    <t>https://www.loom.com/i/09a8d0bfea304019b5eaf326a66d348a</t>
  </si>
  <si>
    <t>UAT_CR_069</t>
  </si>
  <si>
    <t>Fee &amp; Charges --&gt; Annual &amp; Renewal Charges</t>
  </si>
  <si>
    <t>Space missing after colon ":" and after "Rs". Dot and space missing after "Rs". "+ taxes" missing after renewal fee</t>
  </si>
  <si>
    <t>https://www.loom.com/i/1c3a1776de3a495290b1b3d5299e49c4</t>
  </si>
  <si>
    <t>UAT_CR_070</t>
  </si>
  <si>
    <t>Fee &amp; Charges --&gt; FAQ Tab --&gt; 3rd Question</t>
  </si>
  <si>
    <t>The website - sbicard.com  needs to be a hyperlink</t>
  </si>
  <si>
    <t>https://www.loom.com/i/a9762e19f4bd4824a8063ae8b612c1bb</t>
  </si>
  <si>
    <t>UAT_CR_071</t>
  </si>
  <si>
    <t>Fee &amp; Charges --&gt; FAQ Tab --&gt; All Questions</t>
  </si>
  <si>
    <t>All Questions need to be in BOLD.</t>
  </si>
  <si>
    <t>https://www.loom.com/i/fde2f788187443c4a0600daf15ad9cf9</t>
  </si>
  <si>
    <t>UAT_CR_072</t>
  </si>
  <si>
    <t>Other Features --&gt; Contactless Advantages --&gt; Secure Transactions</t>
  </si>
  <si>
    <t>"payWave's" needs to be removed. It is already strike through in the content file. Only "PayWave's" should be present.</t>
  </si>
  <si>
    <t>https://www.loom.com/i/c4a23fb0fdee42179d397ca793533cee</t>
  </si>
  <si>
    <t>UAT_CR_073</t>
  </si>
  <si>
    <t>Other Features --&gt; Contactless Advantages --&gt; Add on Cards</t>
  </si>
  <si>
    <t>Space missing after "Add on cards" hyperlink</t>
  </si>
  <si>
    <t>https://www.loom.com/i/988a5f6fbaf54744b230271afe75e708</t>
  </si>
  <si>
    <t>UAT_CR_074</t>
  </si>
  <si>
    <t>Key Benefits --&gt; 1st Benefit --&gt; "Welcome e- Gift Voucher worth  Rs. 5,000"</t>
  </si>
  <si>
    <t>The "e Gift voucher" needs to be in BOLD</t>
  </si>
  <si>
    <t>https://www.loom.com/i/4da57fcd0f1948c88d51843748a76ad8</t>
  </si>
  <si>
    <t>https://www.loom.com/i/171eb1dae3e740e5b23d983a98eeefe0</t>
  </si>
  <si>
    <t>Neha</t>
  </si>
  <si>
    <t>Blocked</t>
  </si>
  <si>
    <t>Right now page is not opening</t>
  </si>
  <si>
    <t>09/02/2026 - As the word "E-gift" voucher is not bold in the final content file, therefore closing this issue.
23/01/2026 - As per Namita ma'am, content is constantly getting changed therefore need to keep all the content related issues aside. Hence kept on hold.</t>
  </si>
  <si>
    <t>UAT_CR_075</t>
  </si>
  <si>
    <t>Exclusive Privileges --&gt; Lounge Benefits</t>
  </si>
  <si>
    <t>"Click here for detailed Terms &amp; Conditions" is missing.</t>
  </si>
  <si>
    <t>https://www.loom.com/i/78ace2db7b7d49058e26f5eafc36e2b4</t>
  </si>
  <si>
    <t>UAT_CR_076</t>
  </si>
  <si>
    <t>Explore Rewards --&gt; Exclusive Rewards --&gt; Bullet points</t>
  </si>
  <si>
    <t>1st &amp; 2nd Bullet points do not exactly match with the content file and the 3rd bullet point is missing.</t>
  </si>
  <si>
    <t>https://www.loom.com/i/84232708c662410da49a54c90a39d8e1</t>
  </si>
  <si>
    <t>UAT_CR_077</t>
  </si>
  <si>
    <t>Explore Rewards --&gt; Milestone Benefits --&gt; Bullet points</t>
  </si>
  <si>
    <t>Each "lakh" word needs to be capitalized. "Get" word is missing from the 2nd bullet point.</t>
  </si>
  <si>
    <t>https://www.loom.com/i/8f30c6c2f1e348c0a5101f3169d66d8b</t>
  </si>
  <si>
    <t>UAT_CR_078</t>
  </si>
  <si>
    <t>https://www.loom.com/i/e194faec69e54db98f0e4fe45f09d9e1</t>
  </si>
  <si>
    <t>UAT_CR_079</t>
  </si>
  <si>
    <t>https://www.loom.com/i/02a7f225684d49be9d124b552a9c70ef</t>
  </si>
  <si>
    <t>UAT_CR_080</t>
  </si>
  <si>
    <t>The Section image is incorrect SBI Pulse Card being a lifestyle without golden theme card.</t>
  </si>
  <si>
    <t>https://www.loom.com/i/186913c3d91343eaa9bb68e179035606</t>
  </si>
  <si>
    <t>UAT_CR_081</t>
  </si>
  <si>
    <t>Exclusive Privileges --&gt; Mobile View --&gt; Health Benefits, Exclusive Benefits, Comprehensive Insurance Cover, Lounge Benefits</t>
  </si>
  <si>
    <t>When in mobile view, the More button is missing for the mentioned privileges in order for the user to view all the benefit points of each privilage in mobile view as well. Even if the more button is present, it only shows 1 more benefit instead of showing all of the pending ones.</t>
  </si>
  <si>
    <t>https://www.loom.com/i/d6e4b711059f43abb2f03112444b1d56</t>
  </si>
  <si>
    <t>UAT_CR_082</t>
  </si>
  <si>
    <t>UAT_CR_083</t>
  </si>
  <si>
    <t>https://www.loom.com/i/28342108ca4e48509060eaa0073aa7f6</t>
  </si>
  <si>
    <t>18/02/2026 - The issue is resolved on devsit1 - https://loom.com/i/2c74f8aa488643bb8e32fc6bbf2b32f1
13/02/2026 - The issue is resolved on HTML v50 -1 - https://loom.com/i/a10b1293cc784354bbe5ad7da9b99cf6
10/02/2026 - This is a template level fix and its original bug ID is - UAT_CR_057.</t>
  </si>
  <si>
    <t>UAT_CR_084</t>
  </si>
  <si>
    <t>https://www.loom.com/i/10256f5deb5348ba9abee2dce1c248af</t>
  </si>
  <si>
    <t>https://www.loom.com/i/720e59e66e2d4e769ee120f618f5e5bc</t>
  </si>
  <si>
    <t>UAT_CR_085</t>
  </si>
  <si>
    <t>Explore Rewards --&gt; Selected Tab style</t>
  </si>
  <si>
    <t>The select tab's style mis matches with the page theme.</t>
  </si>
  <si>
    <t>https://www.loom.com/i/3b931b287f0a475cb2fea121222f347c</t>
  </si>
  <si>
    <t>https://www.loom.com/i/f45c4539ac73491ea847c085226913bd</t>
  </si>
  <si>
    <t>23/02/2026 - The issue is resolved on devsit1 - https://loom.com/i/8b1b60b279854c4fa1e07914675c8c52
23/02/2026 - As discussed with Bharat regarding the tab font colour remaining megenta even in case of dark mode where as all title font colour switch to blue. Bharat says, as there was no guidelines on how the tab colour should be in case of dark &amp; light mode therefore it cannot be considered as bug but as an enhancement and he will be fixing and sending in the next css change but for now need to close this issue by informing Arun sir.
13/02/2026 - The issue is resolved in case of light mode but when switched to dark mode, the tabs do not change their colour to be consistent with the title font colours.</t>
  </si>
  <si>
    <t>UAT_CR_086</t>
  </si>
  <si>
    <t>Explore Rewards &amp; Other Features Section heading</t>
  </si>
  <si>
    <t>Both the section heading need to have blue font colour instead of white</t>
  </si>
  <si>
    <t>https://www.loom.com/i/a7c6f50f777b4d1996f7ba7c3c09a295</t>
  </si>
  <si>
    <t>https://www.loom.com/i/140bb9a345d442d985e7d9341272f455</t>
  </si>
  <si>
    <t>UAT_CR_087</t>
  </si>
  <si>
    <t>Both the section heading need to have the theme's font colour instead of white</t>
  </si>
  <si>
    <t>https://www.loom.com/i/ff2c777cc2884375bb0ec217aa9073b8</t>
  </si>
  <si>
    <t>https://www.loom.com/i/a891fe7a9e0f433385a3b206e199048f</t>
  </si>
  <si>
    <t>Not able to reproduce, previously page is not opening</t>
  </si>
  <si>
    <t>05/02/2026 - A consolidated bug already logged in the product details page therefore closing this one.
23/01/2026 - The issue still persists - https://loom.com/i/a3075df15f9d4e999f959271cd10d7ec</t>
  </si>
  <si>
    <t>UAT_CR_088</t>
  </si>
  <si>
    <t>Other Features --&gt; Contactless Advantages --&gt; First 3 Points</t>
  </si>
  <si>
    <t>The text before colon - "Tap &amp; Pay with Ease", "Fast &amp; Convenient", "Secure Transactions" for each bullet point needs to be BOLD</t>
  </si>
  <si>
    <t>https://www.loom.com/i/69b996d333de4cf5ae7e17dcc50ccfed</t>
  </si>
  <si>
    <t>UAT_CR_089</t>
  </si>
  <si>
    <t>Other Features --&gt; All The drop downs</t>
  </si>
  <si>
    <t>The text content colour needs to be white instead of grey</t>
  </si>
  <si>
    <t>https://www.loom.com/i/488773225307469d9f5bd5ad9e488d12</t>
  </si>
  <si>
    <t>18/02/2026 - The issues was already resolved as per the remark below.
10/02/2026 - As discussed with Namita ma'am on HTML bug priority call, this needs to be ignored. Hence marking it as resolved.</t>
  </si>
  <si>
    <t>UAT_CR_090</t>
  </si>
  <si>
    <t>Side Bar Menu --&gt; Credit Card Image</t>
  </si>
  <si>
    <t>The Credit Card image is smaller than required.</t>
  </si>
  <si>
    <t>https://www.loom.com/i/66d3d7195165409bb57ee15317a398bd</t>
  </si>
  <si>
    <t>https://www.loom.com/i/765cdf18065c4f79952e27faace01896</t>
  </si>
  <si>
    <t>18/02/2026 - The issue is resolved on devsit1 - https://loom.com/i/0975a587e36c4cf7920c41728b71bc5c</t>
  </si>
  <si>
    <t>UAT_CR_091</t>
  </si>
  <si>
    <t>Exclusive Privileges--&gt; Mobile Devices --&gt; Image</t>
  </si>
  <si>
    <t>The image used in case of mobile devices is incorrect SBI Card Miles being a Travel &amp; Fuel Card.</t>
  </si>
  <si>
    <t>https://www.loom.com/i/0e4cc9810f7e419dbd07366a8ce83139</t>
  </si>
  <si>
    <t>https://www.loom.com/i/f2d596f994274beeb2eccce42b446358</t>
  </si>
  <si>
    <t>UAT_CR_092</t>
  </si>
  <si>
    <t>Side Bar Menu --&gt; Best For --&gt; Milestone Benefits, Travel Privileges</t>
  </si>
  <si>
    <t>The word "Milestone" &amp; Privileges" being upto or more than 9 alphabets gets truncated with 3 dots at the end especially when user increases the font size.</t>
  </si>
  <si>
    <t>https://www.loom.com/i/895040f7df834440ac46b16d18d50a40</t>
  </si>
  <si>
    <t>23/01/2026 - The issue still persists - https://loom.com/i/fc4c6e12984d4e8d925e3f77ca1d4d33</t>
  </si>
  <si>
    <t>UAT_CR_093</t>
  </si>
  <si>
    <t>After the card gets flipped, the card title &amp; content doesn't maintain the margin gap from the ight side. Check the screenshot for better understanding.</t>
  </si>
  <si>
    <t>https://www.loom.com/i/027749196e1d42758399265f252c547c</t>
  </si>
  <si>
    <t>23/02/2026 - Now the padding from the right side is more than required. This is because of both the child and the parent container having padding 
13/02/2026 - The issue is resolved on HTML v50 - 1
28/01/2026 - As the issue also persists in the HTML benchmark version 50 therefore changing the defect type of this from "Padding" to "HTML/CSS"
23/01/2026 - The issue still persists - https://loom.com/i/fc4c6e12984d4e8d925e3f77ca1d4d33</t>
  </si>
  <si>
    <t>UAT_CR_094</t>
  </si>
  <si>
    <t>Exclusive Privileges --&gt; Mobile View --&gt; Miles Rewards, Milestone Benefits, International Travel Privileges</t>
  </si>
  <si>
    <t>https://www.loom.com/i/9c0afc60c04e42f686e4b4296a7c629d</t>
  </si>
  <si>
    <t>UAT_CR_095</t>
  </si>
  <si>
    <t>Fee &amp; Charges --&gt; FAQs --&gt; 2nd Question --&gt; Answer</t>
  </si>
  <si>
    <t>The 2nd Question's answer sentences do not exactly match with the content file.</t>
  </si>
  <si>
    <t>https://www.loom.com/i/58ce17e5c5634a01a3f33c8f2458b32d</t>
  </si>
  <si>
    <t>27/02/2026 - The issue is resolved on sbi-pvt
23/01/2026 - As per Namita ma'am, content is constantly getting changed therefore need to keep all the content related issues aside. Hence kept on hold.</t>
  </si>
  <si>
    <t>UAT_CR_096</t>
  </si>
  <si>
    <t>Other Featues --&gt; Contactless Advantages --&gt; 4th &amp; 5th Bullet Points</t>
  </si>
  <si>
    <t>Thr 4th &amp; 5th bullet points do not exactly match with the content file.</t>
  </si>
  <si>
    <t>https://www.loom.com/i/768f68a2a3e541dda516e76c1b252a6f</t>
  </si>
  <si>
    <t>UAT_CR_097</t>
  </si>
  <si>
    <t>Other Benefits --&gt; Flexipay --&gt; 3rd Bullet Point</t>
  </si>
  <si>
    <t>Greater than symbol needs to be removed before the hyperlink "Click Here"</t>
  </si>
  <si>
    <t>https://www.loom.com/i/8f73853fe391447da211aa06b40c5b63</t>
  </si>
  <si>
    <t>UAT_CR_098</t>
  </si>
  <si>
    <t>Explore Rewards --&gt; Milestone Rewards--&gt; Reward benefit Bar &amp; Reward Points text on the image</t>
  </si>
  <si>
    <t>https://www.loom.com/i/a6fbdf3079be4a85a69cf548da72a9b6</t>
  </si>
  <si>
    <t>https://www.loom.com/i/bc571ad8c48049969ce3727872008d0d</t>
  </si>
  <si>
    <t>Animation is old design</t>
  </si>
  <si>
    <t>23/01/2026 - The Bar and rewards instead of appearing on milestone benefits tab, it appears in miles rewards tab. https://loom.com/i/0b9afcdc98bf4b668da57d44d33e9141</t>
  </si>
  <si>
    <t>UAT_CR_099</t>
  </si>
  <si>
    <t>Exclusive Privileges --&gt; Mobile View --&gt; Image</t>
  </si>
  <si>
    <t>The image used is incorrect Tata Neu Plus SBI Card being a lifestyle and a non golden theme card.</t>
  </si>
  <si>
    <t>https://www.loom.com/i/c071618b6c194e12954efb2e27ec5fd4</t>
  </si>
  <si>
    <t>UAT_CR_100</t>
  </si>
  <si>
    <t>Side Bar menu --&gt; iPads / Tablets --&gt;  Best For --&gt; Welcome Benefits</t>
  </si>
  <si>
    <t>In case of iPads / Tablets, the word "Welcome" gets truncated with 3 dots at the end if the font is increased to large size.</t>
  </si>
  <si>
    <t>https://www.loom.com/i/92cdbf228c704508b3087dd03be95e37</t>
  </si>
  <si>
    <t>The issue still persists</t>
  </si>
  <si>
    <t>UAT_CR_101</t>
  </si>
  <si>
    <t>Exclusive Privileges --&gt; Welcome Gifts --&gt; 1st Bullet point.</t>
  </si>
  <si>
    <t>It should be "Re." instead of "Rse."</t>
  </si>
  <si>
    <t>https://www.loom.com/i/2d2ab5473bbe44468f0fb97f55508675</t>
  </si>
  <si>
    <t>09/02/2026 - The bug is fixed and no longer occuring hence closing.
23/02/2026 - As per Namita ma'am, content is constantly getting changed therefore need to keep all the content related issues aside which includes icons as well according to Arun sir. Hence kept on hold.</t>
  </si>
  <si>
    <t>UAT_CR_102</t>
  </si>
  <si>
    <t>Exclusive Privileges --&gt; Domestic Lounge Benefits --&gt; 2nd bullet point</t>
  </si>
  <si>
    <t>The 2nd bullet point - "click here to know about participating Domestic Lounges" is missing.</t>
  </si>
  <si>
    <t>https://www.loom.com/i/fb9b9a313f1d414c90dfa305523173b3</t>
  </si>
  <si>
    <t>UAT_CR_103</t>
  </si>
  <si>
    <t>Exclusive Privileges --&gt; Mobile View --&gt; Reward Benefits, Domestic Lounge Benefits</t>
  </si>
  <si>
    <t>https://www.loom.com/i/423b690b37c54c0d90a7f7940b6b1a0b</t>
  </si>
  <si>
    <t>UAT_CR_104</t>
  </si>
  <si>
    <t xml:space="preserve">Fees &amp; Charges --&gt; Fees &amp; Charges --&gt; Fees --&gt; 3rd Bullet Point </t>
  </si>
  <si>
    <t>The word "Card" is missing in the 3rd Bullet point.</t>
  </si>
  <si>
    <t>https://www.loom.com/i/9745b5dd0ad142b49bcd4c6b7b19a7db</t>
  </si>
  <si>
    <t>UAT_CR_105</t>
  </si>
  <si>
    <t>https://www.loom.com/i/cd725397177048f99d405496d52a201e</t>
  </si>
  <si>
    <t>UAT_CR_106</t>
  </si>
  <si>
    <t>Other Features --&gt; Contactless Advantages --&gt; 1st, 2nd &amp; 3rd Bullet points</t>
  </si>
  <si>
    <t>For each bullet point, the words before the colon ":" -  "Tap &amp; Pay with Ease" , "Fast &amp; Convenient", "Secure Transactions" need to be bold as per the content file.</t>
  </si>
  <si>
    <t>https://www.loom.com/i/86465d42ed5a467f8dd0093e85682842</t>
  </si>
  <si>
    <t>UAT_CR_107</t>
  </si>
  <si>
    <t>iPads / Tablets --&gt; Other Features --&gt; Contactless Advantages --&gt; Open the drop down</t>
  </si>
  <si>
    <t>In case of iPads / Tablets, the right side text gets overlapped by the section image present on the right. This is esepecially evident in case of large font.</t>
  </si>
  <si>
    <t>https://www.loom.com/i/a067b5ad1abc43a495284afbba1030b8</t>
  </si>
  <si>
    <t>27/02/2026 - The issue is resolved on sbi-pvt - https://loom.com/i/6af959763c9343b6b7491f4ec64d141c
26/02/2026 - This issue is to be checked by Sampreet as soon as the latest assests file is received from the designer
25/02/2026 - The issue is resolved on devsit1 but as it is a creatives bug and not UI, therefore can only close once this gets closed on PVT
24/02/2026 - The issue is not resolved on devsit1 - https://loom.com/i/28c847a358974269ab8723e6723c10f7
13/02/2026 - The issue still not resolved on HTML v50 - 1 https://loom.com/i/0578408f381643b59df0666e26d9ac4e
23/01/2026 - The issue still persists - https://loom.com/i/c0c0de439acb405db7b785901b8416e7</t>
  </si>
  <si>
    <t>UAT_CR_108</t>
  </si>
  <si>
    <t>https://www.loom.com/i/6abda8072cd44360a947508f23bedaa0</t>
  </si>
  <si>
    <t>Duplicate of 94</t>
  </si>
  <si>
    <t>25/02/2026 - As a consolidated bug regarding all rewards category is already logged and open - UAT_CR_288 therefore closing this issue.
24/02/2026 - The issue is not resolved on devsit1 - https://loom.com/i/179b1c3877e34f5997009fabf71232b8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https://loom.com/i/5d372962fd8b4c01ba1f4547a18100f8</t>
  </si>
  <si>
    <t>UAT_CR_109</t>
  </si>
  <si>
    <t>Exclusive Privileges --&gt; Welcome Gifts --&gt; 1st &amp; 4th Bullet point.</t>
  </si>
  <si>
    <t>https://www.loom.com/i/a491a83c1ae14ab59f6b918340b90c27</t>
  </si>
  <si>
    <t>UAT_CR_110</t>
  </si>
  <si>
    <t>Exclusive Privileges --&gt; Internationa Lounge Benefits --&gt;Flip the card</t>
  </si>
  <si>
    <t>After the card gets flipped, the card title doesn't maintain the margin gap from the left side. Check the screenshot for better understanding.</t>
  </si>
  <si>
    <t>https://www.loom.com/i/ceca21fbd74a4aa081dce1a41b1a28e4</t>
  </si>
  <si>
    <t>17/02/2026 - Fixed on devsit1
Duplicate of 94</t>
  </si>
  <si>
    <t>17/02/2026 - Issue resolved on devsit1 - https://loom.com/i/bf5b17999ae445d9acaf67ebfd563cd0</t>
  </si>
  <si>
    <t>UAT_CR_111</t>
  </si>
  <si>
    <t>Exclusive Privileges --&gt; Reward Benefits --&gt; Icon</t>
  </si>
  <si>
    <t>The reward benefits icon in the exclusive privileges slide doesn't exactly match with the icon in the content file.</t>
  </si>
  <si>
    <t>https://www.loom.com/i/1e6139f1c6f44567ba9ecb11061be441</t>
  </si>
  <si>
    <t>27/02/2026 - The issue is being marked as resolved because as discussed with Namita ma'am and Neha Laddha ma'am on UAT discussion call, this icon needs to be uniform on all pages and in some pages content file, ribbon with star is used and in some normal star therefore we've decided to go with normal star as it is in the icon library.
23/01/2026 - As per Namita ma'am, content is constantly getting changed therefore need to keep all the content related issues aside which includes icons as well according to Arun sir. Hence kept on hold.</t>
  </si>
  <si>
    <t>UAT_CR_112</t>
  </si>
  <si>
    <t>Exclusive Privileges --&gt; Mobile View --&gt; Reward Benefits, International Lounge Benefits</t>
  </si>
  <si>
    <t>https://www.loom.com/i/53df38ff0bf84a9fbf40df54b261ee59</t>
  </si>
  <si>
    <t>UAT_CR_113</t>
  </si>
  <si>
    <t>https://www.loom.com/i/e4b0c1aac4af40ce95a976145b0110bf</t>
  </si>
  <si>
    <t>UAT_CR_114</t>
  </si>
  <si>
    <t>Other Features --&gt; Add on Cards --&gt; Bullet Points</t>
  </si>
  <si>
    <t>https://www.loom.com/i/ada493958fcc40b9a2d24b636cde3bc7</t>
  </si>
  <si>
    <t>27/02/2026 - The issue is resolved on sbi-pvt
As per Namita ma'am, content is constantly getting changed therefore need to keep all the content related issues aside. Hence kept on hold.</t>
  </si>
  <si>
    <t>UAT_CR_115</t>
  </si>
  <si>
    <t>iPads / Tablets --&gt; Other Features --&gt; Flexipay EMI --&gt; Open the drop down</t>
  </si>
  <si>
    <t>https://www.loom.com/i/1c8af9de03e84293bb37bb83b5cbfd7d</t>
  </si>
  <si>
    <t>27/02/2026 - The issue is resolved on sbi-pvt - https://loom.com/i/704ba53179034db59d2ac1c7ab291216
25/02/2026 - The issue is resolved on devsit1 but as it is a creatives bug and not UI, therefore can only close once this gets closed on PVT
24/02/2026 - The issue is not resolved on devsit1 - https://loom.com/i/97aca9187345464f8123a832957b1884
13/02/2026 - The issue still not resolved on HTML v50 - 1 https://loom.com/i/0578408f38164
28/01/2026 - As raised by the team, issue also occurs on the benchmark HTML therefore changing its marking from reopen to open and tagging from Layout to HTML/CSS
23/01/2026 - The issue still persists - https://loom.com/i/a32d00c2faac460ba39024ad0d93ea71</t>
  </si>
  <si>
    <t>UAT_CR_116</t>
  </si>
  <si>
    <t>Gradiance effect remains missing the way image is set in the container. In the design, the image starts with purple colour gradiance from the top right and then goes to green and blue.Similarly, transition to orange colour gradiance is missing at the bottom left.</t>
  </si>
  <si>
    <t>https://www.loom.com/i/3f0913cb8efb4be59d2e46a1d0066c52</t>
  </si>
  <si>
    <t>https://www.loom.com/i/f200b28b7b124eb5922ceba7cd80eb06</t>
  </si>
  <si>
    <t>10/02/2026 - As discussed with Namita ma'am on HTML bug priority call, this needs to be ignored. Hence marking it as resolved.</t>
  </si>
  <si>
    <t>UAT_CR_117</t>
  </si>
  <si>
    <t>The credit card image size is smaller than required. Check the acutal vs expected result screenshto</t>
  </si>
  <si>
    <t>https://www.loom.com/i/01f32dd3e9b14ab1af20b4b2e88eed40</t>
  </si>
  <si>
    <t>https://www.loom.com/i/cd7a50c9e6274c98b39235e6bad14b53</t>
  </si>
  <si>
    <t>UAT_CR_118</t>
  </si>
  <si>
    <t>Side Bar Menu --&gt; Best For --&gt; Milestone Privileges, Prime Rewards</t>
  </si>
  <si>
    <t>Word "Milestone" &amp; "Privileges" being  9 alphabets get truncated with 3 dots at the end. Also, the word "Rewards" especially  in case user increase the font size.</t>
  </si>
  <si>
    <t>https://www.loom.com/i/cf32ad38036347009d04977c63ad22b6</t>
  </si>
  <si>
    <t>28/01/2025</t>
  </si>
  <si>
    <t>UAT_CR_119</t>
  </si>
  <si>
    <t>Exclusive Privileges --&gt; Lounge Benefits --&gt;Flip the card</t>
  </si>
  <si>
    <t>After the card gets flipped, the card content doesn't maintain the margin gap from the left side. Check the screenshot for better understanding.</t>
  </si>
  <si>
    <t>https://www.loom.com/i/5f32e936c493457798dfcf2655ba5055</t>
  </si>
  <si>
    <t>23/02/2026  - Fixed on devsit1
17/02/2026 - Fixed on devsit1
Duplicate of 94</t>
  </si>
  <si>
    <t>23/02/2026 - Now the padding from the left side is more than required. This is because of both the child and the parent container having padding -  https://www.loom.com/i/452e49177198420aa62e7f6518adf73e
Fix for this has been provided
17/02/2026 - Now the content (bullet points) have more than required padding from the right hand side - https://www.loom.com/i/38f8a499cdda47cd9d5d7785e177c28b</t>
  </si>
  <si>
    <t>UAT_CR_120</t>
  </si>
  <si>
    <t>Line Separator Style</t>
  </si>
  <si>
    <t>Other Features --&gt; Line separator below each drop down</t>
  </si>
  <si>
    <t>The line separator colour needs to be "#5879AD" or "#FFFFFF"  as per the design instead of being grey</t>
  </si>
  <si>
    <t>https://www.loom.com/i/78c611a8911843b2b0f593acf2f17f73</t>
  </si>
  <si>
    <t>https://www.loom.com/i/8c2de6591ba94ebfa5ba89e22b5ff37c</t>
  </si>
  <si>
    <t>18/02/2026 - The issue is resolved on devsit1 - https://loom.com/i/b9c4a96d9cc544ba8238ffa5195f1acb
13/02/2026 - The issue is resolved on HTML v50 - 1 https://loom.com/i/0d6f1aa19f8f4febb2c55e9d976d4def</t>
  </si>
  <si>
    <t>UAT_CR_121</t>
  </si>
  <si>
    <t>The selected tab font &amp; bar colour is blue instead of being white as per the design</t>
  </si>
  <si>
    <t>https://www.loom.com/i/591368931db54b4ea1d72e39cc63a462</t>
  </si>
  <si>
    <t>https://www.loom.com/i/9bc0939ab0224e4aa85e6d90a724a680</t>
  </si>
  <si>
    <t>23/02/2026 - The issue is resolved on devsit1 - https://loom.com/i/78fc9eb1567b43bf91679f006c8eba80
13/02/2026 - The issue is resolved on HTML v50 - 1</t>
  </si>
  <si>
    <t>UAT_CR_122</t>
  </si>
  <si>
    <t>Exclusive Privileges --&gt; Mobile View --&gt; Slider --&gt; Check the side that has only 1 or 2 Benefit Categories</t>
  </si>
  <si>
    <t>In case the Exclusive privilage slide only has 1 or 2 benefit category instead of 3 then there needs to be a placeholder image which is missing. Check the actual vs expected result screenshots.</t>
  </si>
  <si>
    <t>https://www.loom.com/i/5b4fe79b5bf541808f0667f1cdd41804</t>
  </si>
  <si>
    <t>https://www.loom.com/i/0390a2ff0ea741a0b1d84a9e3a6946be</t>
  </si>
  <si>
    <t>18/02/2026 - This issue is already resolved as mentioned in the remark below.
28/01/2026 - The issue no longer found on the randomly tested pages. If start to appear again or found on any of the page, will log a separate issue mentioning the page.
23/01/2026 - The issue still persists - - https://www.loom.com/i/8bd6fa539d1a424bb09a2dad32ffec06</t>
  </si>
  <si>
    <t>UAT_CR_123</t>
  </si>
  <si>
    <t>https://www.loom.com/i/be1df9149d1944fcbf4d28a31dcbc05f</t>
  </si>
  <si>
    <t>https://www.loom.com/i/5f1af53178d94058a9f5439211449e02</t>
  </si>
  <si>
    <t>Duplicate of 99</t>
  </si>
  <si>
    <t>23/01/2026 - Instead of the bar and benefits appearing in the "Milestone Benefits" tab, it appears in the "Prime Benefits" tab - https://loom.com/i/0da4f9a6ea16478494ea89b6bfcfc3e9</t>
  </si>
  <si>
    <t>UAT_CR_124</t>
  </si>
  <si>
    <t>Terms &amp; Documents --&gt; Each Tab --&gt; Label --&gt; Font Family</t>
  </si>
  <si>
    <t>The font family of each tab label's font is "Sans - Serif" instead of "Roboto". Check the actual vs expected result or the design.</t>
  </si>
  <si>
    <t>https://www.loom.com/i/852576844ace429a9f7cddd586c28399</t>
  </si>
  <si>
    <t>https://www.loom.com/i/7dd4bfc778764b6da8299667b205c844</t>
  </si>
  <si>
    <t>23/02/2026 - Issue due to chat bot class
16/02/2026 - Fixed on devsit1
Issue due to chat bot class - main.css 6 file</t>
  </si>
  <si>
    <t xml:space="preserve">11/03/2026 - The issue is resolved on devsit1 for all pages- https://www.loom.com/share/e8ff311bedaf4dfc86349dac5f3a83ce
 Will close this issue once it gets resolved on sbi-pvt
24/02/2026 - The issue is yet to be resolved and is with the chat bot team (SBI)
17/02/2026 - Issue is marked as fixed on devsit1 but is still not resolved on devsit1 - https://loom.com/i/53bf4536a6c44812bcce36cd8f4ad24d
28/01/2026 - The issues cannot be found on HTML Benchmark version
23/01/2026 - The issue still persists </t>
  </si>
  <si>
    <t>UAT_CR_125</t>
  </si>
  <si>
    <t>Slider Dot Style</t>
  </si>
  <si>
    <t>Product Videos section &amp; Exclusive Privileges Section --&gt; Slider dots --&gt; Compare them with "Similar Card" section slider dots</t>
  </si>
  <si>
    <t>Different slider dot styles are being followed - "Similar Cards" section slider style matches the design but the "Product Video" &amp; "Exclusive Privileges" section slider follow different style.</t>
  </si>
  <si>
    <t>https://www.loom.com/i/6b8d517755384ec38998d241287a29e5</t>
  </si>
  <si>
    <t>18/02/2026 - The issue is resolved on devsit1 - https://loom.com/i/85920992642541949725062c8a81c1bc
13/02/2026 - The issue is resolved on HTML v50 - 1
10/02/2026 - The slider dots need to be the same style as what we have given for the home page as discussed with Namita ma'am</t>
  </si>
  <si>
    <t>UAT_CR_126</t>
  </si>
  <si>
    <t>https://www.loom.com/i/fe10ba9a329b48c7abb0c76a46a0a3cc</t>
  </si>
  <si>
    <t>https://www.loom.com/i/f5de89629419411eb34428fabef2576d</t>
  </si>
  <si>
    <t>Shivani</t>
  </si>
  <si>
    <t>27/02/2026 - The latest content file doesn't indicate that these words need to be bold. Therefore bug is no longer valid..
23/01/2026 - The issue still persists</t>
  </si>
  <si>
    <t>UAT_CR_127</t>
  </si>
  <si>
    <t>Exclusive Privileges --&gt; Lounge Benefits --&gt; 2nd Bullet Point</t>
  </si>
  <si>
    <t>We can have space before and after each slash "/" for better separation of links in order to improve readability</t>
  </si>
  <si>
    <t>https://www.loom.com/i/04dae9aa4a6747e7b73c3d2f6e9dab2e</t>
  </si>
  <si>
    <t>UAT_CR_128</t>
  </si>
  <si>
    <t>Exclusive Privileges --&gt; Birthday Benefits --&gt; 1st  Bullet Point</t>
  </si>
  <si>
    <t>Bracket is not closed at the end of the first bullet point.</t>
  </si>
  <si>
    <t>https://www.loom.com/i/ac98c95f5d8d4a298eb40a63f3344220</t>
  </si>
  <si>
    <t>UAT_CR_129</t>
  </si>
  <si>
    <t>Exclusive Privileges --&gt; ITC Silver Tier membership --&gt; Icon</t>
  </si>
  <si>
    <t>The icon doesn't match with the icon present in the content file.</t>
  </si>
  <si>
    <t>https://www.loom.com/i/efbb3d2a725b4935a5a8a5636d99263a</t>
  </si>
  <si>
    <t>27/02/2026 - As there is no icon for this in the icon library, taking into reference the icon used in the latest content file for this card and based on that, this bug needs to be "Open"
23/01/2026 - As per Namita ma'am, content is constantly getting changed therefore need to keep all the content related issues aside which includes icons as well according to Arun sir. Hence kept on hold.</t>
  </si>
  <si>
    <t>UAT_CR_130</t>
  </si>
  <si>
    <t>Network Privileges --&gt; Amex --&gt; 2nd Bullet Point</t>
  </si>
  <si>
    <t>Instead of only "Click Here" being the Hyperlink, the entire bullet point is highlighted as a hyperlink.</t>
  </si>
  <si>
    <t>https://www.loom.com/i/30a71894eac245d196925ecf0562940f</t>
  </si>
  <si>
    <t>UAT_CR_131</t>
  </si>
  <si>
    <t>Network Privileges --&gt; Tabs - Mastercard &amp; American Express</t>
  </si>
  <si>
    <t>Tab headings need to be corrected. "Master Card" needs to be "Mastercard" and "AmEx" needs to be "American Express" as it is in the content file</t>
  </si>
  <si>
    <t>https://www.loom.com/i/a522df5259494f21b820f6390d7b54e3</t>
  </si>
  <si>
    <t>UAT_CR_132</t>
  </si>
  <si>
    <t>https://www.loom.com/i/c5383f90888940769a0fa0c8656c4e17</t>
  </si>
  <si>
    <t>UAT_CR_133</t>
  </si>
  <si>
    <t>Fees &amp; Charges --&gt; FAQ --&gt; 1st Question --&gt; Answer</t>
  </si>
  <si>
    <t>Instead of Rs. 2,999 + taxes, it is written Rs. 4,999 + taxes</t>
  </si>
  <si>
    <t>https://www.loom.com/i/34aff10bd4764f8a8aedb0b3cfbd8270</t>
  </si>
  <si>
    <t>UAT_CR_134</t>
  </si>
  <si>
    <t>https://www.loom.com/i/866c65de27024845b02593f3f052b888</t>
  </si>
  <si>
    <t>UAT_CR_135</t>
  </si>
  <si>
    <t>Gridline Color</t>
  </si>
  <si>
    <t>Key Benefits --&gt; Mobile View --&gt; Vertical Gridline of the container</t>
  </si>
  <si>
    <t>The vertical gridline has different colour than the borders of the container.</t>
  </si>
  <si>
    <t>https://www.loom.com/i/5550a13345fd409a89583e09d4d792a7</t>
  </si>
  <si>
    <t>18/02/2026 - The issue is resolved on devsit1 - https://loom.com/i/bb6cb6401099489d84bac28a1f4ede65
13/02/2026 - Issue is resolved on HTML v50 - 1 https://loom.com/i/a609a0b6b18f4331a786a560dde0240c</t>
  </si>
  <si>
    <t>UAT_CR_136</t>
  </si>
  <si>
    <t>The border before the slider dots is not required and the padding needs to be reduced from the bottom at least to match with the design.</t>
  </si>
  <si>
    <t>https://www.loom.com/i/992fc605aa8147a1b0178bc0343ac523</t>
  </si>
  <si>
    <t>https://www.loom.com/i/8a6c51c0e64340139990907fc2f8dfe1</t>
  </si>
  <si>
    <t>17/02/2026 - Issue resolved on devsit1 - https://loom.com/i/ae1fd14d05f34d7592f0e6ce2beaeca6</t>
  </si>
  <si>
    <t>UAT_CR_137</t>
  </si>
  <si>
    <t>Exclusive Privileges --&gt; Mobile View --&gt; Prime Rewards, Milestone Benefits, Lounge Access</t>
  </si>
  <si>
    <t>https://www.loom.com/i/22362980bd4e475e89be0dc68f9a40df</t>
  </si>
  <si>
    <t>UAT_CR_138</t>
  </si>
  <si>
    <t>Terms &amp; Documents section --&gt; All 4 Tabs --&gt; Compare them in desktop and then in mobile view</t>
  </si>
  <si>
    <t>Tab style differs in case of Desktop/tablet and in case of mobile</t>
  </si>
  <si>
    <t>https://www.loom.com/i/bbdb613ef75e4c1ab2001b48d438de85</t>
  </si>
  <si>
    <t>As per the Developers, this style change is intentional</t>
  </si>
  <si>
    <t>UAT_CR_139</t>
  </si>
  <si>
    <t>Side Bar Menu --&gt; Card Image</t>
  </si>
  <si>
    <t>The card image is no longer appearing.</t>
  </si>
  <si>
    <t>https://www.loom.com/i/90ed0efe953c482ebd83b5a305973fba</t>
  </si>
  <si>
    <t>UAT_CR_140</t>
  </si>
  <si>
    <t>20/01/2026</t>
  </si>
  <si>
    <t>Doctor's SBI Card (In Association with IMA)</t>
  </si>
  <si>
    <t>The image used is incorrect for the being a lifestyle and a non golden theme card.</t>
  </si>
  <si>
    <t>https://www.loom.com/i/2b6f26284e8c455a872eaf0207c392f5</t>
  </si>
  <si>
    <t>UAT_CR_141</t>
  </si>
  <si>
    <t>https://www.loom.com/i/69be1737972d46b8be0366e50312a5eb</t>
  </si>
  <si>
    <t>UAT_CR_142</t>
  </si>
  <si>
    <t>Side Bar Menu --&gt; Best For --&gt; "Professional Indemnity Insurance", "Milestone Benefits"</t>
  </si>
  <si>
    <t>Words "Professional Indemnity Insurance", "Milestone Benefits" being  9 alphabets get truncated with 3 dots at the end especially  in case user increase the font size.</t>
  </si>
  <si>
    <t>https://www.loom.com/i/c2a2609e09364afc9dbb4182ec5783c9</t>
  </si>
  <si>
    <t>To be worked up on by Arun sir</t>
  </si>
  <si>
    <t>23/01/2025</t>
  </si>
  <si>
    <t>28/01/2026 - Check on iPads / Tablets or mid sized desktops (width around 1536px)
23/01/2025 - The issue still persists</t>
  </si>
  <si>
    <t>UAT_CR_143</t>
  </si>
  <si>
    <t>Exclusive Privileges --&gt; Welcome Gifts --&gt; 1st bullet point --&gt; "Yatra.com"</t>
  </si>
  <si>
    <t>"Yatra.com" could have been a hyperlink.</t>
  </si>
  <si>
    <t>https://www.loom.com/i/f274996ae7d944fdafb91b31c1f96f03</t>
  </si>
  <si>
    <t>27/02//2026</t>
  </si>
  <si>
    <t>27/02/2026 - As per the latest content file, the word "Yatra.com" is not a hyperlink, therefore this bug is not valid.
23/01/2026 - As per Namita ma'am, content is constantly getting changed therefore need to keep all the content related issues aside. Hence kept on hold.</t>
  </si>
  <si>
    <t>UAT_CR_144</t>
  </si>
  <si>
    <t>Exclusive Privileges --&gt; Reward Points --&gt; 5th Bullet point</t>
  </si>
  <si>
    <t>"Rs." needs to be "Re." as it is only 1 rupee</t>
  </si>
  <si>
    <t>https://www.loom.com/i/e4a7415f01344450b36b5f2586dcd90f</t>
  </si>
  <si>
    <t>UAT_CR_145</t>
  </si>
  <si>
    <t>Exclusive Privileges --&gt; Milestone Benefits --&gt; 1st Bullet Point</t>
  </si>
  <si>
    <t>"Yatra.com" could be a hyperlink. A space before and after each slash "/" could be inserted for better readability.</t>
  </si>
  <si>
    <t>https://www.loom.com/i/ab0aed8084234f79889c22396a507dfa</t>
  </si>
  <si>
    <t>09/02/2026 - Even if we ignore "yatra.com" to be a hyperlink, a space between each forward slash "/" needs to be inserted as in the final content file for better readability.
23/01/2026 - As per Namita ma'am, content is constantly getting changed therefore need to keep all the content related issues aside. Hence kept on hold.</t>
  </si>
  <si>
    <t>UAT_CR_146</t>
  </si>
  <si>
    <t>Exclusive Privileges --&gt; Mobile View --&gt; Professional Indemnity Insurance, Reward Points, International Lounge Program</t>
  </si>
  <si>
    <t>https://www.loom.com/i/8553c9421ba8405d89f64f913bde88d4</t>
  </si>
  <si>
    <t>UAT_CR_147</t>
  </si>
  <si>
    <t>Exclusive Privileges --&gt; Mobile View --&gt; Slider Dots</t>
  </si>
  <si>
    <t>The gap between the benefit content and the slider dot is noticeably less. Check the actual vs expected screenshots.</t>
  </si>
  <si>
    <t>https://www.loom.com/i/bc3dcaae290746eda1ed21456fd073f0</t>
  </si>
  <si>
    <t>https://www.loom.com/i/ad67688854ea4d52a7081f815d18847a</t>
  </si>
  <si>
    <t>18/02/2026 - The issue is resoled on devsit1 - 
https://loom.com/i/1d794cd70ba74781838bf33199c2d8ce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https://loom.com/i/d305bbb826d04f368b0786e9795e161f
06/02/2026 - Gap above and below the slider dots should be same currently it is very close to the content from above and bottom has extra gap
23/01/2026 - The issue still persists</t>
  </si>
  <si>
    <t>UAT_CR_148</t>
  </si>
  <si>
    <t>Explore Rewards --&gt; Reward Points --&gt; 1st &amp; 2nd Bullet point</t>
  </si>
  <si>
    <t>The word "Get" could be removed from 1st &amp; 2nd bullet point as they are not present in the content file.</t>
  </si>
  <si>
    <t>https://www.loom.com/i/3409d02ac3e24537914e5e01814ce5fd</t>
  </si>
  <si>
    <t>09/02/2026 - As per the final content file, all bullet points match word by word therefore closing this issue.
23/01/2026 - As per Namita ma'am, content is constantly getting changed therefore need to keep all the content related issues aside. Hence kept on hold.</t>
  </si>
  <si>
    <t>UAT_CR_149</t>
  </si>
  <si>
    <t>Other Features --&gt; Contactless Advantages --&gt; 4th &amp; 5th Bullet Point</t>
  </si>
  <si>
    <t>The 4th &amp; 5th bullet point does not match the content file</t>
  </si>
  <si>
    <t>https://www.loom.com/i/2383007d3fc9467cb7d8a8f36fad881b</t>
  </si>
  <si>
    <t>09/02/2026 - "Please" is the extra word added in the sentence that is not present in the final content file. However, Vijaita mentioned that a single word difference can be ignored if it doesn't change the meaning of the sentence by any way. Therefore marking this issue as resolved.
23/01/2026 - As per Namita ma'am, content is constantly getting changed therefore need to keep all the content related issues aside. Hence kept on hold.</t>
  </si>
  <si>
    <t>UAT_CR_150</t>
  </si>
  <si>
    <t>Other Features --&gt; Contactless Advantages --&gt; The bullet point sequence</t>
  </si>
  <si>
    <t>The "Fast &amp; Convenient" should be 2nd in sequence and "Secure Transactions" 3rd but its the opposite currently.</t>
  </si>
  <si>
    <t>https://www.loom.com/i/fe719a2deb784beaa0aa868774b99a65</t>
  </si>
  <si>
    <t>16/02/2026 - The issue is now resolved on pvt - https://loom.com/i/b65af43dfc8b49e798bc7c50258885b5
09/02/2026 - As per the final content file as well, this bug for maintaining the bullet point sequence is valid therefore changing the status from "Hold" to "Open"
23/02/2026 - As per Namita ma'am, content is constantly getting changed therefore need to keep all the content related issues aside. Hence kept on hold.</t>
  </si>
  <si>
    <t>UAT_CR_151</t>
  </si>
  <si>
    <t>https://www.loom.com/i/575947c5f8124910ae8728bbe7d5f724</t>
  </si>
  <si>
    <t>https://www.loom.com/i/d0519249f14b4401ada267a5fa96628c</t>
  </si>
  <si>
    <t>23/01/2026 - The issue still persists - https://loom.com/i/cd1079a77b644fa48ba69269527f8d0e</t>
  </si>
  <si>
    <t>UAT_CR_152</t>
  </si>
  <si>
    <t>Desktops (1024px - 1280px)</t>
  </si>
  <si>
    <t>Side Bar Menu --&gt; Devices between (1024 - 1280px width) --&gt; Card Title</t>
  </si>
  <si>
    <t>For devices around 1024 - 1280px width, the card title gets truncated with 3 dots especially in case of large font.</t>
  </si>
  <si>
    <t>https://www.loom.com/i/a41646ce221941889968a233dbce21c2</t>
  </si>
  <si>
    <t>To be decided whether to change words in the content or to have some HTML/CSS fix</t>
  </si>
  <si>
    <t>30/01/2026 - Content needs to be reduced currently available space is not sufficient for the content to be shown in large font. In case of small font, if it gets truncated even with space available that is because of the width set to 60% &amp; 80% in case of desktops &amp; ipads/tablets which needs to be removed.
23/01/2026 - The issue still persists</t>
  </si>
  <si>
    <t>UAT_CR_153</t>
  </si>
  <si>
    <t>iPads / Tablets --&gt; Other Features --&gt;Flexipay EMI --&gt; Open the drop down</t>
  </si>
  <si>
    <t>https://www.loom.com/i/ab857c3fd5df4049accb272724a1aef5</t>
  </si>
  <si>
    <t>sam as HTML</t>
  </si>
  <si>
    <t>27/02/2026 - The issue is resolved on sbi-pvt - https://loom.com/i/1ba417970e4f4e5e847f70f8286d77fe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</si>
  <si>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UAT_CR_154</t>
  </si>
  <si>
    <t>Side Bar Menu --&gt; Sub Title below the Card Title</t>
  </si>
  <si>
    <t>Each word needs to be capitalized as it is in the content</t>
  </si>
  <si>
    <t>https://www.loom.com/i/562910e1d5fa4859b109c587c23ca099</t>
  </si>
  <si>
    <t>24/02/2026 - The issue is resolved on sbi-pvt - https://loom.com/i/7fb0b268146b49699fd589dc7aeae1e1
09/02/2026 - This bug is valid as per the final content file as well. Therefore changing the status from "Hold" to "Open"
23/01/2026 - As per Namita ma'am, content is constantly getting changed therefore need to keep all the content related issues aside. Hence kept on hold.</t>
  </si>
  <si>
    <t>UAT_CR_155</t>
  </si>
  <si>
    <t>https://www.loom.com/i/d25a05b60199429196c7a7767111c28b</t>
  </si>
  <si>
    <t>UAT_CR_156</t>
  </si>
  <si>
    <t>https://www.loom.com/i/b18f7548681f4af19a8d11698d39d08f</t>
  </si>
  <si>
    <t>UAT_CR_157</t>
  </si>
  <si>
    <t>https://www.loom.com/i/1f77644eab65480abda038b9e10f970f</t>
  </si>
  <si>
    <t>UAT_CR_158</t>
  </si>
  <si>
    <t>Side Bar Menu --&gt; Best For --&gt; More button --&gt; Sentence</t>
  </si>
  <si>
    <t>The benefit sentence that appears after clicking on more button doesn't match completely with the content file.</t>
  </si>
  <si>
    <t>https://www.loom.com/i/31fd70c864654a98b04428de5905d7d1`</t>
  </si>
  <si>
    <t>09/02/2026 - Issue resolved.
23/01/2026 - As per Namita ma'am, content is constantly getting changed therefore need to keep all the content related issues aside. Hence kept on hold.</t>
  </si>
  <si>
    <t>UAT_CR_159</t>
  </si>
  <si>
    <t>Exclusive Privileges --&gt; Professional Indemnity Insurance --&gt;4th bullet point.</t>
  </si>
  <si>
    <t>It needs to be "Rs." instead of "Rrs."</t>
  </si>
  <si>
    <t>https://www.loom.com/i/3bebba6f1dcf473e8f05af468aa237e9</t>
  </si>
  <si>
    <t>UAT_CR_160</t>
  </si>
  <si>
    <t>Exclusive Privileges --&gt; Professional Indemnity Insurance --&gt; 1st bullet point.</t>
  </si>
  <si>
    <t>All across the other pages, "click here" becomes the hyperlink instead of only "here". Same should be followed here as well.</t>
  </si>
  <si>
    <t>https://www.loom.com/i/4e748316d3d74f948d9b57648760bbf6</t>
  </si>
  <si>
    <t>UAT_CR_161</t>
  </si>
  <si>
    <t>https://www.loom.com/i/e9a82053b1e8493a9c3daa1781adb81f</t>
  </si>
  <si>
    <t>UAT_CR_162</t>
  </si>
  <si>
    <t>Exclusive Privileges --&gt; Milestone Benefits --&gt; 1st bullet point</t>
  </si>
  <si>
    <t>Yatra.com can be a hyperlink. Also, space can be added between each forward slash "/" for better readability.</t>
  </si>
  <si>
    <t>https://www.loom.com/i/4e5f6886ee1e4626878ff4049f158853</t>
  </si>
  <si>
    <t>UAT_CR_163</t>
  </si>
  <si>
    <t>Exclusive Privileges --&gt; Milestone Benefits</t>
  </si>
  <si>
    <t>2nd Benefit point present in the content file is missed and need to be added.</t>
  </si>
  <si>
    <t>https://www.loom.com/i/2d454e9ab0d24a9887c4cb91f39aa7ab</t>
  </si>
  <si>
    <t>UAT_CR_164</t>
  </si>
  <si>
    <t>Exclusive Privileges --&gt; International Lounge Program  --&gt;2nd Bullet Point</t>
  </si>
  <si>
    <t>"international airport lounge" - each word needs to be capitalized as it is in the content file.</t>
  </si>
  <si>
    <t>https://www.loom.com/i/6ca429628f7242eabcb19e7cf41701c4</t>
  </si>
  <si>
    <t>UAT_CR_165</t>
  </si>
  <si>
    <t>Desktops (Above 1500px width)</t>
  </si>
  <si>
    <t>Exclusive Privileges --&gt; Desktops (Above 1500px width) --&gt; Professional Indemnity Insurance</t>
  </si>
  <si>
    <t>In case of desktops above 1500px width, lengthy card titles like - "Professional Indemnity Insurance" get truncated when the font size is increased.</t>
  </si>
  <si>
    <t>https://www.loom.com/i/848358d5b1c2478d9280e112327d4cc0</t>
  </si>
  <si>
    <t>UAT_CR_166</t>
  </si>
  <si>
    <t>Exclusive Privileges --&gt; Desktops (Above 1500px width) --&gt; International Lounge Program</t>
  </si>
  <si>
    <t>In case of desktops above 1500px width, lengthy card title like - "International Lounge Program" doesn't get the margin gap on the left side of the container. The card content also doesn't follow margin gap in case of some small screen desktops or ipads.</t>
  </si>
  <si>
    <t>https://www.loom.com/i/41b1059ca95e44538b4d327ec989bd31</t>
  </si>
  <si>
    <t>23/02/2026 - The issue is resolved on devsit1 - https://loom.com/i/64fba99ce3284c13bd37a3c11f9556c4
13/02/2026 - The issue is resolved on HTML v50 - 1</t>
  </si>
  <si>
    <t>UAT_CR_167</t>
  </si>
  <si>
    <t>Exclusive Privileges --&gt; Fuel Surcharge Waiver</t>
  </si>
  <si>
    <t>2nd bullet point present in the content file for Fuel Surcharge Waiver is missing.</t>
  </si>
  <si>
    <t>https://www.loom.com/i/871af47834a84b91accbd03fe4105dfc</t>
  </si>
  <si>
    <t>UAT_CR_168</t>
  </si>
  <si>
    <t>Exclusive Privileges --&gt; Domestic Airport Lounge" --&gt; 1st Bullet Point.</t>
  </si>
  <si>
    <t>"domestic airport lounge" needs to be capitalized</t>
  </si>
  <si>
    <t>https://www.loom.com/i/0bdaf97e04454c2c85481287e65a3568</t>
  </si>
  <si>
    <t>UAT_CR_169</t>
  </si>
  <si>
    <t>https://www.loom.com/i/f560b484cfa041379fe94958c5b77049</t>
  </si>
  <si>
    <t>UAT_CR_170</t>
  </si>
  <si>
    <t>Explore Rewards --&gt; Reward Points --&gt; 2nd Bullet Point</t>
  </si>
  <si>
    <t>"i.e. 1st July" needs to be removed as it is not in the content file.</t>
  </si>
  <si>
    <t>https://www.loom.com/i/943a31911432400cbef657ae40414f8f</t>
  </si>
  <si>
    <t>UAT_CR_171</t>
  </si>
  <si>
    <t>Explore Rewards --&gt; Milestone Benefits --&gt; 1st Bullet Point</t>
  </si>
  <si>
    <t>The 1st Bullet point doesn't match with the content file.</t>
  </si>
  <si>
    <t>https://www.loom.com/i/7c168baf2e6246c18e8c325e5b1af158</t>
  </si>
  <si>
    <t>UAT_CR_172</t>
  </si>
  <si>
    <t>https://www.loom.com/i/afd68fa9698340cd9d9f632f52f358cf</t>
  </si>
  <si>
    <t>23/01/2026 - The Bar &amp; benefits appear in the "Reward Points" tab instead of "Milestone Privileges" tab - https://loom.com/i/efa51e0f7a9e4f12b5932a6e5c2cccce</t>
  </si>
  <si>
    <t>UAT_CR_173</t>
  </si>
  <si>
    <t>Fees &amp; Charges --&gt; FAQ --&gt; 1st &amp; 2nd Questions' Answers</t>
  </si>
  <si>
    <t>The 1st &amp; 2nd Questions' answers are incorrect.</t>
  </si>
  <si>
    <t>https://www.loom.com/i/b5e037d03c7e476c9b30fe497e7c1c58</t>
  </si>
  <si>
    <t>UAT_CR_174</t>
  </si>
  <si>
    <t>iPads / Tablets --&gt; Other Features --&gt;Contactless Advantages --&gt; Open the drop down</t>
  </si>
  <si>
    <t>https://www.loom.com/i/151d7cb3698e4eefb48fa759f0b3c48b</t>
  </si>
  <si>
    <t>27/02/2026 - The issue is resolved on sbi-pvt - https://loom.com/i/4ea57c96410b4141adf7e7bf103a83b1
25/02/2026 - The issue is resolved on devsit1 but as it is a creatives bug and not UI, therefore can only close once this gets closed on PVT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</si>
  <si>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UAT_CR_175</t>
  </si>
  <si>
    <t>https://www.loom.com/i/5568866abcff41be997db8498a125fcc</t>
  </si>
  <si>
    <t>09/02/2026 - Both the bullet points do not have the word "Please" but as discussed with Vijeta one time, it can be ignored if the sentence miss any word that doesn't effect the meaning of the sentence a slightest bit. Therefore closing this issue.
23/01/2026 - As per Namita ma'am, content is constantly getting changed therefore need to keep all the content related issues aside. Hence kept on hold.</t>
  </si>
  <si>
    <t>UAT_CR_176</t>
  </si>
  <si>
    <t>https://www.loom.com/i/2e9d0f912b2a49dfae91fd0bb613d7a5</t>
  </si>
  <si>
    <t>UAT_CR_177</t>
  </si>
  <si>
    <t>Other Features --&gt; Contactless Advantages --&gt;Tap &amp; Pay with Ease</t>
  </si>
  <si>
    <t>"in association with IMA" in the bracket needs to be removed as it is not the Doctor's card in association with IMA</t>
  </si>
  <si>
    <t>https://www.loom.com/i/542d62144eec456cb955e353024b2919</t>
  </si>
  <si>
    <t>UAT_CR_178</t>
  </si>
  <si>
    <t>Other Features --&gt; Flexipay EMI --&gt;3rd Bullet Point</t>
  </si>
  <si>
    <t>Word "EMI" is missing from the bullet point.</t>
  </si>
  <si>
    <t>https://www.loom.com/i/9a9d5c5fe3d54b4490a17492fd653fb6</t>
  </si>
  <si>
    <t>UAT_CR_179</t>
  </si>
  <si>
    <t>https://www.loom.com/i/a107035ddd0f48299a764b54682df3c3</t>
  </si>
  <si>
    <t>06/02/2026 - Have been asked to verify this issue on PVT now and the card specific banner image is uploaded there. If any specifc issue found in the image, will log a new bug as advised by Neha ma'am
23/01/2026 - The issue still persists -  https://loom.com/i/6d5186ca422f4c189bbc4cff5c354e06</t>
  </si>
  <si>
    <t>UAT_CR_180</t>
  </si>
  <si>
    <t>https://www.loom.com/i/2a0d29f334794e1fb837078bee21eb5c</t>
  </si>
  <si>
    <t>06/02/2026 - Have been asked to verify this issue on PVT now and the card specific banner image is uploaded there. If any specifc issue found in the image, will log a new bug as advised by Neha ma'am
23/01/2026 - The issue still persists - https://loom.com/i/e6cfcbb3a9044acfad0c68b17982a5a8</t>
  </si>
  <si>
    <t>UAT_CR_181</t>
  </si>
  <si>
    <t>Side Bar Menu --&gt; Card Title</t>
  </si>
  <si>
    <t>Instead of "In Association with IMA" in the card title, it should simply be "IMA" in the bracket.</t>
  </si>
  <si>
    <t>https://www.loom.com/i/122f45ec960148658890353fd33baecf</t>
  </si>
  <si>
    <t>09/02/2026 - As per the final content file, the card's name is written in full therefore this bug is not valid. Hence closing.
23/01/2026 - As per Namita ma'am, content is constantly getting changed therefore need to keep all the content related issues aside. Hence kept on hold.</t>
  </si>
  <si>
    <t>UAT_CR_182</t>
  </si>
  <si>
    <t>https://www.loom.com/i/cbb9bfa406c647b0aea7665b66bc7fca</t>
  </si>
  <si>
    <t>06/02/2026 - Have been asked to verify this issue on PVT now and the card specific banner image is uploaded there. If any specifc issue found in the image, will log a new bug as advised by Neha ma'am
23/01/2026 - The issue still persists - https://loom.com/i/0cc64fdcc4ca42619770fef8df4c4423</t>
  </si>
  <si>
    <t>UAT_CR_183</t>
  </si>
  <si>
    <t>Side Bar Menu --&gt; Best For --&gt; "Cashback Benefits", "Contactless"</t>
  </si>
  <si>
    <t>Words "Cashback Benefits", "Contactless" being  9 alphabets get truncated with 3 dots at the end especially  in case user increase the font size.</t>
  </si>
  <si>
    <t>https://www.loom.com/i/e31b7adfb13a475fabd565b8b8913c52</t>
  </si>
  <si>
    <t>UAT_CR_184</t>
  </si>
  <si>
    <t>Exclusive Privileges --&gt; Welcome Benefits --&gt; 1st Bullet Points</t>
  </si>
  <si>
    <t>Word "Flipkart" needs to be capitalized</t>
  </si>
  <si>
    <t>https://www.loom.com/i/bce9d88cca2c4b59b594e19f68021a74</t>
  </si>
  <si>
    <t>09/02/2026 - Issue resolved now. No longer occuring.
23/01/2026 - As per Namita ma'am, content is constantly getting changed therefore need to keep all the content related issues aside. Hence kept on hold.</t>
  </si>
  <si>
    <t>UAT_CR_185</t>
  </si>
  <si>
    <t>Exclusive Privileges --&gt; Speed Based Renewal --&gt; 1st Bullet Points</t>
  </si>
  <si>
    <t>Instead of "3.5 Lakh" it needs to be "3.5 Lakhs"</t>
  </si>
  <si>
    <t>https://www.loom.com/i/6d5bb28b9b6b49608f066c7893f7419b</t>
  </si>
  <si>
    <t>UAT_CR_186</t>
  </si>
  <si>
    <t>Exclusive Privileges --&gt; Welcome Benefits &amp; Card Cashback</t>
  </si>
  <si>
    <t>Welcome Benefits &amp; "Card Cashback" card icons do not match with the content file.</t>
  </si>
  <si>
    <t>https://www.loom.com/i/2c4adae353f747698e7a336e64ff7896</t>
  </si>
  <si>
    <t>27/02/2026 - As per the icon library received, these icons are correct on sbi-pvt. Therefore closing the issue.
23/01/2026 - As per Namita ma'am, content is getting changed constantly, need to keep the issues on hold until content gets finalized</t>
  </si>
  <si>
    <t>UAT_CR_187</t>
  </si>
  <si>
    <t>Fees &amp; Charges --&gt; Fees &amp; Charges --&gt; Fees --&gt; 2nd Bullet Point</t>
  </si>
  <si>
    <t>It needs to be "year" instead of "yar"</t>
  </si>
  <si>
    <t>https://www.loom.com/i/ad57d24456b44c2d85186ae70c68b398</t>
  </si>
  <si>
    <t>UAT_CR_188</t>
  </si>
  <si>
    <t>Fees &amp; Charges --&gt; Fees &amp; Charges --&gt;1st Bullet point</t>
  </si>
  <si>
    <t>The word "Card" after "Add-on" is missing</t>
  </si>
  <si>
    <t>https://www.loom.com/i/d8dca39d16c24631834c651e1bd2dffa</t>
  </si>
  <si>
    <t>UAT_CR_189</t>
  </si>
  <si>
    <t>https://www.loom.com/i/20117722017c4e569d3994476cf53d1a</t>
  </si>
  <si>
    <t>UAT_CR_190</t>
  </si>
  <si>
    <t>Other Features --&gt; Balance Transfer on EMI --&gt; 2nd Bullet Point</t>
  </si>
  <si>
    <t>Instead of "SBI Card PRIME" it should be "Flipkart SBI Card"</t>
  </si>
  <si>
    <t>https://www.loom.com/i/90a4647021bb4d7c873f447fa8377dab</t>
  </si>
  <si>
    <t>UAT_CR_191</t>
  </si>
  <si>
    <t>Other Features --&gt; Contactless Advantages --&gt; 1st Bullet Point</t>
  </si>
  <si>
    <t>It should be "Flipkart SBI Card" instead of "Etihad Guest SBI Card</t>
  </si>
  <si>
    <t>https://www.loom.com/i/5a5f90848ea14527874b827fb6cf5860</t>
  </si>
  <si>
    <t>UAT_CR_192</t>
  </si>
  <si>
    <t>Other Features --&gt; iPads/Tablets --&gt; Contactless Advantages --&gt; Expand the drop down</t>
  </si>
  <si>
    <t>https://www.loom.com/i/045c5964877f45fea472c902f2103bc2</t>
  </si>
  <si>
    <t>25/02/2026 - As a consolidated bug regarding all rewards category is already logged and open - UAT_CR_197 therefore closing this issue.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</si>
  <si>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UAT_CR_193</t>
  </si>
  <si>
    <t>Exclusive Privileges --&gt; Mobile View --&gt; Card Cashback</t>
  </si>
  <si>
    <t>https://www.loom.com/i/6a70acfa1afa40f0908a3643efdd2517</t>
  </si>
  <si>
    <t>UAT_CR_194</t>
  </si>
  <si>
    <t>https://www.loom.com/i/1c3b4443261b438a8721135abf66332d</t>
  </si>
  <si>
    <t>06/02/2026 - Have been asked to verify this issue on PVT now and the card specific banner image is uploaded there. If any specifc issue found in the image, will log a new bug as advised by Neha ma'am
23/01/2026 - The issue still persists - https://loom.com/i/89a919dd28c64470b7cb698ad17bfec8</t>
  </si>
  <si>
    <t>UAT_CR_195</t>
  </si>
  <si>
    <t>Word "Milestone" being  9 alphabets gets truncated with 3 dots at the end especially  in case user increase the font size.</t>
  </si>
  <si>
    <t>https://www.loom.com/i/9511df6db9e745cfa48a1f8ec98e79ee</t>
  </si>
  <si>
    <t>UAT_CR_196</t>
  </si>
  <si>
    <t>Exclusive Privileges --&gt; Desktops (Above 1500px width) --&gt; Exclusive Milestone Benefits, Fuel Surcharge Waiver</t>
  </si>
  <si>
    <t>In case of desktops above 1500px width, lengthy card titles like - "Exclusive Milestone Benefits" , "Fuel Surcharge Waiver" get truncated when the font size is largest or the smallest.</t>
  </si>
  <si>
    <t>https://www.loom.com/i/dd4805c0c3dd44c58f2d54be8f60bd80</t>
  </si>
  <si>
    <t>UAT_CR_197</t>
  </si>
  <si>
    <t>All Rewards Category Cards</t>
  </si>
  <si>
    <t>iPads / Tablets --&gt; Other Features --&gt;Contactless Advantages, Flexipay EMI --&gt; Open the drop down</t>
  </si>
  <si>
    <t>https://www.loom.com/i/32fc065e3128428fa00d15a96a37e2cf</t>
  </si>
  <si>
    <t>12/03/2026 - Issue resolved on sbi-pvt (on UAT Discussion Call itself) - https://loom.com/i/b97dd4b2454c40d7acab612aa2ecc625
https://loom.com/i/e498465d086f43c6b5a270da8226ebb1
27/02/2026 - Instead of the new image without the blue gradiance background being used, the old image is still used. As a result, text and image overlap for the following pages - Ola Money, PhonePe SBI Card Purple, PhonePe SBI Card Select Black
https://loom.com/i/97a991fda0514f24bd1b8e5b2b76063a
25/02/2026 - The image size is incorrect, new images (small ones) provided are of resolution 701 x 613px but these images are - 987 x 888px
13/02/2026 - The issue still not resolved on HTML v50 - 1 https://loom.com/i/0578408f38164
28/01/2026 - As raised by the team, issue also occurs on the benchmark HTML therefore changing its marking from reopen to open and tagging from Layout to HTML/CSS
23/01/2026 - The issue still persists</t>
  </si>
  <si>
    <t>UAT_CR_198</t>
  </si>
  <si>
    <t>Exclusive Privileges --&gt; Mobile View --&gt; PhonePe Rewards</t>
  </si>
  <si>
    <t>https://www.loom.com/i/67e7b4e1577543d8b858f290927230fd</t>
  </si>
  <si>
    <t>UAT_CR_199</t>
  </si>
  <si>
    <t>https://www.loom.com/i/ca3db6cecca34145a1252f813aeac75a</t>
  </si>
  <si>
    <t>Prince</t>
  </si>
  <si>
    <t>23/02/2026 - The issue is resoled on devsit1 - 
https://loom.com/i/74badb14668e4c1089e806824c6df7e1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t>
  </si>
  <si>
    <t>UAT_CR_200</t>
  </si>
  <si>
    <t>Side Bar Menu --&gt; Card Title --&gt; Sub Title Sentence.</t>
  </si>
  <si>
    <t>Card Sub-title sentence needs to have words capitalized (except for filler word). Also, the word "Spends" is missing at the end.</t>
  </si>
  <si>
    <t>https://www.loom.com/i/85cd3a1e198447e9867eeb5fe2c4b7df</t>
  </si>
  <si>
    <t>05/03/2026 - The word "spends" is still not capitalized - https://www.loom.com/i/31500c7e0bd74567af7b473570d23599
27/02/2026 - The issue still exists when checked with the latest content file therefore this issue remains open.
23/01/2026 - As per Namita ma'am, content is constantly getting changed therefore need to keep all the content related issues aside. Hence kept on hold.</t>
  </si>
  <si>
    <t>UAT_CR_201</t>
  </si>
  <si>
    <t>Key Benefits --&gt; 2nd Benefit point --&gt; Text Sentence</t>
  </si>
  <si>
    <t>The word "eligible" should not be present as per the content file</t>
  </si>
  <si>
    <t>https://www.loom.com/i/99e6be4024774a0d85040de013d540ae</t>
  </si>
  <si>
    <t>UAT_CR_202</t>
  </si>
  <si>
    <t>Exclusive Privileges --&gt; Welcome Benefits --&gt; Icon</t>
  </si>
  <si>
    <t>The "Welcome Benefits" icon is incorrect.</t>
  </si>
  <si>
    <t>https://www.loom.com/i/23a6b56d4ee24ef4ba18f49c40efae00</t>
  </si>
  <si>
    <t>27/02/2026 - The issue is resolved on sbi-pvt when checked as per the latest icon library.
23/01/2026 - As per Namita ma'am, content is constantly getting changed therefore need to keep all the content related issues aside which includes icons as well according to Arun sir. Hence kept on hold.</t>
  </si>
  <si>
    <t>UAT_CR_203</t>
  </si>
  <si>
    <t>Explore Benefits --&gt; Exclusive Milestone Benefits --&gt; 1st Bullet Point</t>
  </si>
  <si>
    <t>word "voucher" needs to be capitalized and "lakh" need to be "lakhs"</t>
  </si>
  <si>
    <t>https://www.loom.com/i/c7a99a82ab8b4633a25c3d35677beacd</t>
  </si>
  <si>
    <t>UAT_CR_204</t>
  </si>
  <si>
    <t>Explore Rewards --&gt; Exclusive Milestone Benefits --&gt; Reward benefit Bar &amp; Reward Points text on the image</t>
  </si>
  <si>
    <t>https://www.loom.com/i/57efb2d0848e424baf29c1f516026ae8</t>
  </si>
  <si>
    <t>https://www.loom.com/i/9fac12dfd9944b81b5013896ef83d58e</t>
  </si>
  <si>
    <t>23/01/2026 - The Bar &amp; Benefits appear in the "PhonePe Rewards" tab instead of "Milestone Rewards" https://loom.com/i/b784916dcd724b428ac2e47ce0d2e38d</t>
  </si>
  <si>
    <t>UAT_CR_205</t>
  </si>
  <si>
    <t>Fees &amp; Charges --&gt; Fee --&gt; 2nd &amp; 3rd Bullet Point</t>
  </si>
  <si>
    <t>"from second year onwards" is missing from the 2nd Bullet Point. Word "Card" is missing in the 3rd Bullet Point.</t>
  </si>
  <si>
    <t>https://www.loom.com/i/883c98fc0b85469a99382ee4a1a1aeea</t>
  </si>
  <si>
    <t>UAT_CR_206</t>
  </si>
  <si>
    <t>Other Features --&gt; Cash Access Across the World --&gt; Visa / Mastercard / American Express</t>
  </si>
  <si>
    <t>Space before &amp; after each forward slash "/" can be added for better readability</t>
  </si>
  <si>
    <t>https://www.loom.com/i/46e7b602077a4bc39f8de45c9685c57e</t>
  </si>
  <si>
    <t>UAT_CR_207</t>
  </si>
  <si>
    <t>https://www.loom.com/i/1268a6f953da4c9ab309758d6c11a723</t>
  </si>
  <si>
    <t>06/02/2026 - Have been asked to verify this issue on PVT now and the card specific banner image is uploaded there. If any specifc issue found in the image, will log a new bug as advised by Neha ma'am
23/01/2026 - The issue still persists - https://loom.com/i/f7af6d1bdca14101b082f60c3d2b0502</t>
  </si>
  <si>
    <t>UAT_CR_208</t>
  </si>
  <si>
    <t>Terms &amp; Documents --&gt; All 4 Tabs</t>
  </si>
  <si>
    <t>Each tab background fill is not white but greyish in the design. Check the actual vs expected result screenshot.</t>
  </si>
  <si>
    <t>https://www.loom.com/i/073c445aee89416ba30a797f25ee27a4</t>
  </si>
  <si>
    <t>https://www.loom.com/i/c94e2e1fe4d74817962e8a1a08bb8670</t>
  </si>
  <si>
    <t>09/02/2026 - As discussed with the Designer, the grey colour used in the design is a mistake and the white colour used in the HTML is correct. Therefore closing this issue.
06/02/2026 - Maybe designer intentionally kept the bg fill different in case of dark theme.</t>
  </si>
  <si>
    <t>UAT_CR_209</t>
  </si>
  <si>
    <t>Other Features --&gt; Line Separator below each drop down</t>
  </si>
  <si>
    <t>The line separator colour needs to be "#445675" instead of dark grey in order to be more visible and match with design.</t>
  </si>
  <si>
    <t>https://www.loom.com/i/91e2c52e198249c98603b31302292c8f</t>
  </si>
  <si>
    <t>https://www.loom.com/i/b6750f6e45bb47c2aefac506d5c411f4</t>
  </si>
  <si>
    <t>20/02/2026 - The issue is resolved on devsit1 - https://www.loom.com/i/9669b453062e463b8352adeea55bff80
13/02/2026 - The issue is resolved on HTML v50 - 1 - https://loom.com/i/b6707563271d4c8e8312c0a19db3ac71
09/02/2026 - As the issue also occurs in the HTML/CSS benchmark therefore changing the tagging to HTML/CSS
23/01/2026 - The issue still persists</t>
  </si>
  <si>
    <t>UAT_CR_210</t>
  </si>
  <si>
    <t>Exclusive Privileges, Product Videos --&gt; Slider Dots</t>
  </si>
  <si>
    <t>Different slider dot styles are being followed - "Similar Cards" section slider style matches the design but the "Exclusive Privileges" &amp; "Product Video" section slider follow different style.</t>
  </si>
  <si>
    <t>https://www.loom.com/i/91bbdb9f2c03457297bd9111979bb0ea</t>
  </si>
  <si>
    <t>https://www.loom.com/i/f6d03e12268c49c7bfe55b35b6ec2f9f</t>
  </si>
  <si>
    <t>23/02/2026 - The issue is resolved on devsit1 - https://www.loom.com/i/7bf7c2c6846144c0afc7e2393a581c4a
13/02/2026 - The issue is resolved on HTML v50 - 1</t>
  </si>
  <si>
    <t>UAT_CR_211</t>
  </si>
  <si>
    <t>Exclusive Privileges --&gt; Desktops (Above 1500px width) --&gt; Exclusive Milestones, International Lounge, Domestic Lounge, Exclusive Milestones, Fuel Surcharge Waiver</t>
  </si>
  <si>
    <t>In case of desktops above 1500px width, lengthy card titles like - Exclusive Milestones, International Lounge, Domestic Lounge, Exclusive Milestones, Fuel Surcharge Waiver get truncated when the font size is largest or the smallest.</t>
  </si>
  <si>
    <t>https://www.loom.com/i/c6103de0685645efa6a8d4ae4f01bd44</t>
  </si>
  <si>
    <t>UAT_CR_212</t>
  </si>
  <si>
    <t>Side Bar Menu --&gt; Best For --&gt; Exclusive Milestone Benefits, PhonePe Rewards</t>
  </si>
  <si>
    <t>Words "Exclusive Milestone" being  9 alphabets get truncated with 3 dots at the end especially  in case user increase the font size.  "PhonePe Rewards" also gets truncated in case of iPads / Tablets - Large font</t>
  </si>
  <si>
    <t>https://www.loom.com/i/059ffaa087a748799f80982b4c1c7b2c</t>
  </si>
  <si>
    <t>UAT_CR_213</t>
  </si>
  <si>
    <t>Key Benefits --&gt; iPads / Tablets --&gt; 3rd Benefit</t>
  </si>
  <si>
    <t>The 3rd benefit - "Complimentary membership to Priority Pass Program worth $99" gets truncated at the end of the sentence in case of iPads / Tablet if the font is set to large.</t>
  </si>
  <si>
    <t>https://www.loom.com/i/bb73be98a6274f11bd46af9dec1a7aa8</t>
  </si>
  <si>
    <t>UAT_CR_214</t>
  </si>
  <si>
    <t>Side Bar Menu --&gt; Card Image Size</t>
  </si>
  <si>
    <t>In case of mobile phones, the card image size appears larger than required. Check the actual vs expected result or compare it with other card pages.</t>
  </si>
  <si>
    <t>https://www.loom.com/i/892118fc72584bfdaee5c731f6dc327d</t>
  </si>
  <si>
    <t>https://www.loom.com/i/bda96027a2e04544bfcf93b4fc99f16d</t>
  </si>
  <si>
    <t>UAT_CR_215</t>
  </si>
  <si>
    <t>https://www.loom.com/i/32f1d055d8064a2c98d8f53ab4fd796b</t>
  </si>
  <si>
    <t>https://www.loom.com/i/51bce9bf93de4ffaa0e6af262fba09ea</t>
  </si>
  <si>
    <t>23/02/2026 - The issue is resolved on devsit1 - https://loom.com/i/3730ba67dce54060b2ab4a4ae86f80ea
13/02/2026 - Issue is resolved on HTML v50 - 1 https://loom.com/i/485e4f6c73a94386991fc08063cb4911
09/02/2026 - As the issue also occurs in the HTML/CSS benchmark therefore changing the tagging to HTML/CSS
23/01/2026 - The issue still persists</t>
  </si>
  <si>
    <t>UAT_CR_216</t>
  </si>
  <si>
    <t>The border after the slider dots is not required and the padding needs to be reduced from the bottom and increased from the top  to match with the design.</t>
  </si>
  <si>
    <t>https://www.loom.com/i/f5fd35603956484aab55b98fd82c05cf</t>
  </si>
  <si>
    <t>https://www.loom.com/i/760d0bed6bc740c0b85263c0ed67847e</t>
  </si>
  <si>
    <t>23/02/2026 - The issue is resoled on devsit1 - 
https://loom.com/i/d8f5f6c49da9423ca9e4f66a74fde32f
Gap above the slider dots may feel slightly less when compared with gap below it but as discussed with Bharat, slider dots are set at relative position of the parent container and it should not be tweaked until its absolutely problematic therefore closing the issue. Will fix it if received as a feedback to absolutely fix it.
13/02/2026 - The issue is resolved on HTML v50 -1 - https://loom.com/i/5ffa0f77df3548ebbbf30c1a7f28dbe5
09/02/2026 - As the issue also occurs in the HTML/CSS benchmark therefore changing the tagging to HTML/CSS
23/01/2026 - The issue still persists</t>
  </si>
  <si>
    <t>UAT_CR_217</t>
  </si>
  <si>
    <t>Terms &amp; Documents --&gt; Mobile View --&gt; Arrow Icon colour</t>
  </si>
  <si>
    <t>The Arrow icon colour needs to match the font colour in order to be as per the design and to be more visible.</t>
  </si>
  <si>
    <t>https://www.loom.com/i/3a21c6c1364e44fb87143e3613d8470a</t>
  </si>
  <si>
    <t>https://www.loom.com/i/fea2475112454db68cfcea3a385fb1a3</t>
  </si>
  <si>
    <t>23/01/2026 - The issue still persists</t>
  </si>
  <si>
    <t>UAT_CR_218</t>
  </si>
  <si>
    <t>Key Benefits --&gt; 3rd Benefit Point</t>
  </si>
  <si>
    <t>The 3rd Benefit point is incorrect and doesn't match the content file.</t>
  </si>
  <si>
    <t>https://www.loom.com/i/46bf133089e5464b9f828551d169dc94</t>
  </si>
  <si>
    <t>05/03/2026 - The strike-through words need to be removed from the sentence - https://www.loom.com/i/02bec349ac5443f8bdafdee8624eea3d
27/02/2026 - As per the latest content file, the 3rd bullet point should be "Priority Pass Program Membership worth $99"
23/01/2026 - As per Namita ma'am, content is constantly getting changed therefore need to keep all the content related issues aside. Hence kept on hold.</t>
  </si>
  <si>
    <t>UAT_CR_219</t>
  </si>
  <si>
    <t>Exclusive Privileges --&gt; Welcome Benefits --&gt; 1st Bullet point</t>
  </si>
  <si>
    <t>It needs to be "e-Gift Card" instead of "gift card", "Rs. 1,500" instead of "Rs. 500" and "T&amp;Cs" instead of "T&amp;C"</t>
  </si>
  <si>
    <t>https://www.loom.com/i/bb66ac7a38504cd78010dc5faf0e3af4</t>
  </si>
  <si>
    <t>27/02/2026 - Issue resolved on sbi-pvt.
23/02/2026 - As per Namita ma'am, content is constantly getting changed therefore need to keep all the content related issues aside. Hence kept on hold.</t>
  </si>
  <si>
    <t>UAT_CR_220</t>
  </si>
  <si>
    <t>Desktops, iPads, Tablets</t>
  </si>
  <si>
    <t>Exclusive Privileges --&gt; + button --&gt; More button --&gt; Pop-up Modal</t>
  </si>
  <si>
    <t>The pop-up modal also needs have the dark theme instead of being similar to the light theme.</t>
  </si>
  <si>
    <t>https://www.loom.com/i/74619c88c0b84a82a1e4c9cf3ed237b1</t>
  </si>
  <si>
    <t>23/02/2026 - The issue is resolved on devsit1 - https://loom.com/i/9ef189cd0dc84ff88de53dfe4a064598
13/02/2026 - The issue is resolved on HTML v50 - 1</t>
  </si>
  <si>
    <t>UAT_CR_221</t>
  </si>
  <si>
    <t>Exclusive Privileges --&gt; Exclusive Milestone Benefits --&gt; 1st Bullet Point.</t>
  </si>
  <si>
    <t>It should be "e-Voucher" instead of "voucher", "Rs. 5,000" instead of "Rs. 3,000" and "Rs. 5 lakhs" instead of "Rs. 3 lakhs"</t>
  </si>
  <si>
    <t>https://www.loom.com/i/68bcd424fa714fc0b4b6bd1057e960d9</t>
  </si>
  <si>
    <t>27/02/2026 - Issue resolved on sbi-pvt.
23/01/2026 - As per Namita ma'am, content is constantly getting changed therefore need to keep all the content related issues aside. Hence kept on hold.</t>
  </si>
  <si>
    <t>UAT_CR_222</t>
  </si>
  <si>
    <t>Exclusive Privileges --&gt; Welcome Benefits, PhonePe Rewards</t>
  </si>
  <si>
    <t>The icons used for Welcome Benefits, PhonePe Rewards cards are incorrect.</t>
  </si>
  <si>
    <t>https://www.loom.com/i/5f862b06c5cc4ffba61019d81f50754d</t>
  </si>
  <si>
    <t>27/02/2026 - The issue is still not resolved for "PhonePe Rewards" icon - https://www.loom.com/i/7cb571121f4547e5b1cf90508ce0cf83
23/01/2026 - As per Namita ma'am, content is constantly getting changed therefore need to keep all the content related issues aside which includes icons as well according to Arun sir. Hence kept on hold.</t>
  </si>
  <si>
    <t>UAT_CR_223</t>
  </si>
  <si>
    <t>Exclusive Privileges --&gt; Annual Fee Reversal</t>
  </si>
  <si>
    <t>Instead of "Rs. 1 lakh" it needs to be "Rs. 3 lakhs"</t>
  </si>
  <si>
    <t>https://www.loom.com/i/d0240298db6d44ea8c81b134d2b3b8b9</t>
  </si>
  <si>
    <t>27/02/2026 - Issue is resolved on sbi-pvt
As per Namita ma'am, content is constantly getting changed therefore need to keep all the content related issues aside. Hence kept on hold.</t>
  </si>
  <si>
    <t>UAT_CR_224</t>
  </si>
  <si>
    <t>It needs to be "Rs. 4,000" instead of "Rs. 3,000"</t>
  </si>
  <si>
    <t>https://www.loom.com/i/6809a6214730494eb4f424155d981946</t>
  </si>
  <si>
    <t>UAT_CR_225</t>
  </si>
  <si>
    <t>https://www.loom.com/i/0ea088638d5b426aacf6ced4efb7991e</t>
  </si>
  <si>
    <t>UAT_CR_226</t>
  </si>
  <si>
    <t>https://www.loom.com/i/71c87ed6cc0844b9b36925c89889c4cf</t>
  </si>
  <si>
    <t>https://www.loom.com/i/27efca44dffd4d73a7a8c2d626aef705</t>
  </si>
  <si>
    <t>23/01/2026 - The issue still persists - https://loom.com/i/c3d460a4f52a4c148b592bb8ccae0a06</t>
  </si>
  <si>
    <t>UAT_CR_227</t>
  </si>
  <si>
    <t>Explore Rewards --&gt; Exclusive Milestone Benefits --&gt; 2nd Bullet Point</t>
  </si>
  <si>
    <t>2nd Bullet point is not present in the content file. Hence, need to be removed.</t>
  </si>
  <si>
    <t>https://www.loom.com/i/3f6bae8ffdd14c4a898d28a947764981</t>
  </si>
  <si>
    <t>UAT_CR_228</t>
  </si>
  <si>
    <t>Fee &amp; Charges --&gt; Fees --&gt; 2nd &amp; 3rd Bullet Points</t>
  </si>
  <si>
    <t>https://www.loom.com/i/53ed3b0e7fcb4e74a4f7b336eba1c544</t>
  </si>
  <si>
    <t>UAT_CR_229</t>
  </si>
  <si>
    <t>Fees &amp; charges --&gt; Annual Fee &amp; Renewal Fee</t>
  </si>
  <si>
    <t>"+" symbol appears twice instead of appearing once</t>
  </si>
  <si>
    <t>https://www.loom.com/i/33e12aa3eb2d41c9a3c2469589bc8b70</t>
  </si>
  <si>
    <t>27/02/2026 = The issue is resolved on sbi-pvt
23/01/2026 - As per Namita ma'am, content is constantly getting changed therefore need to keep all the content related issues aside. Hence kept on hold.</t>
  </si>
  <si>
    <t>UAT_CR_230</t>
  </si>
  <si>
    <t>Fees &amp; Charges --&gt; FAQ --&gt; 2nd Question</t>
  </si>
  <si>
    <t>The word "international" needs to be capitalized</t>
  </si>
  <si>
    <t>https://www.loom.com/i/9055c8e9a6454f37986c87ed0f725906</t>
  </si>
  <si>
    <t>27/02/2026 - As per the latest content file, the word "international" is not capitalized therefore this bug is no longer valid. Hence resolving.
23/01/2026 - As per Namita ma'am, content is constantly getting changed therefore need to keep all the content related issues aside. Hence kept on hold.</t>
  </si>
  <si>
    <t>UAT_CR_231</t>
  </si>
  <si>
    <t>Other Features --&gt; Cash Access Across the World --&gt; Drop down --&gt; Bullet Point</t>
  </si>
  <si>
    <t>Need to check with the content team why "Visa / Mastercard / American Express" is not mentioned in the content file because it seems right that the author has included it in the website.</t>
  </si>
  <si>
    <t>https://www.loom.com/i/e56455163bc14e9b96b175ff4f1650c1</t>
  </si>
  <si>
    <t>05/03/2026 - "Visa/Mastercard/American Express " needs to be removed from the bullet point - https://www.loom.com/i/684968fa1c1a486d8fc02084362ae83b
27/02/2026 - As per the latest content file, the text "Visa/Mastercard/American Express" should not be present in the bullet point.
23/01/2026 - As per Namita ma'am, content is constantly getting changed therefore need to keep all the content related issues aside. Hence kept on hold.</t>
  </si>
  <si>
    <t>UAT_CR_232</t>
  </si>
  <si>
    <t>Product Video section --&gt; Videos</t>
  </si>
  <si>
    <t>All Product Video have the same title and only 1 of the link works. Content file doesn't mention the number of videos and the title or thumbnail they should have</t>
  </si>
  <si>
    <t>https://www.loom.com/i/ce18e01a8c1b4fdb94eb26d73176756b</t>
  </si>
  <si>
    <t>As per Namita ma'am, content is constantly getting changed therefore need to keep all the content related issues aside. Hence kept on hold.</t>
  </si>
  <si>
    <t>UAT_CR_233</t>
  </si>
  <si>
    <t>All Product Video have the same title. Content file doesn't mention the number of videos and the title or thumbnail they should have</t>
  </si>
  <si>
    <t>https://www.loom.com/i/55d0616e7c274de7bb52e701fc7fa54d</t>
  </si>
  <si>
    <t>09/02/2026 - The video content like URLs, thumbnails &amp; title are not shared in the final content file yet.
23/01/2026 - As per Namita ma'am, content is constantly getting changed therefore need to keep all the content related issues aside. Hence kept on hold.</t>
  </si>
  <si>
    <t>UAT_CR_234</t>
  </si>
  <si>
    <t>https://www.loom.com/i/69bf5022614d4b7db46306f0f658bbcb</t>
  </si>
  <si>
    <t>UAT_CR_235</t>
  </si>
  <si>
    <t>All Product Video has "SBI Card Prime" as title instead of "SBI Card Pulse". Content file doesn't mention the number of videos and the title or thumbnail they should have</t>
  </si>
  <si>
    <t>https://www.loom.com/i/18897e5fe0914e7e9f98529ae7b595d7</t>
  </si>
  <si>
    <t>09/02/2026 - The videos, their title, thumbnail are not yet received in the final content file.
23/01/2026 - As per Namita ma'am, content is constantly getting changed therefore need to keep all the content related issues aside. Hence kept on hold.</t>
  </si>
  <si>
    <t>UAT_CR_236</t>
  </si>
  <si>
    <t>https://www.loom.com/i/88ae1ae5572546ec925c7abe77248f2f</t>
  </si>
  <si>
    <t>UAT_CR_237</t>
  </si>
  <si>
    <t>https://www.loom.com/i/70fee7c7b5584279bb14e68d70ad3e61</t>
  </si>
  <si>
    <t>UAT_CR_238</t>
  </si>
  <si>
    <t>Doctor's SBI Card Video are being used for the card. Same video present in the slider twice. Content file doesn't mention the number of videos and the title or thumbnail they should have.</t>
  </si>
  <si>
    <t>https://www.loom.com/i/c1a18573d20f400e8c3e55618e57127f</t>
  </si>
  <si>
    <t>09/02/2026 - No reference file received to check what videos with what title &amp; thumbnail should be present in the section for this page.
23/01/2026 - As per Namita ma'am, content is constantly getting changed therefore need to keep all the content related issues aside. Hence kept on hold.</t>
  </si>
  <si>
    <t>UAT_CR_239</t>
  </si>
  <si>
    <t>Same video present in the slider twice. Content file doesn't mention the number of videos and the title or thumbnail they should have</t>
  </si>
  <si>
    <t>https://www.loom.com/i/a1f49007dc3b4c4eb7a2358e38381283</t>
  </si>
  <si>
    <t>09/02/2026 - No reference received regarding what videos should be present on this page with what title &amp; thumbnail.
As per Namita ma'am, content is constantly getting changed therefore need to keep all the content related issues aside. Hence kept on hold.</t>
  </si>
  <si>
    <t>UAT_CR_240</t>
  </si>
  <si>
    <t>https://www.loom.com/i/c63944611b0a4eb3a410f5308f6f0299</t>
  </si>
  <si>
    <t>09/02/2026 - Still no reference received to check what product videos with what title &amp; thumbnail should be present.
23/01/2026 - As per Namita ma'am, content is constantly getting changed therefore need to keep all the content related issues aside. Hence kept on hold.</t>
  </si>
  <si>
    <t>UAT_CR_241</t>
  </si>
  <si>
    <t>Any Product Video that is actually a youtube short doesn't open up on the website after clicking, in order to view it, user can only right click and select "open in a new tab"</t>
  </si>
  <si>
    <t>https://www.loom.com/share/b46e3a6e49ce4a31a156ea71e357cee0</t>
  </si>
  <si>
    <t>To be decided whether youtube shorts is to be allowed to get uploaded or not. If yes, then HTML needs to be fixed.</t>
  </si>
  <si>
    <t>18/02/2026 - The issue is resolved on devsit1 - https://www.loom.com/share/23ff13564c99469c88f3662e4680ea00
13/02/2026 - Issue fixed as per the Developer but unable to test on HTML v50 - 1 due to video player configurations therefore had to keep status as "Pending" until it's seen as working
06/02/2026 - Youtube shorts still do not get played</t>
  </si>
  <si>
    <t>UAT_CR_242</t>
  </si>
  <si>
    <t>Exclusive Privileges --&gt; Desktops --&gt; Prime Rewards, Milestone Benefits</t>
  </si>
  <si>
    <t>Case when user increases the font size, the bullet points for the mentioned privileges cards get clipped from the bottom.</t>
  </si>
  <si>
    <t>https://www.loom.com/i/def342dbd94e4219a7c10b24d6b61e9d</t>
  </si>
  <si>
    <t>16/02/2026 - As discussed with Namita, to be decided whether need to handle this content wise or get a fix on HTML/CSS
To be decided whether need to handle this content wise or get a fix on HTML/CSS</t>
  </si>
  <si>
    <t>24/02/2026 - As a consolidated issue is already open in Product Details Sheet. Plus, a sheet "ExclusivePrivileges TextOverlap" has been created mentioning all the failed instances therefore closing this issue here.
29/01/2026 - Exclusive Privileges section has been developed according to the requirements that were shared regarding it earlier. The way it is developed currently, there is no way for us to handle bullet points getting clipped from the bottom. The content author needs to keep in mind that max to max 8 lines of space is available for bullet points in case in case font is large and card title takes up to 2 lines. 10 lines available in case of single line card title. On each card, bullet points should be added keeping this in mind. If not to be handled content wise then rework on the section would be required.
23/01/2026 - The issue still persists - https://loom.com/i/af3166282b6b4e7cb85084e8034219d6</t>
  </si>
  <si>
    <t>UAT_CR_243</t>
  </si>
  <si>
    <t>Exclusive Privileges --&gt; Desktops --&gt; Miles Rewards, International Travel Privileges</t>
  </si>
  <si>
    <t>https://www.loom.com/i/454a81daa24646478fc4f2e2001a7a93</t>
  </si>
  <si>
    <t>23/02/2026 - We received the HTML fix on 18-02-2026. So we will pick up the change once we will complete all the HTML fixes till 16th
16/02/2026 - As discussed with Namita, to be decided whether need to handle this content wise or get a fix on HTML/CSS
Duplicate of 243</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</si>
  <si>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 - https://loom.com/i/18a1cbe078a14a748b3470106a328921</t>
  </si>
  <si>
    <t>UAT_CR_244</t>
  </si>
  <si>
    <t>Exclusive Privileges --&gt; Desktops --&gt; Reward Benefits</t>
  </si>
  <si>
    <t>https://www.loom.com/i/f6871f09c277426481b01c29e0e638b7</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</si>
  <si>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https://loom.com/i/3d589d87609a433381325e3d6c0f9b26</t>
  </si>
  <si>
    <t>UAT_CR_245</t>
  </si>
  <si>
    <t>Exclusive Privileges --&gt; Desktops --&gt; Reward Points</t>
  </si>
  <si>
    <t>https://www.loom.com/i/b0811f9ba08d4079ace021e42aac0d89</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</si>
  <si>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https://loom.com/i/0ccc2908f0c74ed79aea92d8aebde547</t>
  </si>
  <si>
    <t>UAT_CR_246</t>
  </si>
  <si>
    <t>Exclusive Privileges --&gt; Desktops --&gt; PhonePe Rewards</t>
  </si>
  <si>
    <t>https://www.loom.com/i/8befe6bff5ff43f388f4d44952e4bd64</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</si>
  <si>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https://loom.com/i/b77c4ad12d5a46f5b7ab701cad830698</t>
  </si>
  <si>
    <t>UAT_CR_247</t>
  </si>
  <si>
    <t>https://www.loom.com/i/a1b1f0ff62d247d6831981700ba2d366</t>
  </si>
  <si>
    <t>24/02/2026 - As already decided, the SBI Team is not picking the CSS &amp; JS changes to improve this issue in this release. Therefore they need to re-author the contents such that it doesn't overlap. As this issue is already logged as a consolidated bug in the product details page and a separate sheet - "ExclusivePrivileges TextOverlap"  therefore closing this issue.
The issue still persists - https://loom.com/i/9cedd59fae364fe196c6c62e613be863</t>
  </si>
  <si>
    <t>UAT_CR_248</t>
  </si>
  <si>
    <t>Other Features --&gt; Contactless Advantages --&gt; 1st Bullet point</t>
  </si>
  <si>
    <t>The card name should be "SBI Card Pulse" instead of "SBI Card Elite Pulse"</t>
  </si>
  <si>
    <t>https://www.loom.com/i/cf2390b8ae0e4005a13ab5ec1e2143af</t>
  </si>
  <si>
    <t>UAT_CR_249</t>
  </si>
  <si>
    <t>Exclusive Privileges --&gt; Card Container minimum height</t>
  </si>
  <si>
    <t>If the content is less, the height of the card containers in the grid also get reduced. They should have a minimum height as well that helps maintain their narrow and elongated view as observed in the design.</t>
  </si>
  <si>
    <t>https://www.loom.com/i/98ba76c3fd0045bf88f81d274c87a92a</t>
  </si>
  <si>
    <t>https://www.loom.com/i/cd88c6785d004ee4a3127ad84330a665</t>
  </si>
  <si>
    <t>20/02/2026 - The issue is resolved on devsit1. As a proof, attaching the screenshots of devsit1 where its implemented and pvt where currently it is not implemented. In devsit, it takes fixed height regardless of content inside and in pvt it has max-height property which adjusts the height according to the content but doesn't let it exceed the maximum height set.
devsit1 - https://loom.com/i/7abee0e9a2d04c288ca70fcc6130298e
pvt - https://loom.com/i/d9943cf6469447788275af909fd60f15
13/02/2026 - The card heights are increased in desktops &amp; ipads but the content container's height doesn't get increased accordingly. For example: In case of iPads / Tablets (iPad Mini) The content container height is approx 50% of the card height which results in content getting cropped even when plenty of space is available. HTML v50 - 1 screenshot - https://www.loom.com/i/42a618486b614bdca594ff4245bc2f28</t>
  </si>
  <si>
    <t>UAT_CR_250</t>
  </si>
  <si>
    <t>22/01/2026</t>
  </si>
  <si>
    <t>SBI Card Cashback</t>
  </si>
  <si>
    <t>Side Bar Menu --&gt; Best For --&gt; Cashback Benefits, Contactless Advantages</t>
  </si>
  <si>
    <t xml:space="preserve">Words like - Cashback Benefits, Contactless Advantages having 9 alphabets get truncated with 3 dots at the end especially  in case user increase the font size. </t>
  </si>
  <si>
    <t>https://www.loom.com/i/ed2bdb65388f4ed8a81a68c3c9b17baa</t>
  </si>
  <si>
    <t>UAT_CR_251</t>
  </si>
  <si>
    <t>Side Bar Menu --&gt; iPads / Tablets --&gt; Background Image --&gt; Card Title</t>
  </si>
  <si>
    <t>The floral image on the left overlaps with the Card title in the side bar menu in case of devices between 768px - 1300px width</t>
  </si>
  <si>
    <t>https://www.loom.com/i/0f8cae3cce00443788cd58ad17b561eb</t>
  </si>
  <si>
    <t>18/02/2026 - The issue was already marked as closed as per the remark below.
10/02/2026 - As discussed with Namita ma'am on HTML bug priority call, this needs to be ignored. Hence marking it as resolved.</t>
  </si>
  <si>
    <t>UAT_CR_252</t>
  </si>
  <si>
    <t>Explore Rewards --&gt; Section Image --&gt; Milestone Benefits appear on the image.</t>
  </si>
  <si>
    <t>These milestones should only be present with the image in case the card has "Milestone Benefits" or "Milestone Rewards" but SBI Card Cashback only has "Card Cashback" still milestones appear on the image.</t>
  </si>
  <si>
    <t>https://www.loom.com/i/df0788edf60d440b89026c6f253866cc</t>
  </si>
  <si>
    <t>16/02/2026 - Please check on PVT
Duplicate of 123</t>
  </si>
  <si>
    <t>17/02/2026 - As discussed on UAT Discussion Call, Namita ma'am confirmed that a request came to add "Fee Waiver of 2 Lakhs" therefore it is added. Hence closing the issue.
17/02/2026 - The issue is still not resolved on pvt - https://www.loom.com/i/efbf87df1dd84ac88212f71b9e3d78ff</t>
  </si>
  <si>
    <t>UAT_CR_253</t>
  </si>
  <si>
    <t>Key Benefits &amp; Exclusive Privileges section --&gt; Background Image</t>
  </si>
  <si>
    <t>Left bottom &amp; top right of the image doesn't match with the image in the design. Especially in case of mobile devices, exclusive privilege section image is cropped and doesn't blend in properly</t>
  </si>
  <si>
    <t>https://www.loom.com/i/67128e9dc7b542cc90eecec3ce2405f5</t>
  </si>
  <si>
    <t>https://www.loom.com/i/0f48e34cbc62473fb1b767cce9e1fa8c</t>
  </si>
  <si>
    <t>09/02/2026 - Clsoing the bug after discussion on scrum call
06/02/2026 - The image used for the page and the one in the design look different. We can close this bug if client doesn't have an issue</t>
  </si>
  <si>
    <t>UAT_CR_254</t>
  </si>
  <si>
    <t>Side Bar Menu --&gt; Floral Image on the left &amp; right</t>
  </si>
  <si>
    <t>Both the floral image on the left and right of the side bar menu seem very dull when compared with the design. Check the actual vs expected result</t>
  </si>
  <si>
    <t>https://www.loom.com/i/43e14d30fa0f489bbfa8bd65d2452362</t>
  </si>
  <si>
    <t>https://www.loom.com/i/52a684d6551347c6a47f2356d5b802bd</t>
  </si>
  <si>
    <t>UAT_CR_255</t>
  </si>
  <si>
    <t>Exclusive Privileges --&gt; Rupee coin at the right side</t>
  </si>
  <si>
    <t xml:space="preserve"> Rupee coin at the right side are inverted, new banner image with the rupee coins corrected needs to be provided by the designer</t>
  </si>
  <si>
    <t>https://www.loom.com/i/53bf4430ead84696b197b44f625d44f1</t>
  </si>
  <si>
    <t>https://www.loom.com/i/d6b79eb2355741c28f1f2f9991827f5f</t>
  </si>
  <si>
    <t>18/02/2026 - The issue is resolved on devsit1 - https://loom.com/i/b6b40b626c634b3abc42a1e9de603917
13/02/2026 - The issues is resolved on HTML v50 - 1. Correct image is to be provided by the designer.
https://loom.com/i/ff22711eb8ab4a5b94f485b352d2b05d</t>
  </si>
  <si>
    <t>UAT_CR_256</t>
  </si>
  <si>
    <t>Side Bar Menu --&gt; Best For --&gt; More button --&gt; Sentence below</t>
  </si>
  <si>
    <t>The "Best For" sentence that appears after clicking more button doesn't match the updated content file</t>
  </si>
  <si>
    <t>https://www.loom.com/i/90c7ddf284d347329bfc150ef8bc9c49</t>
  </si>
  <si>
    <t>UAT_CR_257</t>
  </si>
  <si>
    <t>Side Bar Menu --&gt; Background image</t>
  </si>
  <si>
    <t>The card specific background image is not used and the default light theme side bar menu image is used.</t>
  </si>
  <si>
    <t>https://www.loom.com/i/845e4e6b5c864401856ca19306075dc9</t>
  </si>
  <si>
    <t>06/02/2026 - Have been asked to verify this issue on PVT now and the card specific banner image is uploaded there. If any specifc issue found in the image, will log a new bug as advised by Neha ma'am</t>
  </si>
  <si>
    <t>UAT_CR_258</t>
  </si>
  <si>
    <t>https://www.loom.com/i/9c336b8ec1ba4b69ab8ee977bc30f7cc</t>
  </si>
  <si>
    <t>UAT_CR_259</t>
  </si>
  <si>
    <t>https://www.loom.com/i/bebb259b14064cbbbfd8a787e9e2cb0b</t>
  </si>
  <si>
    <t>UAT_CR_260</t>
  </si>
  <si>
    <t>The size of the credit card image is smaller than required. Check the actual vs expected result</t>
  </si>
  <si>
    <t>https://www.loom.com/i/e0c92bafc5524202a2fe13eaa848fc7c</t>
  </si>
  <si>
    <t>https://loom.com/i/6f4884d3fd4648488080a45acd115559</t>
  </si>
  <si>
    <t>UAT_CR_261</t>
  </si>
  <si>
    <t>https://www.loom.com/i/7039bcd90ac44793a385c7d9ff64c504</t>
  </si>
  <si>
    <t>UAT_CR_262</t>
  </si>
  <si>
    <t>https://www.loom.com/i/c58d89cd40f6402ca14639e806ccfb8b</t>
  </si>
  <si>
    <t>UAT_CR_263</t>
  </si>
  <si>
    <t>Entire Page --&gt; Theme</t>
  </si>
  <si>
    <t>Incorrect theme is being followed for the page. BPCL SBI Card Octane should have the Dark theme. Instead it has the Dark + Pulse card theme.</t>
  </si>
  <si>
    <t>https://loom.com/i/2ecffda2331f4e399754e3092cab57c7</t>
  </si>
  <si>
    <t>https://loom.com/i/73bf2203a39348128e143d400e0289e8</t>
  </si>
  <si>
    <t>The issue was there as evident in the screenshot but is no longer appearing therefore resolved.</t>
  </si>
  <si>
    <t>UAT_CR_264</t>
  </si>
  <si>
    <t>https://www.loom.com/i/7b3599d79a6c426eb63d5d5b66bed197</t>
  </si>
  <si>
    <t>UAT_CR_265</t>
  </si>
  <si>
    <t>https://www.loom.com/i/f75c8e032f5246f6b703361e97859c4a</t>
  </si>
  <si>
    <t>UAT_CR_266</t>
  </si>
  <si>
    <t>https://www.loom.com/i/2bac8df5d0094e6295f97bb5a8c3896f</t>
  </si>
  <si>
    <t>UAT_CR_267</t>
  </si>
  <si>
    <t>https://www.loom.com/i/333e5f190e014d2c92ed79705229d247</t>
  </si>
  <si>
    <t>UAT_CR_268</t>
  </si>
  <si>
    <t>https://www.loom.com/i/e352494a26aa47758fb722dcda216f2c</t>
  </si>
  <si>
    <t>UAT_CR_269</t>
  </si>
  <si>
    <t>Paytm SBI Card Select Paytm SBI Card</t>
  </si>
  <si>
    <t>Side Bar Menu --&gt; Background --&gt; Floral image on the left &amp; right</t>
  </si>
  <si>
    <t>The floral image on the left &amp; right are very light in colour as a result not sufficiently visible when compared with the result expected. Check the screenshots.</t>
  </si>
  <si>
    <t>https://www.loom.com/i/830255571527446ab9855ed476dc4d7c</t>
  </si>
  <si>
    <t>https://www.loom.com/i/cdd4472af1df4a339d7c5aa07c894d81</t>
  </si>
  <si>
    <t>25/02/2026 - The updated floral images has been sent to SBI Team, therefore assigning this issue to Neha Jain &amp; changing the platform column from HTML/CSS to PVT
13/02/2026 - This is due to opacity of the image kept to 50% intentionally so the Credit card title is readable in case the floral image overlaps with it. The designer has provided brighter floral images such that they do not look as much dull as they currently do when opacity is reduced. Screenshot of how it should look - https://loom.com/i/f7c079165d88467da1fe4f580158b040</t>
  </si>
  <si>
    <t>UAT_CR_270</t>
  </si>
  <si>
    <t>https://www.loom.com/i/cd903bada5514f019f4876cc55cce7e2</t>
  </si>
  <si>
    <t>UAT_CR_271</t>
  </si>
  <si>
    <t>https://www.loom.com/i/f8a1d7d3f8dd438ca62cec80cd73e4ea</t>
  </si>
  <si>
    <t>UAT_CR_272</t>
  </si>
  <si>
    <t>https://www.loom.com/i/abe4e96d68424340aa7bdb1a724814af</t>
  </si>
  <si>
    <t>UAT_CR_273</t>
  </si>
  <si>
    <t>https://www.loom.com/i/21486ccb818649bfad32f33a9e1a9ce2</t>
  </si>
  <si>
    <t>UAT_CR_274</t>
  </si>
  <si>
    <t>Sections</t>
  </si>
  <si>
    <t>Cashback, Air India SBI Signature, Air India SBI Platinum</t>
  </si>
  <si>
    <t>Entire Page --&gt; Check if any sections of the page appear</t>
  </si>
  <si>
    <t>SBI Cashback Card - https://sbi-sit1.sbicard.com/html/en/personal/credit-cards/cashback-sbi-card.html
Air India SBI Signature Card - https://sbi-sit1.sbicard.com/html/en/personal/credit-cards/air-india-sbi-signature-card.html
Air India SBI Platinum Card - https://sbi-sit1.sbicard.com/html/en/personal/credit-cards/air-india-sbi-platinum-card.html</t>
  </si>
  <si>
    <t>https://loom.com/i/b6e0810a9f474576a00af294f820e0ef</t>
  </si>
  <si>
    <t>Page is not appearing</t>
  </si>
  <si>
    <t>UAT_CR_275</t>
  </si>
  <si>
    <t>Unnati SBI Card</t>
  </si>
  <si>
    <t>https://www.loom.com/i/e20fcd89883b45febcd8cca2b64e4df2</t>
  </si>
  <si>
    <t>UAT_CR_276</t>
  </si>
  <si>
    <t>https://www.loom.com/i/1e32b1e72a384724bd3cf976d3b30193</t>
  </si>
  <si>
    <t>UAT_CR_277</t>
  </si>
  <si>
    <t>Explore Rewards --&gt; Any tab other than milestone rewards</t>
  </si>
  <si>
    <t>For rewards other than milestone, no bar and text needed on the image and instead a center positioned image need to be used.</t>
  </si>
  <si>
    <t>https://www.loom.com/i/a773a3165c4e42e1803283ba3b0f8b05</t>
  </si>
  <si>
    <t>25/02/2026 - There are no milestones content for text animation received for the cards therefore we used the center aligned image.
23/02/2026 - Fixed on devsit1</t>
  </si>
  <si>
    <t>27/02/2026 - As the initial issue is now resolved, closing this one and logging a separate issue for the remark mentioned below because as per Neha Laddha ma'am, they didn't receive the milestone text animation content so there was nothing to upload, as a result they had to use center aligned images even in case of milestone benefit.
24/02/2026 - This is not a UI issue but a creatives issue instead. Therefore, this can only be closed when it works as expected and as of now that is not the case as these 2 cards still have this issue on pvt - 
Air India SBI Signature Card - 
https://loom.com/i/ccd2289dfc824f158ae12ea106cea061
Club Vistara SBI Card -
https://loom.com/i/854c4a4ba1984c41a2fa4ad70bd99733
10/02/2026 - When checked few of the credit card URLs, some had milestones appearing in tab other than milestone benefits -https://www.loom.com/i/27cae345a1e04065a4847eaedad528e2</t>
  </si>
  <si>
    <t>UAT_CR_278</t>
  </si>
  <si>
    <t>https://www.loom.com/i/e1e1fc51527a48f7b4b876722ef5e605</t>
  </si>
  <si>
    <t>UAT_CR_279</t>
  </si>
  <si>
    <t>https://www.loom.com/i/06611fb8b5c2449f87ac29bea13a72a9</t>
  </si>
  <si>
    <t>UAT_CR_280</t>
  </si>
  <si>
    <t>https://www.loom.com/i/6278b43926c74b3ab8ef87c542dc12d9</t>
  </si>
  <si>
    <t>UAT_CR_281</t>
  </si>
  <si>
    <t>https://www.loom.com/i/854098eaef124193b2af23dc723d3308</t>
  </si>
  <si>
    <t>UAT_CR_282</t>
  </si>
  <si>
    <t>KrisFyler SBI Card</t>
  </si>
  <si>
    <t>https://www.loom.com/i/9a2e0f41530b45809dc962021bb4bc97</t>
  </si>
  <si>
    <t>UAT_CR_283</t>
  </si>
  <si>
    <t>The floral image on the left &amp; right are very light in colour as a result not sufficiently bright when compared with the result expected. Check the screenshots. Same issue persists in Krisflyer Apex card - https://sbi-sit1.sbicard.com/html/en/personal/credit-cards/krisflyer-sbi-card-apex.html</t>
  </si>
  <si>
    <t>https://www.loom.com/i/59128d7a7b0f49d2ab379c4d40d5dfc0</t>
  </si>
  <si>
    <t>https://www.loom.com/i/8c4245cbb1824cd187d66ebed82bb295</t>
  </si>
  <si>
    <t>UAT_CR_284</t>
  </si>
  <si>
    <t>The card specific background image is not used and the default dark + gold theme side bar menu image is used.</t>
  </si>
  <si>
    <t>https://www.loom.com/i/3cbe6117a137476d9606592b9b304de5</t>
  </si>
  <si>
    <t>UAT_CR_285</t>
  </si>
  <si>
    <t>Devices above 1800px width --&gt; Side Bar Menu --&gt; Background image</t>
  </si>
  <si>
    <t>The background image doesn't adjust appropriately for devices above 1800px width, as a result only the coconut tree in the image is visible and not anything else.</t>
  </si>
  <si>
    <t>https://www.loom.com/i/ce7b48105b7344dfb2bc917b901bef67</t>
  </si>
  <si>
    <t>https://www.loom.com/i/db914844b35845d192834973058b6a79</t>
  </si>
  <si>
    <t>18/02/2026 - The issue is resolved on devsit1 - https://loom.com/i/2779d05612d6415a8e002c0b15a5b75a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
06/02/2026 - Another image for extra large screens should be created</t>
  </si>
  <si>
    <t>UAT_CR_286</t>
  </si>
  <si>
    <t>https://www.loom.com/i/cea774152789409089a30e3561e73b4e</t>
  </si>
  <si>
    <t>UAT_CR_287</t>
  </si>
  <si>
    <t>Shopping Cards Category Pages</t>
  </si>
  <si>
    <t>Other Features section --&gt; Section image on the right</t>
  </si>
  <si>
    <t>The section image is too big to fit in the section in case of desktops &amp; ipads / Tablets. It gets clipped from the top or bottom. Also, if the content is reduced or user decreases the font size, the section height reduces accordingly so the image size should be such that in all scenarios it doesn't get clipped.</t>
  </si>
  <si>
    <t>https://www.loom.com/i/05f684dc40e2419db2043c9a6fae1158</t>
  </si>
  <si>
    <t>23/02/2026 - Fixed on devsit1
Small size image required</t>
  </si>
  <si>
    <t>12/03/2026 - The issue is resolved on sbi-pvt - https://loom.com/i/295d53d6a0934c1f9fbaa90d1b19a8c5
27/02/2026 - The Landmark Rewards SBI Card still has the old image that gets cropped - https://loom.com/i/573de4ae5364450aab6d83f4dcd24553
24/02/2026 - This not a UI issue but a creatives issue instead. Therefore, it needs to be resolved on pvt in order to get closed and it is currently not as expected on pvt. Also, Even though new small images are used, they still get cropped if font size is reduced, in case of the following cards - 
Landmark Rewards SBI Card Prime - https://loom.com/i/e7d0feceba0e49c7b75cc45309873493
Landmark Rewards SBI Card - https://loom.com/i/573de4ae5364450aab6d83f4dcd24553
09/02/2026 - The image has already been provided
05/02/2026 - The issue is reproducable - https://www.loom.com/i/729b0293946b44f58b843cf50828ff30</t>
  </si>
  <si>
    <t>UAT_CR_288</t>
  </si>
  <si>
    <t>Travel &amp; Fuel Category Pages</t>
  </si>
  <si>
    <t>https://www.loom.com/i/4bf0dc0c418242e6b3e4306a697cf67b</t>
  </si>
  <si>
    <t>27/02/2026 - The issue is resolved on sbi-pvt - https://loom.com/i/bb625555096b47949a7e95396e17b812
24/02/2026 -  This not a UI issue but a creatives issue instead. Therefore, it needs to be resolved on pvt.
09/02/2026 - The image has already been provided
05/02/2026 - The issue is reproducable - https://www.loom.com/i/65713d7f3ab2433984c6d5408edb256e</t>
  </si>
  <si>
    <t>UAT_CR_289</t>
  </si>
  <si>
    <t>All Pages with Milestone Benefits</t>
  </si>
  <si>
    <t>Explore Rewards --&gt; Milestone Benefits --&gt; Subtitle text on the image</t>
  </si>
  <si>
    <t>Subtitle text starts to overlap the image causing readability issue</t>
  </si>
  <si>
    <t>https://www.loom.com/i/4f0c3905833a4d66954e4e76da0d9af9</t>
  </si>
  <si>
    <t>05/03/2026 - The issue was already marked as resolved on 2nd March 2026
02/03/2026 - The issue is being marked as resolved because as instructed by Arun sir, I needed to list all instances where the overlapping still happens, therefore a new sheet - "Explore Cards Text Overlap" has been added in the workbook that contains all the failed instances.
20/02/2026 - As discussed on UAT discussion call with Neha Jain &amp; Durga ma'am, they cannot update the latest content on devsit1 and this fix currently only exists on devsit1 therefore it can only be verified when the devsit1 fixes are carried forward to pvt.
20/02/2026 - The issue is fixed on devsit. However, devsit has center aligned images even in case of milestone benefits therefore the text is overlapping anyway. It cannot be determined whether or not it will overlap with the correct images until they are used - https://www.loom.com/i/b245a6f47bd64233adc010c7951b3ec3
13/02/2026 - Unable to test this as cannot change text due to constantly changing text animation. However, they way the element is getting hightlighted, it seems like there is still the chance of the text slightly getting overlaped on the image on the right - https://www.loom.com/share/172f88b5309a4e10ae4df947b801dd1b</t>
  </si>
  <si>
    <t>UAT_CR_290</t>
  </si>
  <si>
    <t>Milestone Bar</t>
  </si>
  <si>
    <t>Explore Rewards --&gt; Milestone Benefits --&gt; Progress Bar below the image</t>
  </si>
  <si>
    <t>In case of a single milestone, the bar tick appears at the start without any label which also cannot be animated as being filled from left to right.</t>
  </si>
  <si>
    <t>https://www.loom.com/i/580ed19f2a4e4426aa31f5e362dbaf76</t>
  </si>
  <si>
    <t>UAT_CR_291</t>
  </si>
  <si>
    <t xml:space="preserve">Indigo SBI Card Elite, Indigo SBI Card </t>
  </si>
  <si>
    <t>PVT --&gt; Indigo SBI Card Elite, Indigo SBI Card --&gt; Side Bar Banner</t>
  </si>
  <si>
    <t>The left or right floral images go missing in case of iPads/tablets, desktops and for large screens around 1920px or above, the left floral image UI breaks</t>
  </si>
  <si>
    <t>https://www.loom.com/i/b51721dc0a914016a5042a0cb4de97ed</t>
  </si>
  <si>
    <t>27/02/2026 - The issue is resolved on pvt - 
https://loom.com/i/e330b8f5c9ff4d4eb77cd9e2209ed01c
https://loom.com/i/98e97ffd41654475a7f9c37029587e58
13/02/2026 - This is because the floral images where not separate and were a part of the banner image for the mentioned pages, designer has shared separate floral images that need to be implemented</t>
  </si>
  <si>
    <t>UAT_CR_292</t>
  </si>
  <si>
    <t>KrisFlyer SBI Card Apex  Paytm Select SBI Card, PhonePe SBI Card Select Black</t>
  </si>
  <si>
    <t>PVT --&gt; KrisFlyer SBI Card Apex  &amp; PayTM Select SBI Card --&gt; Explore Rewards --&gt; Section Image</t>
  </si>
  <si>
    <t>The section image is incorrect. Lifestyle golden theme image is used instead of Travel &amp; Fuel category image for KrisFlyer &amp; Rewards image for Paytm Select SBI Card&amp; PhonePe Black Card</t>
  </si>
  <si>
    <t>05/03/2026 - The issue is resolved on sbi-pvt - 
PhonePe SBI Card Select Black - https://loom.com/i/f55a2a9e23914ada973179a26263da23
PayTM SBI Card Select - https://loom.com/i/9ed25bfc9e1f4927aefd33d6f5e730d4
KrisFlyer SBI Card Apex - https://loom.com/i/faa6cec1e80f426f8350e1ed2afd0e98
27/02/2026 - The issue is not resolved on sbi-pvt yet.
24/02/2026 -  This not a UI issue but a creatives issue instead. Therefore, it needs to be resolved on pvt in order to get closed.</t>
  </si>
  <si>
    <t>UAT_CR_293</t>
  </si>
  <si>
    <t>Mobile Phones, iPads / Tablets</t>
  </si>
  <si>
    <t xml:space="preserve">IRCTC SBI Card Premier </t>
  </si>
  <si>
    <t xml:space="preserve">PVT --&gt; IRCTC SBI Card Premier --&gt; Side bar menu --&gt;Banner image. </t>
  </si>
  <si>
    <t>The image goes blank/white in case of mobile phones, iPads / Tablets</t>
  </si>
  <si>
    <t>https://www.loom.com/i/07941be196234d4f922ebb44199c2f5f</t>
  </si>
  <si>
    <t>16/02/2026 - Fixed on PVT</t>
  </si>
  <si>
    <t>17/02/2026 - The issue is resolved on pvt - https://loom.com/i/8a8546c9fcfb4295801f92a6e25e0c33</t>
  </si>
  <si>
    <t>UAT_CR_294</t>
  </si>
  <si>
    <t>PVT --&gt; IRCTC SBI Card Premier --&gt; Side bar menu --&gt; Banner image</t>
  </si>
  <si>
    <t>The sidebar banner image doesn't exactly match with the image in the assest file because it gets cropped from the top</t>
  </si>
  <si>
    <t>https://www.loom.com/i/b44c47656b1f42089514d6a0911291bd</t>
  </si>
  <si>
    <t>17/02/2026 - The issue is resolved on pvt - https://loom.com/i/131906a6a3db440bb48477adce7cb4f3
12/02/2026 - The image used in case of desktop is incorrect - Tablet image is being used. Instead, the images with new nomenclature needs to be implemented for each respective device.</t>
  </si>
  <si>
    <t>UAT_CR_295</t>
  </si>
  <si>
    <t>IRCTC SBI Platinum card</t>
  </si>
  <si>
    <t>PVT --&gt; IRCTC SBI Platinum card --&gt; Side bar menu --&gt; Banner image</t>
  </si>
  <si>
    <t>https://www.loom.com/i/0b102355215b4f089ce7d9f880079b1f</t>
  </si>
  <si>
    <t>23/02/2026 - Fixed on PVT
16/02/2026 - Fixed on PVT</t>
  </si>
  <si>
    <t>24/02/2026 - The issue is resolved on sbi-pvt - https://loom.com/i/ea740be3514c489c95e48b5f5330b990
17/02/2026 - The issue is still not resolved on pvt - https://loom.com/i/0b85104521e148229dfc20d683b14bb5</t>
  </si>
  <si>
    <t>UAT_CR_296</t>
  </si>
  <si>
    <t>PVT --&gt; All Credit Card Pages --&gt; Side Bar Menu --&gt; Credit Card Image</t>
  </si>
  <si>
    <t xml:space="preserve">All the credit card images should be the updated ones decided to use for the production instead of the dummy images that were being used till now. Dummy images have dummy names &amp; numbers like on cards - Flipkart SBI Card, Reliance SBI Card, Reliance SBI Card PRIME, Air India SBI Platinum, Etihad Guest SBI Premier Card, Club Vistara SBI Card PRIME, KRISFLYER SBI CARD, SBI Unnati Card, </t>
  </si>
  <si>
    <t>https://www.loom.com/i/1a499222c3034e60b7b449b06a35e861</t>
  </si>
  <si>
    <t>05/03/2026 - For all the mentioned cards, the dummy names &amp; numbers are still on the credit card images that are being used. New credit card faces have these dummy info removed and that needs to be used - https://www.loom.com/share/ddcf296e266c40498d5ad90b37ac0f77
27/02/2026 - The issue is still not resolved on sbi-pvt
24/02/2026 - This is a creatives issue rather than a UI issue therefore it can only be closed if fixed on PVT instead of devsit1. However, started when checking on devsti1, it wasn't fixed there as well - 
Air India SBI Platinum Card - 
https://loom.com/i/04c5033cd71542a4880cc5b3086e9366
Landmark Rewards SBI Card SELECT - 
https://loom.com/i/f4600f5e11d4461795e7ea0c33d76843
LANDMARK REWARDS SBI Card - 
https://loom.com/i/660f7fa10e2f491d9782c01c0df375d9
Landmark Rewards SBI Card Prime - https://loom.com/i/e4d7d21b14c24145b21522680a803dbc</t>
  </si>
  <si>
    <t>UAT_CR_297</t>
  </si>
  <si>
    <t>PVT --&gt; Flipkart --&gt; iPads / Tablets --&gt; Side Bar Menu</t>
  </si>
  <si>
    <t>The image gets cropped such that the "F" of flipkart is moved to the right instead of being at the center in case of iPads / Tablets</t>
  </si>
  <si>
    <t>https://www.loom.com/i/c79c0bd2a0b54a3f92ebe5442f9fd03b</t>
  </si>
  <si>
    <t>25/02/2026 - As discussed on call, the "F" in the side bar menu was getting cropped incorrectly due to a css property - background-size:cover which is now changed to contain instead of cover so the cropping has improved. However, the "F" in the banner image can not always come in the center - https://loom.com/i/28523a22f058448db718e0282cfcf5da
24/02/2026 - The bug is part of "Ob Summary(19/02/2026) but doesn't have any dev remark therefore no update can be shared regarding it.</t>
  </si>
  <si>
    <t>UAT_CR_298</t>
  </si>
  <si>
    <t>Large Screen Desktops</t>
  </si>
  <si>
    <t>PVT --&gt; All Credit Card Pages --&gt; Large screen Desktops (1920px or above) Side Bar Menu --&gt; Banner Images</t>
  </si>
  <si>
    <t>Need to have a separate image to use for large screen desktops as currently when normal size desktop images are used, they both loose quality and get cropped incorrectly.</t>
  </si>
  <si>
    <t>https://www.loom.com/i/1f9ee89c0cb9402ab06a65f3442e42c5</t>
  </si>
  <si>
    <t>27/02/2026 - The issue is resolved on sbi-pvt - https://loom.com/i/641d2fb2e34c4ca0a4396d8a14946778
13/02/2026 - As discussed on call, another separate image for large screen desktops will not get created and instead the background-size: cover property would be removed in case of large screen devices so the image doesn't get cropped. This issue is fixed on HTML v50 - 1 https://loom.com/i/c033b19e8fce42e698aa9970b3b22a5f</t>
  </si>
  <si>
    <t>UAT_CR_299</t>
  </si>
  <si>
    <t>Exclusive Privileges --&gt; Mid/Large screen desktops &amp; iPads --&gt; Each card's title</t>
  </si>
  <si>
    <t>The width of the Title element of each card is not 100%. Instead, it is 80% in case of medium/large screen desktops and 50% in case of iPads. As a result, the title content goes to the next line even when there is plenty of space availble in the first line itself.</t>
  </si>
  <si>
    <t>https://loom.com/i/fc54eba201534b0e88e35d0dd691adde
https://loom.com/i/19d5f64f23104105b34196a0bf73807a</t>
  </si>
  <si>
    <t xml:space="preserve">23/02/2026 - The issue is resolved on devsit1 - https://www.loom.com/share/38df4673dd70425cbc75f109b3c19eb8
13/02/2026 - The issue is still not resolved in case of desktops more than 1400px width. Only resolved in case of iPads. On HTML v50 - 1 - https://www.loom.com/i/94bdb24e73c8429383b4b53230ef197d
</t>
  </si>
  <si>
    <t>UAT_CR_300</t>
  </si>
  <si>
    <t>All Dark Theme Pages</t>
  </si>
  <si>
    <t>PVT --&gt; All Dark Theme Pages --&gt; Tablets --&gt; Banner Image</t>
  </si>
  <si>
    <t>In case of tablets, the side bar banner image get cropped because of a css property - background-size: cover and due to this the image doesn't show up properly in iPads. In the screenshot columns, due to maintain clickability, only one of the mentioned pages' expected vs actual result screenshot is attached</t>
  </si>
  <si>
    <t>https://loom.com/i/d837ddaac0d8409381b53291313c81f5</t>
  </si>
  <si>
    <t>https://loom.com/i/331a311dae0a4f35969a4509a441a338</t>
  </si>
  <si>
    <t>24/02/2026 - Issue is resolved on devsit1 - https://www.loom.com/share/73e395e23d41485d8a9b605cf518d2d1
13/02/2026 - Ad discussed on call, this issue was because of the background-size: cover property in css only for dark without golden theme cards and therefore it cropped the images incorrectly  in case of iPads / Tablet screens. The property is now removed and this issue is fixed on HTML v50 - 1</t>
  </si>
  <si>
    <t>UAT_CR_301</t>
  </si>
  <si>
    <t>Paytm SBI Card, Landmark Rewards SBI Card Select, Landmark Rewards SBI Card, Landmark Rewards Prime, SBI Card Unnati</t>
  </si>
  <si>
    <t>PVT --&gt; Explore Rewards --&gt; Milestone Benefits --&gt; Bar position below the image</t>
  </si>
  <si>
    <t>Case when there is only 1 milestone, only a single bar tick/dot appears on the bar and that too without any label. As a result, the positioning of the bar goes away from the image instead of sticking at the bottom of it. As discussed on UAT discussion call, same milestone is to be shown twice with the same label in order to increase bar ticks for bar animation and correct positioning and therefore this bugs is marked as a content bug (Durga ma'am mentioned)</t>
  </si>
  <si>
    <t>https://www.loom.com/i/7f046b31401e4a34909a186d5479452f</t>
  </si>
  <si>
    <t>05/03/2026 - The issue is resolved on sbi-pvt - https://www.loom.com/i/1a2a04fe2c5d4f6ca0678af7852e34be
24/02/2026 - This is a pvt issue therefore can only be closed when fixed on PVT. Although, as of now this is not even fixed on devsit1 - https://www.loom.com/share/32b05733046743fdb73e6b41de87016a</t>
  </si>
  <si>
    <t>UAT_CR_302</t>
  </si>
  <si>
    <t>SBI Cashback card</t>
  </si>
  <si>
    <t xml:space="preserve">Explore Rewards --&gt; Card Cashback tab --&gt; </t>
  </si>
  <si>
    <t>On the "Card Cashback" tab, the Milestone reward images and text animation is used which is only supposed to come for "Milestone Benefits" Tab</t>
  </si>
  <si>
    <t>https://loom.com/i/17e0209838aa47ec8350868eba7ad895</t>
  </si>
  <si>
    <t>16/03/2026 - As was confirmed on UAT Discussion call by Namita ma'am earlier this month that the text animation was authored specially for this tab even though it is not a milestone benefit tab therefore this is not a bug, hence closing this issue.
24/02/2026 - The bug is part of "Ob Summary(19/02/2026) but doesn't have any dev remark therefore no update can be shared regarding it.</t>
  </si>
  <si>
    <t>UAT_CR_303</t>
  </si>
  <si>
    <t>Air India SBI Signature Card, Air India SBI Platinum Card, Club Vistara SBI Card, IRCTC SBI Platinum Card</t>
  </si>
  <si>
    <t>PVT --&gt; Mentioned Pages --&gt; Explore Rewards --&gt; Milestone Benefits</t>
  </si>
  <si>
    <t>Center aligned image is used which is incorrect and the milestone text animation is missing on the image</t>
  </si>
  <si>
    <t>https://www.loom.com/i/eb095c97e791434ea14e37c02c8f6979
https://loom.com/i/ccd2289dfc824f158ae12ea106cea061
https://loom.com/i/854c4a4ba1984c41a2fa4ad70bd99733</t>
  </si>
  <si>
    <t>05/03/2026 - Now correct images are being used for all the mentioned cards. However, for the cards where milestones text animation or bar doesn't appear, it is because it isn't present in the master sorting sheet. Such instances are already reported in the dedicated sheet "ExploreCards TextOverlap" therefore closing this issue here - https://loom.com/i/4aa76efb757b45c784fa7b2adb7d792b
24/02/2026 - The bug is part of "Ob Summary(19/02/2026) but doesn't have any dev remark therefore no update can be shared regarding it.</t>
  </si>
  <si>
    <t>UAT_CR_304</t>
  </si>
  <si>
    <t xml:space="preserve">IRCTC SBI Platinum Card </t>
  </si>
  <si>
    <t>PVT --&gt;  Explore Rewards --&gt; Milestone Benefits</t>
  </si>
  <si>
    <t>The bar and the milestone reward text animation on the image is missing</t>
  </si>
  <si>
    <t>https://www.loom.com/i/4e2a554613d04b5ca2d0e2a9ff97f40d</t>
  </si>
  <si>
    <t>24/02/2026 - The bug is part of "Ob Summary(19/02/2026) but doesn't have any dev remark therefore no update can be shared regarding it.</t>
  </si>
  <si>
    <t>UAT_CR_305</t>
  </si>
  <si>
    <t xml:space="preserve">PVT --&gt; Explore Rewards --&gt; Milestone Benefits </t>
  </si>
  <si>
    <t>Instead of the Bar &amp; the benefits text animation appearing in the milestone benefits tab image, it appears on the "Reward Benefits" tab image.</t>
  </si>
  <si>
    <t>https://www.loom.com/i/0dde967ca36d4faeaa4a991e49e30482</t>
  </si>
  <si>
    <t>UAT_CR_306</t>
  </si>
  <si>
    <t>Bar Positioning</t>
  </si>
  <si>
    <t>Apollo SBI Card Select, Doctor's SBI Card, Docter's SBI Card (IMA),  BPCL Octane, PhonePe SBI Card Black. Paytm Select SBI Card, Etihad Guest SBI Card, KrisFlyer SBI Card</t>
  </si>
  <si>
    <t>PVT --&gt; Mentioned Cards --&gt; Explore Rewards --&gt; Tab Image --&gt; Bar positioning</t>
  </si>
  <si>
    <t>Case when there are only 2 dot/bar ticks, the bar position is noticed to be slightly above the image instead being at the exact bottom. Notice how the image bottom is visible below the bar and compare with the actual vs expected result.</t>
  </si>
  <si>
    <t>https://www.loom.com/i/958e3606a8d64cfa88f2122a50fb3b4e</t>
  </si>
  <si>
    <t>https://www.loom.com/i/ca465be3ab7840ecb69cc5aafff39f94</t>
  </si>
  <si>
    <t>05/03/2026 - The issue is still not resolved - https://loom.com/i/cea54cc11b054c61a064261499275267
24/02/2026 - The issue is not yet resolved on devsit1 - https://www.loom.com/share/dc5be34a2a864c42bed74e794d9baeb6  However, as it issue occurs in case user increases or decreases the font or in case of iPads as shown in the recording.</t>
  </si>
  <si>
    <t>UAT_CR_307</t>
  </si>
  <si>
    <t>PVT --&gt; All Pages --&gt; Similar Cards section</t>
  </si>
  <si>
    <t>The logic behind the cards present in each page's similar cards section needs to be such that only same category card that fall under the same annual fee range should appear. Currently this logic is not implemented.Even if category logic gets followed, annual fee logic doesn't Example screenshot attached.</t>
  </si>
  <si>
    <t>https://loom.com/i/1ec7b39065b34346b8160f7f150a994a</t>
  </si>
  <si>
    <t>25/02/2026 - Fixed on devsit1 
23/02/2026 - Need Discussion</t>
  </si>
  <si>
    <t>05/03/2026 - As requested, a separate sheet named "Similar Cards Test Cases" have been created with all expected results and their current status, therefore marking this issue as resolved - https://loom.com/i/cc0ecce782cf4980beeb07ded467af8a
24/02/2026 - As this issue is marked as need discussion instead of fixed therefore didn't verify this.</t>
  </si>
  <si>
    <t>UAT_CR_308</t>
  </si>
  <si>
    <t>Same card that is currently open, also appears in the similar cards slide. A card cannot be a similar card for itself.</t>
  </si>
  <si>
    <t>https://www.loom.com/i/34ba63e164cc40d9a7a399a7778e6bd4</t>
  </si>
  <si>
    <t>05/03/2026 - The issue is resolved on sbi-pvt
24/02/2026 - The issue is resolved on devsit1. However, as this is a PVT issue therefore it can only be resolved once it gets resolved on pvt</t>
  </si>
  <si>
    <t>UAT_CR_309</t>
  </si>
  <si>
    <t>All Pages other than Plain Light theme</t>
  </si>
  <si>
    <t>Any page that doesn't have plain light theme --&gt; Other Features --&gt; Section Image --&gt; Compare the image with other images in other themes (in all devices)</t>
  </si>
  <si>
    <t>The "Other Features" section image isn't in a layout like flex or grid and is instead in an absolute position according to its parent container. Now, the values in the CSS Properties for the image container like "top", "right" &amp; "width" defines the image's size and position. These values are found to be different when light theme cards are compared with dark theme (with or without golden - including core cards). As a result, section image's size and position appear better in light theme cards and not in any other theme. Light theme CSS for the image needs to be copied for dark themes as well.</t>
  </si>
  <si>
    <t>https://www.loom.com/i/1d143d1826054f11810e8fb1b8095659</t>
  </si>
  <si>
    <t>25/02/2026 - As SBI Team is no longer picking any HTML/CSS fixes, this issue remains in HTML team's bucket but as requested by Arun sir, its priority has been changed to P3
16/02/2026 - As discussed on the UAT discussion call, Neha Laddha ma'am is not picking any CSS changes right now because release is scheduled for 19th Feb. Therefore it is marked as P3 and the SBI team will request for a fix regarding this in the next release only.</t>
  </si>
  <si>
    <t>UAT_CR_310</t>
  </si>
  <si>
    <t>Side Bar Menu --&gt; Best For --&gt; More button --&gt; Benefit sentence</t>
  </si>
  <si>
    <t>The Benefit sentence needs to be updated to "Shop and enjoy exclusive perks across Tata Neu and partner Tata brands." as per the latest content file</t>
  </si>
  <si>
    <t>https://www.loom.com/i/787f87bd8fd04d5e81bc31d5e8da43c4</t>
  </si>
  <si>
    <t>UAT_CR_311</t>
  </si>
  <si>
    <t>Key Benefits --&gt; 2nd Benefit</t>
  </si>
  <si>
    <t>The word "of" needs to be removed from the sentence "Annual Fee reversal on Rs. 1 lakh of annual spends"</t>
  </si>
  <si>
    <t>https://www.loom.com/i/9c9e07da41134c8ea746613e97735c10</t>
  </si>
  <si>
    <t>UAT_CR_312</t>
  </si>
  <si>
    <t>Explore Rewards --&gt; Reward Benefits Tab --&gt; All Bullet Points</t>
  </si>
  <si>
    <t>The 2% &amp; 5% needs to be removed from the 1st &amp; 2nd Bullet point. The 3rd bullet point needs to match with the point in the content file. 4th &amp; 5th Bullet points need to be removed.</t>
  </si>
  <si>
    <t>https://www.loom.com/i/51ea24900bf54ef686b3f78f0a0f49a7</t>
  </si>
  <si>
    <t>UAT_CR_313</t>
  </si>
  <si>
    <t>Exclusive Privileges --&gt; Spend Based Reversal --&gt; Icon</t>
  </si>
  <si>
    <t>The icon used is not correct as per the icon library. Check the screenshot</t>
  </si>
  <si>
    <t>https://www.loom.com/i/e5dc6dac332d402bbae45b2e16dc6844</t>
  </si>
  <si>
    <t>05/03/2026 - The issue is resolved on sbi-pvt - https://loom.com/i/957b9379c460422ba2f7acf0b2e46222</t>
  </si>
  <si>
    <t>UAT_CR_314</t>
  </si>
  <si>
    <t>Missing Content</t>
  </si>
  <si>
    <t>Exclusive Privileges --&gt; Reward Benefits --&gt; 4th Bullet point</t>
  </si>
  <si>
    <t>In case of mobile phones, the 4th bullet point goes missing for the Reward Benefits Privileges</t>
  </si>
  <si>
    <t>https://www.loom.com/i/fa7ad2fa2a6f45bbb577e3eec6d61dc7</t>
  </si>
  <si>
    <t>12/03/2026 - The issue has been checked on randomly picked credit card pages on sbi-pvt  - SBI card Prime, Club Vistara SBI Card, Titan SBI Card, SimplyClick &amp; SimplySave SBI Card, Shaurya Cards, Tata Neu Plus SBI Card, etc and has been found resolved - https://loom.com/i/0a03957c5d02403a853b57ef1c3fe23e
09/03/2026 - This bug was initially only for Tata Neu Plus SBI Card but when SBI Team confirmed that the way this section is made is - All the bullet points that are present in the front and back of each exclusive privileges card will appear in the mobile view as well but not the extra bullet points that are in the pop up modal that appear when user further clicks on more. Namita ma'am confirmed that this needs to be handled because there are T&amp;Cs in the bullet points that appear at the very last and they need to be included, to this Neha Laddha ma'am confirmed she will get this checked and will share an updated, till then need to consider this bug as a consolidated bug (something that needs to be fixed for all pages wherever it occurs and should be kept open)
05/03/2026 - HTML has Static content therefore cannot refer it regarding this. Plus, this was earlier working fine therefore needs to be discussed.</t>
  </si>
  <si>
    <t>UAT_CR_315</t>
  </si>
  <si>
    <t>Terms &amp; Documents Section --&gt; Most Important Terms &amp; Conditions Tab</t>
  </si>
  <si>
    <t>Clicking on the "Most Important Terms &amp; Conditions" Tab throws an error as it has incorrect link for redirection</t>
  </si>
  <si>
    <t>https://www.loom.com/i/ea8c423a1eb841c49c4bb0aa15a886f5</t>
  </si>
  <si>
    <t>05/03/2026 - As per the master sorting card excel sheet, the redirection should be to this link - https://www.sbicard.com/sbi-card-en/assets/docs/pdf/most-important-terms-and-conditions/mitc-english.pdf</t>
  </si>
  <si>
    <t>UAT_CR_316</t>
  </si>
  <si>
    <t xml:space="preserve">Apollo SBI Card Select, Flipkart SBI Card, Apollo SBI Card, Paytm SBI Card Select, SBI Card Prime </t>
  </si>
  <si>
    <t>For the mentioned cards, the image used as the section image is incorrect. The purple podium image is only to be used in case of Cashback SBI Card</t>
  </si>
  <si>
    <t>https://loom.com/i/fd4c189bffd14ed4a90a5b612fac45b4</t>
  </si>
  <si>
    <t>05/03/2026 - The issue is resolved on sbi-pvt - https://loom.com/i/0da17ac954b5447e8d115ab3907adef1</t>
  </si>
  <si>
    <t>UAT_CR_317</t>
  </si>
  <si>
    <t>Key Benefits --&gt; Image</t>
  </si>
  <si>
    <t>SBI Card Pulse being a core card has its own key benefits image but the default lifestyle theme image is being used.</t>
  </si>
  <si>
    <t>https://www.loom.com/i/c22fa40f2c08486fb0f4a5ec5bfc6799</t>
  </si>
  <si>
    <t>05/03/2026 - The issue is resolved on sbi-pvt - https://loom.com/i/9627ab4258534653baa2e364d3d3ceb3</t>
  </si>
  <si>
    <t>UAT_CR_318</t>
  </si>
  <si>
    <t>Exclusive Privileges --&gt; Mobile Phones --&gt; Image</t>
  </si>
  <si>
    <t>https://www.loom.com/i/ca1e8691a8eb4c43aa313176dddf3938</t>
  </si>
  <si>
    <t>05/03/2026 - The issue is resolved on sbi-pvt - https://loom.com/i/cc0ecce782cf4980beeb07ded467af8a</t>
  </si>
  <si>
    <t>UAT_CR_319</t>
  </si>
  <si>
    <t>A different image that doesn't have the background gradiance effect would be required as the current image's gradiance effect doesn't blend in well with the section's background colour</t>
  </si>
  <si>
    <t>https://www.loom.com/i/994b645b817c4e82872c88d12070e9db</t>
  </si>
  <si>
    <t>UAT_CR_320</t>
  </si>
  <si>
    <t>Side Bar --&gt; Banner Image</t>
  </si>
  <si>
    <t>The Banner image used in incorrect. Instead of SBI Card Miles Elite's Banner image (core card). The new image provided for SBI Card Miles should be used.</t>
  </si>
  <si>
    <t>https://www.loom.com/i/7f0b3bb7c7d94904bbfe02f543b111b5</t>
  </si>
  <si>
    <t>09/02/2026 - The issue is resolved on sbi-pvt on call by Neha Laddha ma'am - https://loom.com/i/c8bdbfafaf534724859202efdf6b6444</t>
  </si>
  <si>
    <t>UAT_CR_321</t>
  </si>
  <si>
    <t>Side Bar --&gt; iPads / Tablets --&gt; Landscape Mode --&gt; Banner Image</t>
  </si>
  <si>
    <t>The Side bar image doesn't contain itself in the entire side bar space and instead gets repeated in case of iPads / Tablets landscape mode.</t>
  </si>
  <si>
    <t>https://www.loom.com/share/935ba775e89f45eab397cf48fcc0eca0</t>
  </si>
  <si>
    <t>UAT_CR_322</t>
  </si>
  <si>
    <t xml:space="preserve"> Mobile Phones</t>
  </si>
  <si>
    <t>Side Bar --&gt; Mobile Phones --&gt; Landscape Mode --&gt; Banner Image</t>
  </si>
  <si>
    <t>The Side bar image gets cropped incorrectly and its elements are not properly visible in case of Mobile Phones in landscape mode</t>
  </si>
  <si>
    <t>https://www.loom.com/share/643f8c089526416ca8917e6efccab2ef</t>
  </si>
  <si>
    <t>UAT_CR_323</t>
  </si>
  <si>
    <t>Explore Rewards --&gt; Reward Benefits Tab --&gt; Image on the right</t>
  </si>
  <si>
    <t>Image for the Reward Benefits tab is incorrect. Instead of right aligned image, center aligned image needs to be used</t>
  </si>
  <si>
    <t>https://www.loom.com/i/1017a48d628e48b5ab85870c8ff048ab</t>
  </si>
  <si>
    <t>UAT_CR_324</t>
  </si>
  <si>
    <t>Explore Rewards --&gt; Reward Benefits --&gt; Section's Image on the right</t>
  </si>
  <si>
    <t>Shaurya SBI Card is a shopping card as per the card theme tracker we've been following for all the cards till now. Therefore, the shopping card's explore rewards image should be used.</t>
  </si>
  <si>
    <t>https://www.loom.com/i/18c237a848664e9da13fcfa7202d0a24</t>
  </si>
  <si>
    <t>UAT_CR_325</t>
  </si>
  <si>
    <t>Explore Rewards --&gt; Both Tabs --&gt; Section's Image</t>
  </si>
  <si>
    <t>Titan SBI Card being a shopping card as per the card theme tracker we've been following, the image in the explore rewards section should be used accordingly. Please check the screenshot.</t>
  </si>
  <si>
    <t>https://www.loom.com/i/5571d31c46b44c039b289f0148ddb095</t>
  </si>
  <si>
    <t>UAT_CR_326</t>
  </si>
  <si>
    <t>Other Features --&gt; Section's Image</t>
  </si>
  <si>
    <t>Titan SBI Card being a shopping card as per the card theme tracker we've been following, the image in Other Features section should be used accordingly. Please check the screenshot.</t>
  </si>
  <si>
    <t>https://www.loom.com/i/ca82b16029674a5b92ce7f48a3ad4f6c</t>
  </si>
  <si>
    <t>UAT_CR_327</t>
  </si>
  <si>
    <t>Key Benefits --&gt; Section Image</t>
  </si>
  <si>
    <t>Titan SBI Card being a shopping card as per the card theme tracker we've been following, the image in Key Benefits section should be used accordingly. Please check the screenshot.</t>
  </si>
  <si>
    <t>https://www.loom.com/i/f54122bf6c1044c9bd2579fde44cc472</t>
  </si>
  <si>
    <t>UAT_CR_328</t>
  </si>
  <si>
    <t>Mobile Phones --&gt; Exclusive Privileges --&gt; Section Image</t>
  </si>
  <si>
    <t>Titan SBI Card being a shopping card as per the card theme tracker we've been following, the image in Exclusive Privileges section in case of mobile phones should be used accordingly. Please check the screenshot.</t>
  </si>
  <si>
    <t>https://www.loom.com/i/f9d9b3de04aa4ccd9e2fe5c8044c5fbc</t>
  </si>
  <si>
    <t>UAT_CR_329</t>
  </si>
  <si>
    <t>Entire Page Theme</t>
  </si>
  <si>
    <t>SimplySAVE SBI Card being a core card has it's own theme instead of plain light theme. The same needs to be followed.</t>
  </si>
  <si>
    <t>https://loom.com/i/6f8acd44ed524434a9e4e74b02db9534</t>
  </si>
  <si>
    <t>https://loom.com/i/bdd7db005c2d4a8b87a69f298e81333c</t>
  </si>
  <si>
    <t>09/03/2026 - It is only resolved on sbifo-pvt but not on sbi-pvt - https://loom.com/i/4c1d78042a714fb685fc49879b4b44eb</t>
  </si>
  <si>
    <t>UAT_CR_330</t>
  </si>
  <si>
    <t>SimplyCLICK SBI Card being a core card has it's own theme instead of plain light theme. The same needs to be followed.</t>
  </si>
  <si>
    <t>https://loom.com/i/51686056e2cc47dea365a43b1b80bea7</t>
  </si>
  <si>
    <t>https://loom.com/i/1093d8e1f08f410c8af5b544cdcd2bd2</t>
  </si>
  <si>
    <t>09/03/2026 - The issue is resolved on sbi-pvt - https://loom.com/i/83a97ae4b3c64a318aed7d22d6765303</t>
  </si>
  <si>
    <t>UAT_CR_331</t>
  </si>
  <si>
    <t>Side Bar --&gt; Best For --&gt; Benefits --&gt; "Cashback Benefits", "Contactless Advantage"</t>
  </si>
  <si>
    <t>"Cashback Benefits", "Contactless Advantage" needs to be replaced with "Myntra Cashback", "Flipkart Cashback"</t>
  </si>
  <si>
    <t>https://www.loom.com/i/c6a7e68b25df43f59920429cbb005b35</t>
  </si>
  <si>
    <t>10/03/2026 - The issue is resolved on sbi-pvt - https://loom.com/i/eb72b780dddd4a969a26c69b03eb6363</t>
  </si>
  <si>
    <t>UAT_CR_332</t>
  </si>
  <si>
    <t>Key Benefits &amp; Exclusive Privileges Section Background Image --&gt; Image bottom</t>
  </si>
  <si>
    <t>The combined background image of the mentioned section has slider dots in the image itself. This needs to be corrected and sent to the SBI Team. Check the screenshot.</t>
  </si>
  <si>
    <t>https://www.loom.com/i/2c984bfe189141d8b66b416bab52dda2</t>
  </si>
  <si>
    <t>UAT_CR_333</t>
  </si>
  <si>
    <t>SimplyClick &amp; SimplySave SBI Card</t>
  </si>
  <si>
    <t>Other Features Section --&gt; Image on the Right</t>
  </si>
  <si>
    <t>The other features section image appears smaller in size when compared with the other cards in the shopping category. Check the screen recording.</t>
  </si>
  <si>
    <t>https://www.loom.com/share/b36e824267b04154b480c4f55f0e9b85</t>
  </si>
  <si>
    <t>12/03/2026 - As discussed in the UAT Discussion Call, this is because of the core card css class that gets applied on the image due to which same image appears normal on other pages but smaller on these 2 core cards. Therefore, this issue has been changed from PVT to HTML and as SBI Team is no longer picking any HTML/CSS fixes, therefore need to mark this issue as P3.</t>
  </si>
  <si>
    <t>UAT_CR_334</t>
  </si>
  <si>
    <t>Side Bar Banner Image</t>
  </si>
  <si>
    <t>The side bar image appears extra white in case of desktops and remains not found in case of touch devices. Check the actual vs expected result screenshots</t>
  </si>
  <si>
    <t>https://loom.com/i/eceaed4cfe504346938dd586b2d2d6b6
https://www.loom.com/i/26d276fb3cad47a297709e514ff96fa7</t>
  </si>
  <si>
    <t>https://loom.com/i/f603c4b6d6074f479f5e1d081604d2a3</t>
  </si>
  <si>
    <t>13/03/2026 - The issue has been resolved on UAT call on sbi-pvt - https://loom.com/i/ebc43714690e4500bbfb2b5bfa5ac182</t>
  </si>
  <si>
    <t>UAT_CR_335</t>
  </si>
  <si>
    <t>Product Videos section heading</t>
  </si>
  <si>
    <t>Instead of "Product Benefits" the heading should be "Product VIDEOS"</t>
  </si>
  <si>
    <t>https://www.loom.com/i/2c76cdc7775844419d304381a636b017</t>
  </si>
  <si>
    <t>UAT_CR_336</t>
  </si>
  <si>
    <t>Product Videos --&gt; 4th Video Thumbnail</t>
  </si>
  <si>
    <t>Due to the 4th video thumbnail aspect ratio not being consistent with the other thumbnail, it breaks the alignment</t>
  </si>
  <si>
    <t>https://www.loom.com/i/bb03412f169c4f048ff057b293919125</t>
  </si>
  <si>
    <t>UAT_CR_337</t>
  </si>
  <si>
    <t>Terms &amp; Documents section --&gt; Heading</t>
  </si>
  <si>
    <t>It should be "Documents" instead of "Document" in the section heading.</t>
  </si>
  <si>
    <t>UAT_CR_338</t>
  </si>
  <si>
    <t xml:space="preserve">Other Features section --&gt; Heading </t>
  </si>
  <si>
    <t>The word "Other" needs to be capitalized.</t>
  </si>
  <si>
    <t>17/03/2026 - The issue has been resolved on sbi-pvt - https://loom.com/i/bf05938d78ca46d3865399d195726c8d</t>
  </si>
  <si>
    <t>UAT_CR_339</t>
  </si>
  <si>
    <t>Credit Card Fees &amp; Charges section --&gt; Heading</t>
  </si>
  <si>
    <t>It should only be "Credit Card" instead of "Credit Cards" in the section heading.</t>
  </si>
  <si>
    <t>UAT_CR_340</t>
  </si>
  <si>
    <t>Ola Money SBI Card,  Paytm SBI Card, Paytm SBI Card Select</t>
  </si>
  <si>
    <t>Credit Card Fees &amp; Charges section --&gt; Joining &amp; Renewal Fee</t>
  </si>
  <si>
    <t>The Joining Fee should be written first followed by the Renewal Fee in the next line.</t>
  </si>
  <si>
    <t>UAT_CR_341</t>
  </si>
  <si>
    <t>The section heading is missing - "Credit Card". Unlike other credit card pages, here this section's title is simply written "Fees &amp; Charges"</t>
  </si>
  <si>
    <t>UAT_CR_342</t>
  </si>
  <si>
    <t>Credit Card Fees &amp; Charges --&gt; FAQs tab</t>
  </si>
  <si>
    <t>The Tab label should be "FAQs" instead of "FAQ's"</t>
  </si>
  <si>
    <t>Credit Card</t>
  </si>
  <si>
    <t>Cards to appear</t>
  </si>
  <si>
    <t>Cards Occurrence</t>
  </si>
  <si>
    <t>Card Sequence</t>
  </si>
  <si>
    <t>SBI Card Miles Elite
IndiGo SBI Card ELITE
Etihad Guest SBI Premier Card
Air India SBI Signature Card</t>
  </si>
  <si>
    <t>13/03/2026 - Card sequence issue resolved - https://loom.com/i/58358181db4d443ab212df996347b707
08/03/2026 - Card sequence doesn't match</t>
  </si>
  <si>
    <t>SimplyCLICK SBI Card
Flipkart SBI Card
Tata Neu Infinity SBI Card
Tata Neu Plus SBI Card
PhonePe SBI Card SELECT BLACK
PhonePe SBI Card PURPLE</t>
  </si>
  <si>
    <t>10/03/2026 - Implemented and closed.
06/03/2026 - As no cards clear the conditions to appear in the similar cards section for this card, the cards mentioned in the "cards to appear" section should be entered manually as per Namita ma'am</t>
  </si>
  <si>
    <t>Tata Neu Infinity SBI Card
PhonePe SBI Card SELECT BLACK
Apollo SBI Card SELECT
Paytm SBI Card SELECT
Shaurya Select SBI Card
Doctor's SBI Card (in association with IMA)</t>
  </si>
  <si>
    <t>SBI Card ELITE
SBI Card Miles Elite
IndiGo SBI Card ELITE
Etihad Guest SBI Premier Card</t>
  </si>
  <si>
    <t>13//03/2026 - Card sequence issue resolved - https://loom.com/i/5403273a6c4b4b5c842dee46540c66c7
08/03/2026 - Card sequence doesn't match</t>
  </si>
  <si>
    <t>IndiGo SBI Card
IRCTC SBI Card Premier
SBI Card MILES
BPCL SBI Card OCTANE
Club Vistara SBI Card
Etihad Guest SBI Card</t>
  </si>
  <si>
    <t>SBI Card PULSE
PhonePe SBI Card SELECT BLACK
Paytm SBI Card SELECT
Shaurya Select SBI Card</t>
  </si>
  <si>
    <t>CASHBACK SBI Card
SimplyCLICK SBI Card
Tata Neu Infinity SBI Card
Tata Neu Plus SBI Card
PhonePe SBI Card SELECT BLACK
PhonePe SBI Card PURPLE</t>
  </si>
  <si>
    <t>13/03/2026 - The issue is resolved on sbi-pvt - https://loom.com/i/124fb85548c74ac99f08048fc88d0481
06/03/2026 - As no cards clear the conditions to appear in the similar cards section for this card, the cards mentioned in the "cards to appear" section should be entered manually as per Namita ma'am</t>
  </si>
  <si>
    <t>SimplyCLICK SBI Card
SimplySAVE SBI Card
Reliance SBI Card
Paytm SBI Card
OLA Money SBI Card
Tata Card</t>
  </si>
  <si>
    <t>09/03/2026 - After receiving the updated master sorting sheet, this card occurences are correct as per the new sheet.
05/03/2026 - SBI Card Unnati is not present and instead Tata Card is included. Tata Card is no where to be found in the master soring list</t>
  </si>
  <si>
    <t>SBI Card PRIME
KrisFlyer SBI Card
SBI Card MILES PRIME
Titan SBI Card
Reliance SBI Card PRIME
Club Vistara SBI Card PRIME</t>
  </si>
  <si>
    <t>13/03/2026 - Card sequence issue is resolved - https://loom.com/i/82e037a82ff04bea89b125e5eb69f512
08/03/2026 - Card sequence doesn't match</t>
  </si>
  <si>
    <t>IndiGo SBI Card
IRCTC SBI Card Premier
SBI Card MILES
BPCL SBI Card OCTANE
Club Vistara SBI Card
Air India SBI Platinum Card</t>
  </si>
  <si>
    <t>SBI Card PULSE
Tata Neu Infinity SBI Card
Doctor's SBI Card (in association with IMA)</t>
  </si>
  <si>
    <t>SBI Card ELITE
SBI Card PRIME
BPCL SBI Card OCTANE</t>
  </si>
  <si>
    <t>11/03/2026 - Issue resolved on sbi-pvt - https://loom.com/i/aa71068983cd439abb44380d9f548628
06/03/2026 - As no cards clear the conditions to appear in the similar cards section for this card, the cards mentioned in the "cards to appear" section should be entered manually as per Namita ma'am</t>
  </si>
  <si>
    <t>SBI Card ELITE
SBI Card Miles Elite
IndiGo SBI Card ELITE
Air India SBI Signature Card</t>
  </si>
  <si>
    <t>13/03/2026 - The issue is resolved on sbi-pvt - https://loom.com/i/92db7daf7ecd49c5bde12055aebc58ff
08/03/2026 - Card sequence doesn't match</t>
  </si>
  <si>
    <t>SBI Card PULSE
Tata Neu Infinity SBI Card
Doctor's SBI Card</t>
  </si>
  <si>
    <t>IndiGo SBI Card
IRCTC SBI Card Premier
SBI Card MILES
Club Vistara SBI Card
Etihad Guest SBI Card
Air India SBI Platinum Card</t>
  </si>
  <si>
    <t>IndiGo SBI Card
IRCTC SBI Card Premier
SBI Card MILES
BPCL SBI Card OCTANE
Etihad Guest SBI Card
Air India SBI Platinum Card</t>
  </si>
  <si>
    <t>SimplyCLICK SBI Card
PhonePe SBI Card PURPLE
Paytm SBI Card</t>
  </si>
  <si>
    <t>13/03/2026 - Issue is resolved on sbi-pvt - https://loom.com/i/0372e33905dd4f2aa67bf3780ce4610f
08/03/2026 - The Simply Save Card is not supposed to be in the section because it doesn't come in the rewards category</t>
  </si>
  <si>
    <t>SBI Card PRIME
KrisFlyer SBI Card
SBI Card MILES PRIME
Titan SBI Card
Reliance SBI Card PRIME
Landmark Rewards SBI Card PRIME</t>
  </si>
  <si>
    <t>13/03/2026 - The issue is resolved on sbi-pvt - https://loom.com/i/0e2b447cbc8d4d5eb6acf2486b06569a
08/03/2026 - Card sequence doesn't match</t>
  </si>
  <si>
    <t>IndiGo SBI Card
IRCTC SBI Card Premier
SBI Card MILES</t>
  </si>
  <si>
    <t>13/03/2026 - The issue is resolved on sbi-pvt - https://loom.com/i/90e0f9b92c7c4fc7bd40b910cb703234
06/03/2026 - As no cards clear the conditions to appear in the similar cards section for this card, the cards mentioned in the "cards to appear" section should be entered manually as per Namita ma'am</t>
  </si>
  <si>
    <t>IndiGo SBI Card
SBI Card MILES
BPCL SBI Card OCTANE
Club Vistara SBI Card
Etihad Guest SBI Card
Air India SBI Platinum Card</t>
  </si>
  <si>
    <t>SimplyCLICK SBI Card
SimplySAVE SBI Card
Reliance SBI Card
Paytm SBI Card
Landmark Rewards SBI Card
Tata Card</t>
  </si>
  <si>
    <t>SBI Card PRIME
SBI Card MILES PRIME
Titan SBI Card
Reliance SBI Card PRIME
Landmark Rewards SBI Card PRIME
Club Vistara SBI Card PRIME</t>
  </si>
  <si>
    <t>13/03/2026 - The card sequence issue is resolved on sbi-pvt - https://loom.com/i/7b1f44418077447cbec0f98288f07e9b
08/03/2026 - Card sequence doesn't match</t>
  </si>
  <si>
    <t>TATA NEU Infinity SBI Card</t>
  </si>
  <si>
    <t>SBI Card PULSE
PhonePe SBI Card SELECT BLACK
Doctor's SBI Card (in association with IMA)
Doctor's SBI Card</t>
  </si>
  <si>
    <t>SimplyCLICK SBI Card
Tata Neu Plus SBI Card
Paytm SBI Card
Apollo SBI Card</t>
  </si>
  <si>
    <t>13/03/2026 - Issue is resolved on sbi-pvt - https://loom.com/i/2e8df92117724e9f90d321f86f28b2ec
08/03/2026 - SimplySAVE card doesn't come in rewards or cashback category so it should not come in this card's similar cards section</t>
  </si>
  <si>
    <t>SBI Card PULSE
PhonePe SBI Card SELECT BLACK
Apollo SBI Card SELECT
Landmark Rewards SBI Card SELECT
Shaurya Select SBI Card</t>
  </si>
  <si>
    <t>SBI Card ELITE
IndiGo SBI Card ELITE
Etihad Guest SBI Premier Card
Air India SBI Signature Card</t>
  </si>
  <si>
    <t>SBI Card ELITE
SBI Card Miles Elite
Etihad Guest SBI Premier Card
Air India SBI Signature Card</t>
  </si>
  <si>
    <t>SimplyCLICK SBI Card
SimplySAVE SBI Card
Paytm SBI Card
Landmark Rewards SBI Card
OLA Money SBI Card
Tata Card</t>
  </si>
  <si>
    <t>Reliance SBI card prime</t>
  </si>
  <si>
    <t>SBI Card PRIME
KrisFlyer SBI Card
SBI Card MILES PRIME
Titan SBI Card
Landmark Rewards SBI Card PRIME
Club Vistara SBI Card PRIME</t>
  </si>
  <si>
    <t>13/03/2026 - The card sequence issue is resolved - https://loom.com/i/1412a9d541384a69a8855c1d6bd8dc55
08/03/2026 - Card sequence doesn't match</t>
  </si>
  <si>
    <t>IRCTC SBI Card Premier
SBI Card MILES
BPCL SBI Card OCTANE
Club Vistara SBI Card
Etihad Guest SBI Card
Air India SBI Platinum Card</t>
  </si>
  <si>
    <t>SBI Card PULSE
Tata Neu Infinity SBI Card
Apollo SBI Card SELECT
Paytm SBI Card SELECT
Shaurya Select SBI Card</t>
  </si>
  <si>
    <t>SimplyCLICK SBI Card
SimplySAVE SBI Card
PhonePe SBI Card PURPLE
Reliance SBI Card
Landmark Rewards SBI Card
OLA Money SBI Card</t>
  </si>
  <si>
    <t>KrisFlyer SBI Card
SBI Card MILES PRIME
Titan SBI Card
Reliance SBI Card PRIME
Landmark Rewards SBI Card PRIME
Club Vistara SBI Card PRIME</t>
  </si>
  <si>
    <t>13/03/2026 - The card sequence issue is resolved - https://loom.com/i/ab10db45f71248278a7f06ff0874e01a
08/03/2026 - Card sequence doesn't match</t>
  </si>
  <si>
    <t>IndiGo SBI Card
IRCTC SBI Card Premier
BPCL SBI Card OCTANE
Club Vistara SBI Card
Etihad Guest SBI Card
Air India SBI Platinum Card</t>
  </si>
  <si>
    <t>SBI Card Miles PRIME</t>
  </si>
  <si>
    <t>SBI Card PRIME
KrisFlyer SBI Card
Titan SBI Card
Reliance SBI Card PRIME
Landmark Rewards SBI Card PRIME
Club Vistara SBI Card PRIME</t>
  </si>
  <si>
    <t>13/03/2026 - The issue is resolved on sbi-pvt - https://loom.com/i/7a0e1fe363c440c49e3c5956419d4856</t>
  </si>
  <si>
    <t>SimplyCLICK SBI Card
SimplySAVE SBI Card
Reliance SBI Card
Paytm SBI Card
Landmark Rewards SBI Card
OLA Money SBI Card</t>
  </si>
  <si>
    <t>13/03/2026 - The issue is resolved on sbi-pvt - https://loom.com/i/82d0951fd55f47ee89c8b0751840d74e
08/03/2026 - Simlar Cards section is missing</t>
  </si>
  <si>
    <t>Simply CLICK SBI Card</t>
  </si>
  <si>
    <t>SimplySAVE SBI Card
PhonePe SBI Card PURPLE
Reliance SBI Card
Paytm SBI Card
Landmark Rewards SBI Card
OLA Money SBI Card</t>
  </si>
  <si>
    <t>Simply SAVE SBI Card</t>
  </si>
  <si>
    <t>SimplyCLICK SBI Card
Reliance SBI Card
Paytm SBI Card
Landmark Rewards SBI Card
OLA Money SBI Card
Tata Card</t>
  </si>
  <si>
    <t>PhonePe SBI Card Purple should not be in the section and instead Tata Card should be present</t>
  </si>
  <si>
    <t>SBI Card PRIME
KrisFlyer SBI Card
SBI Card MILES PRIME
Reliance SBI Card PRIME
Landmark Rewards SBI Card PRIME
Club Vistara SBI Card PRIME</t>
  </si>
  <si>
    <t>SBI Card PRIME
SBI Card PULSE
Shaurya Select SBI Card
Apollo SBI Card</t>
  </si>
  <si>
    <t>13/03/2026 - The issue is resolved on sbi-pvt - https://loom.com/i/d256c0cf825a44939e2ad0e583639883
06/03/2026 - As no cards clear the conditions to appear in the similar cards section for this card, the cards mentioned in the "cards to appear" section should be entered manually as per Namita ma'am</t>
  </si>
  <si>
    <t>SBI Card PULSE
PhonePe SBI Card SELECT BLACK
Apollo SBI Card SELECT
Paytm SBI Card SELECT</t>
  </si>
  <si>
    <t>Filter Type</t>
  </si>
  <si>
    <t>Criteria</t>
  </si>
  <si>
    <t>Cards</t>
  </si>
  <si>
    <t>Filter Status</t>
  </si>
  <si>
    <t>Sequence Status</t>
  </si>
  <si>
    <t>Remark</t>
  </si>
  <si>
    <t>TAGS</t>
  </si>
  <si>
    <t>Premium</t>
  </si>
  <si>
    <t>SBI Card ELITE
SBI Card PRIME
SBI Card MILES PRIME</t>
  </si>
  <si>
    <t>10/03/2026 - Issue resolved. Test Cases passed.
30/01/2026 - Cashback card also appears when Premium Tag Filter is applied and the sequence (Newest to Oldest) is not followed - 
https://www.loom.com/i/d42e355d750142b987274a2377065f4e</t>
  </si>
  <si>
    <t xml:space="preserve">D- Column : Cashback card tag was best selling Premium Tag has removed and updated the Tag </t>
  </si>
  <si>
    <t>Popular</t>
  </si>
  <si>
    <t>SBI Card PULSE
IRCTC SBI Card Premier
Landmark Rewards SBI Card PRIME
BPCL SBI Card</t>
  </si>
  <si>
    <t>10/03/2026 - Sequence issue resolved.
30/01/2026 - The sequence (Newest to Oldest) is not followed -
https://loom.com/i/c51fc9c5878c4d99809e5f9f6dd4843f</t>
  </si>
  <si>
    <t>New Launch</t>
  </si>
  <si>
    <t>IndiGo SBI Card ELITE
IndiGo SBI Card
Tata Neu Infinity SBI Card
PhonePe SBI Card PURPLE</t>
  </si>
  <si>
    <t xml:space="preserve">10/03/2026 - Sequence issue resolved.
30/01/2026 - The sequence (Newest to Oldest) is not followed </t>
  </si>
  <si>
    <t>Trending</t>
  </si>
  <si>
    <t>Flipkart SBI Card
Tata Neu Plus SBI Card
PhonePe SBI Card SELECT BLACK
BPCL SBI Card OCTANE</t>
  </si>
  <si>
    <t>10/03/2026 - Sequence issue resolved.</t>
  </si>
  <si>
    <t>Exclusive</t>
  </si>
  <si>
    <t>KrisFlyer SBI Card
KrisFlyer SBI Card Apex
Titan SBI Card
Doctor's SBI Card (in association with IMA)</t>
  </si>
  <si>
    <t>10/03/2026 - Sequence issue resolved.
30/01/2026 - Titan SBI Card not found as it is not yet made but the sequence (Newest to Oldest) is not followed
https://www.loom.com/i/adbcad62714842be93335e385aefe9e0</t>
  </si>
  <si>
    <t>Super Premium</t>
  </si>
  <si>
    <t>16/3/2026</t>
  </si>
  <si>
    <t>16/03/2026 - Issue resolved - https://loom.com/i/0c498426308c426dac83aff56ac170c4
10/03/2026 - Aurum card doesn't appear when super premium tag is applied.
30/01/2026 - Aurum Card is not found - 
https://www.loom.com/i/3a1f1907902d4a7284fd4547aa992c8f</t>
  </si>
  <si>
    <t>Best Selling</t>
  </si>
  <si>
    <t>CASHBACK SBI Card
SimplyCLICK SBI Card
SimplySAVE SBI Card</t>
  </si>
  <si>
    <t>16/03/2026 - The sequence issue is resolved - https://loom.com/i/03abcdb012714df2a9e2bebca0c1c86e
10/03/2026 - Cashback SBI Card should appear before SimplyClick &amp; SimplySave Card
30/01/2026 - The Best Selling Tag check box itself is missing for the Tag List in the Filter Menu - 
https://www.loom.com/i/d156f4ead6b44054898a8ecc8a0de58f</t>
  </si>
  <si>
    <t>D- Column : Best selling Tag box has been added and updated</t>
  </si>
  <si>
    <t>Recommended</t>
  </si>
  <si>
    <t>SBI Card Miles Elite
IRCTC SBI Platinum Card</t>
  </si>
  <si>
    <t>CATAGORY</t>
  </si>
  <si>
    <t>Featured</t>
  </si>
  <si>
    <t>CASHBACK SBI Card
SBI Card ELITE
SimplyCLICK SBI Card
SBI Card PRIME
SBI Card Miles Elite
SimplySAVE SBI Card
SBI Card PULSE</t>
  </si>
  <si>
    <t>16/03/2026 - Filter &amp; card sequencing, both issues resolved - https://loom.com/i/79946a6c731843cfb93ceb2e1285ecac
10/03/2026 - Etihad Guest SBI Premier Card should not be present. Also, the cards should appear in the same sequence as mentioned in the 2nd column.
30/01/2026 - SimplyClick SBI Card &amp; SimplySAVE SBI Card missing and that's okay as they are not yet made but Eitihad Guest SBI Premier Card should not appear as per the master sheet. Also, Sequence (Newest to Oldest) not being followed - 
https://loom.com/i/b669c9f5dc6d4304b0bdf508d4ccd8cc</t>
  </si>
  <si>
    <t>As per master file Etihad Guest SBI Premier card has featured 
category</t>
  </si>
  <si>
    <t>SBI Card ELITE
SBI Card PRIME
SBI Card Miles Elite
Aurum Card
IndiGo SBI Card ELITE
KrisFlyer SBI Card
KrisFlyer SBI Card Apex
SBI Card MILES PRIME
Titan SBI Card
Reliance SBI Card PRIME
Landmark Rewards SBI Card PRIME
Etihad Guest SBI Premier Card
Club Vistara SBI Card PRIME
Air India SBI Signature Card
Tata Card SELECT</t>
  </si>
  <si>
    <t>12/03/2026 - Sequence issue resolved
10/03/2026 - The SBI Card Miles Elite should be 3rd in the sequence being a core card.
30/01/2026 - Aurum &amp; Titan SBI Card missing as they are not yet made but Club Vistara SBI Card should not be present in case of Premium Category, TATA Card Select should be present - 
https://www.loom.com/i/55e9aa0f8c5e4ed8bf6b428e37ffd885</t>
  </si>
  <si>
    <t>D-Column : Club vistara SBI card premium category has removed 
and Published</t>
  </si>
  <si>
    <t>Lifestyle</t>
  </si>
  <si>
    <t>SBI Card ELITE
SBI Card PULSE
Tata Neu Plus SBI Card
Tata Neu Infinity SBI Card
Titan SBI Card
Doctor's SBI Card
Doctor's SBI Card (in association with IMA)</t>
  </si>
  <si>
    <t>10/03/2026 - Tata Neu Plus SBI Card should appear before Tata Neu Infinity SBI card and Doctor's SBI Card should appear before Doctor's SBI card (In Association with IMA)
30/01/2026 - Titan SBI Card is missing as it is not yet made but  the sequence is not being followed - 
https://loom.com/i/764efa5b903f4d42a496d3063f23e9c9</t>
  </si>
  <si>
    <t>Rewards</t>
  </si>
  <si>
    <t>SimplyCLICK SBI Card
SBI Card PRIME
SBI Card PULSE
PhonePe SBI Card SELECT BLACK
PhonePe SBI Card PURPLE
Apollo SBI Card SELECT
Paytm SBI Card
Paytm SBI Card SELECT
Shaurya Select SBI Card
Shaurya SBI Card
Apollo SBI Card</t>
  </si>
  <si>
    <t>12/03/2026 - Shaurya SBI Card's date is 19th Sept 2019
10/03/2026 - Shaurya SBI Card should be 4th in sequence
30/01/2026 - SimplyCLICK SBI Card, Shaurya SBI Card, Shaurya Select SBI Card missing as they are not yet made but the sequence is not being followed.</t>
  </si>
  <si>
    <t>D-Column : Club vistara SBI card premium category has removed</t>
  </si>
  <si>
    <t>Cashback</t>
  </si>
  <si>
    <t>CASHBACK SBI Card
Flipkart SBI Card
Tata Neu Plus SBI Card
Tata Neu Infinity SBI Card
PhonePe SBI Card SELECT BLACK
PhonePe SBI Card PURPLE</t>
  </si>
  <si>
    <t>10/03/2026 - The sequence issue has been resolved.
04/02/2026 - Sequence is not being followed.
30/01/2026 - Sequence is not being followed.</t>
  </si>
  <si>
    <t>and Published</t>
  </si>
  <si>
    <t>Shopping</t>
  </si>
  <si>
    <t>CASHBACK SBI Card
SimplyCLICK SBI Card
SimplySAVE SBI Card
Flipkart SBI Card
Reliance SBI Card PRIME
Reliance SBI Card
Landmark Rewards SBI Card PRIME
Paytm SBI Card SELECT
Paytm SBI Card
Landmark Rewards SBI Card
Landmark Rewards SBI Card SELECT
OLA Money SBI Card
Tata Card
Tata Card SELECT
SBI Card Unnati</t>
  </si>
  <si>
    <t>16/03/2026 - The sequence issue is resolved - https://loom.com/i/57c842f884f9441ea8e348f6871f2377
10/03/2026 - Cashback should appear 1st in sequence
30/01/2026 - SimplyCLICK SBI Card, SimplySAVE SBI Card are missing which is fine as they are not yet made but the sequence is not being followed.</t>
  </si>
  <si>
    <t>Travel &amp; Fuel</t>
  </si>
  <si>
    <t>SBI Card Miles Elite
IndiGo SBI Card ELITE
IndiGo SBI Card
IRCTC SBI Card Premier
KrisFlyer SBI Card
KrisFlyer SBI Card Apex
SBI Card MILES PRIME
SBI Card MILES
BPCL SBI Card
BPCL SBI Card OCTANE
Etihad Guest SBI Premier Card
Club Vistara SBI Card PRIME
Air India SBI Signature Card
IRCTC SBI Platinum Card
Club Vistara SBI Card
Etihad Guest SBI Card
Air India SBI Platinum Card</t>
  </si>
  <si>
    <t>10/03/2026 - SBI Card Miles Elite should be 1st in sequence and SBI Card Miles should be 8th in sequence
30/01/2026 - All cards appear but the sequence is incorrect.</t>
  </si>
  <si>
    <t>Banking Partnerships</t>
  </si>
  <si>
    <t>Bank of Maharashtra SimplySAVE SBI Card
Bank of Maharashtra SBI Card ELITE
Bank of Maharashtra SBI Card PRIME
UCO Bank SBI Card ELITE
PSB SBI Card ELITE
PSB SimplySAVE SBI Card
PSB SBI Card PRIME
UCO Bank SBI Card PRIME
Central Bank of India SBI Card Prime
City Union Bank SBI Card PRIME
Karnataka Bank SBI Card PRIME
Karnataka Bank SimplySAVE SBI Card
South Indian Bank SBI Card PRIME
South Indian Bank SimplySAVE SBI Card
South Indian Bank SBI Platinum Credit Card
Central Bank of India SBI Card ELITE
City Union Bank SimplySAVE SBI Card
Central Bank Of India SimplySave SBI Card
UCO Bank SimplySAVE SBI Card
Karur Vysya Bank - SBI Card
KVB SBI Card ELITE
KVB SBI Card PRIME
KVB SimplySAVE SBI Card
KVB SBI Signature Card
Karur Vysya Bank - SBI Platinum Credit Card</t>
  </si>
  <si>
    <t>10/03/2026 - All Cards Present in correct sequence
30/01/2026 - Only Bank of Maharashtra Card appears which is fine as other cards are not yet made - 
https://loom.com/i/baa66d7c29da4110ba7a10c6f8b31c0d</t>
  </si>
  <si>
    <t>BENEFITS</t>
  </si>
  <si>
    <t>CASHBACK SBI Card
Flipkart SBI Card
Tata Neu Infinity SBI Card
Tata Neu Plus SBI Card
Titan SBI Card
Paytm SBI Card SELECT
Paytm SBI Card</t>
  </si>
  <si>
    <t>10/03/2026 - The sequence issue is resolved.
30/01/2026 - Titan card is missing but that is fine as it is not yet made but the sequence of cards is still not being followed - 
https://loom.com/i/b4d0c199013b44e3bdfbb8516bccf2f5</t>
  </si>
  <si>
    <t>Airport Lounge Access</t>
  </si>
  <si>
    <t>SBI Card ELITE
SBI Card PRIME
SBI Card Miles Elite
SBI Card PULSE
Aurum Card
IndiGo SBI Card ELITE
IndiGo SBI Card
Tata Neu Plus SBI Card
Tata Neu Infinity SBI Card
PhonePe SBI Card SELECT BLACK
Apollo SBI Card SELECT
KrisFlyer SBI Card
KrisFlyer SBI Card Apex
SBI Card MILES PRIME
SBI Card MILES
Titan SBI Card
Reliance SBI Card PRIME
Landmark Rewards SBI Card PRIME
BPCL SBI Card OCTANE
Etihad Guest SBI Premier Card
Club Vistara SBI Card PRIME
Air India SBI Signature Card
Paytm SBI Card SELECT
Club Vistara SBI Card
Shaurya Select SBI Card
Etihad Guest SBI Card
Doctor's SBI Card
Doctor's SBI Card (in association with IMA)
Air India SBI Platinum Card</t>
  </si>
  <si>
    <t>12/03/2026 - The sequence issue is now resolved
10/03/2026 - SBI Card Miles Elite should appear 3rd in the sequence being a core card instead of SBI Card Miles.
30/01/2026 - Aurum Card, Titan SBI Card, Shaurya Select SBI Card are missing but not a problem as they are not yet made but the sequence is not being followed.</t>
  </si>
  <si>
    <t>Movie Tickets</t>
  </si>
  <si>
    <t>SBI Card ELITE
Aurum Card
Reliance SBI Card PRIME</t>
  </si>
  <si>
    <t>16/03/2026 - Aurum card has started to appear when the benefit - "Movie Ticket" is selected - https://loom.com/i/7d4ad7474d9c47149d53effce9c57717
10/03/2026 - Aurum card doesn't appear when "Movie Ticket" Benefit filter is applied.
30/01/2026 - Aurum Card is missng but not a problem as it is not yet made but the sequence is not being followed.</t>
  </si>
  <si>
    <t>Milestone benefits</t>
  </si>
  <si>
    <t>SBI Card ELITE
SimplyCLICK SBI Card
SBI Card PRIME
SBI Card Miles Elite
SBI Card PULSE
Aurum Card
IndiGo SBI Card ELITE
IndiGo SBI Card
PhonePe SBI Card SELECT BLACK
PhonePe SBI Card PURPLE
IRCTC SBI Card Premier
Apollo SBI Card SELECT
KrisFlyer SBI Card
KrisFlyer SBI Card Apex
SBI Card MILES PRIME
SBI Card MILES
Titan SBI Card
Reliance SBI Card PRIME
Reliance SBI Card
Landmark Rewards SBI Card PRIME
BPCL SBI Card OCTANE
Etihad Guest SBI Premier Card
Club Vistara SBI Card PRIME
Paytm SBI Card
Paytm SBI Card SELECT
Landmark Rewards SBI Card
Landmark Rewards SBI Card SELECT
Club Vistara SBI Card
Shaurya Select SBI Card
Tata Card SELECT
Etihad Guest SBI Card
Doctor's SBI Card
Doctor's SBI Card (in association with IMA)
SBI Card Unnati</t>
  </si>
  <si>
    <t>16/03/2026 - Issue resolved - https://loom.com/i/7aa1a0167e664b528a9659b9d252b6b1
https://loom.com/i/f69340402efc4e29be437ae6978de923
https://loom.com/i/e0e1e97e64d54c0baf27678cd6d4ff77
10/03/2026 - Aurum card, TATA Card Select doesn't appear when "Milestone Benefits" filter is applied. When we change SBI Card Miles Elite to a core card and SBI card Miles to a normal card, the sequence will get fixed automatically
30/01/2026 - Aurum Card, SimplyCLICK SBI Card, Titan SBI Card, Shaurya Select SBI Card are missing but that's fine as they are not yet made but the sequence of cards is incorrect</t>
  </si>
  <si>
    <t>Online Spends</t>
  </si>
  <si>
    <t>CASHBACK SBI Card
SimplyCLICK SBI Card
Flipkart SBI Card
Tata Neu Plus SBI Card
Tata Neu Infinity SBI Card
PhonePe SBI Card SELECT BLACK
PhonePe SBI Card PURPLE
Titan SBI Card
Reliance SBI Card PRIME
Reliance SBI Card
Landmark Rewards SBI Card PRIME
Landmark Rewards SBI Card
Landmark Rewards SBI Card SELECT</t>
  </si>
  <si>
    <t>16/03/2026 - The sequence issue is resolved - https://loom.com/i/0cc695bb33da4fd590a10968743c59a3
10/03/2026 - The sequence issue will get resolved once Cashback SBI Card starts to appear before SimplyClick SBI Card
30/01/2026 - SimplyCLICK SBI Card &amp; Titan SBI Card are missing as they are not yet made but the Landmark Rewards SBI Card PRIME is made and still missing. Also, the sequence is not being followed -
https://loom.com/i/b16d910d1e334a2aaf1629c39f667b10</t>
  </si>
  <si>
    <t>Landmark Rewards SBI Card Prime online spends added and published</t>
  </si>
  <si>
    <t>Co-branded Perks</t>
  </si>
  <si>
    <t>IndiGo SBI Card ELITE
IndiGo SBI Card
Flipkart SBI Card
Tata Neu Plus SBI Card
Tata Neu Infinity SBI Card
PhonePe SBI Card SELECT BLACK
PhonePe SBI Card PURPLE
IRCTC SBI Card Premier
Apollo SBI Card SELECT
KrisFlyer SBI Card
KrisFlyer SBI Card Apex
Titan SBI Card
Reliance SBI Card PRIME
Reliance SBI Card
Landmark Rewards SBI Card PRIME
BPCL SBI Card
BPCL SBI Card OCTANE
Etihad Guest SBI Premier Card
Club Vistara SBI Card PRIME
Air India SBI Signature Card
Paytm SBI Card
Paytm SBI Card SELECT
IRCTC SBI Platinum Card
Landmark Rewards SBI Card
Landmark Rewards SBI Card SELECT
Club Vistara SBI Card
OLA Money SBI Card
Tata Card SELECT
Etihad Guest SBI Card
Apollo SBI Card
Air India SBI Platinum Card</t>
  </si>
  <si>
    <t>16/03/2026 - Tata Card Select now appears when the benefit "Co-Branded Perks" is selected - https://loom.com/i/39879f3541d94f35b0d02f5fe1da08c9
10/03/2026 - Tata Card Select is missing when "Co-Branded Perks" benefit is selected in filter menu.
30/01/2026 - Titan card is missing but that is fine as it is not yet made but the sequence of cards is still not being followed</t>
  </si>
  <si>
    <t>UPI Payments</t>
  </si>
  <si>
    <t>SBI Card ELITE
SBI Card PRIME
SBI Card Miles Elite
SimplySAVE SBI Card
IndiGo SBI Card ELITE
IndiGo SBI Card
Tata Neu Infinity SBI Card
Tata Neu Plus SBI Card
PhonePe SBI Card SELECT BLACK
PhonePe SBI Card PURPLE
IRCTC SBI Card Premier
Apollo SBI Card SELECT
SBI Card MILES PRIME
SBI Card MILES
Titan SBI Card
Reliance SBI Card PRIME
Reliance SBI Card
Landmark Rewards SBI Card PRIME
BPCL SBI Card
BPCL SBI Card OCTANE
Paytm SBI Card
Paytm SBI Card SELECT
IRCTC SBI Platinum Card
Landmark Rewards SBI Card
Landmark Rewards SBI Card SELECT
Shaurya Select SBI Card
Shaurya SBI Card
OLA Money SBI Card
Apollo SBI Card</t>
  </si>
  <si>
    <t>16/03/2026 - The sequence has been corrected - https://loom.com/i/e6e39b076ad149468fc7601747e4a5ba
10/03/2026 - Once the SBI Card Miles Elite is changed to a core card instead of SBI Card Miles, that sequence would get resolved to.
30/01/2026 - SimplySAVE SBI Card, Titan SBI Card, Shaurya Select SBI Card, Shaurya SBI Card are missing but that's fine as they are not yet made. But, the sequence of the cards are not being followed.</t>
  </si>
  <si>
    <t>Golf Benefits</t>
  </si>
  <si>
    <t>16/03/2026 - Aurum card now appears when "Golf Benefit" is selected - https://loom.com/i/34c8192e81334c17ab1aa1c67110dd07
10/03/2026 - The "Golf Benefits" filter when applied, doesn't filter out cards accordingly. Only Aurum card has golf benefit.</t>
  </si>
  <si>
    <t>Concierge Services</t>
  </si>
  <si>
    <t>Aurum Card
SBI Card ELITE</t>
  </si>
  <si>
    <t>16/03/2026 - Aurum card now appears when "Concierge Servicrs" benefit is applied - https://loom.com/i/39a78334db86410d9633971304916482
10/3/2026 - Aurum Card doesn't appear when "Concierge Services" benefit is applied.
30/01/2026 - Aurum Card is missng but not a problem as it is not yet made</t>
  </si>
  <si>
    <t>MONTHLY INCOME</t>
  </si>
  <si>
    <t>Less than 50K</t>
  </si>
  <si>
    <t>CASHBACK SBI Card
SimplyCLICK SBI Card
SimplySAVE SBI Card
Flipkart SBI Card
Tata Neu Plus SBI Card
PhonePe SBI Card PURPLE
Reliance SBI Card
BPCL SBI Card
Paytm SBI Card
IRCTC SBI Platinum Card
Landmark Rewards SBI Card
Shaurya Select SBI Card
OLA Money SBI Card
Tata Card
Apollo SBI Card
SBI Card Unnati</t>
  </si>
  <si>
    <t>17/03/2026 - The card filter &amp; sequence issue is resolved - https://loom.com/i/dd32df5d9b874f16b47246827d6be3e4
16/03/2026 - The cards still do not get filtered when "Less than 50K" filter is applied - https://loom.com/i/bbc38b674b0b424a82d2c2d0592c0968
10/03/2026 - The cards do not get filtered when Less than 50K filter is applied.
02/02/2026 - The less than 50K filter criteria doesn't filter out the cards accordingly. Many cards that do not fall under this criteria also appear in the results - 
https://loom.com/i/79379234c8d244d79fb8e9a36a5c9326</t>
  </si>
  <si>
    <t>Need to check</t>
  </si>
  <si>
    <t>50 to 99 K</t>
  </si>
  <si>
    <t>SBI Card PRIME
SBI Card PULSE
IndiGo SBI Card
Tata Neu Infinity SBI Card
PhonePe SBI Card SELECT BLACK
IRCTC SBI Card Premier
Apollo SBI Card SELECT
KrisFlyer SBI Card
SBI Card MILES PRIME
SBI Card MILES
Titan SBI Card
Reliance SBI Card PRIME
Landmark Rewards SBI Card PRIME
BPCL SBI Card OCTANE
Club Vistara SBI Card PRIME
Paytm SBI Card SELECT
Landmark Rewards SBI Card SELECT
Club Vistara SBI Card
Shaurya SBI Card
Tata Card SELECT
Etihad Guest SBI Card
Doctor's SBI Card (in association with IMA)
Doctor's SBI Card
Air India SBI Platinum Card</t>
  </si>
  <si>
    <t>16/03/2026 - Tata Card Select now appears and SBI Card Miles has been updated to be a core card. Both Sequence &amp; Filter issue resolved - https://loom.com/i/cd031cb3f1f4467fb7f65089c39f0fdc
10/03/2026 - Tata Card Select is missing. SBI Card Miles sequence would get corrected once it is removed as a core card.
02/02/2026 Only Titan SBI Card &amp; Shaurya SBI card are not present but its fine as they are not yet made. But the card sequence (newest to oldest) is not being followed.</t>
  </si>
  <si>
    <t>1 L to 2 L</t>
  </si>
  <si>
    <t>SBI Card ELITE
SBI Card Miles Elite
IndiGo SBI Card ELITE
Etihad Guest SBI Premier Card
Air India SBI Signature Card</t>
  </si>
  <si>
    <t>17/03/2026 - The card filter &amp; sequence issue is resolved - https://loom.com/i/2b56129edee3470086e67b83d91d1d5c
16/03/2026 - The cards still do not get filtered when 1L to 2L Filter criteria is applied - https://loom.com/i/1daf24d4eff044068169e9df2b38b201
10/03/2026 - The cards do not get filtered when 1L to 2L filter is applied.
02/02/2026 - The 1L - 2L filter criteria doesn't filter out the cards accordingly. Many cards that do not fall under this criteria also appear in the results - 
https://loom.com/i/3950020bd118491da318692ce6d5034d</t>
  </si>
  <si>
    <t>Above 2 L</t>
  </si>
  <si>
    <t>Aurum Card
KrisFlyer SBI Card Apex</t>
  </si>
  <si>
    <t>17/03/2026 - The card filter &amp; sequence issue is resolved - https://loom.com/i/afceec42d95c485da21eaf380fc4d9f1
16/03/2026 - The cards still do not get filtered when filter "Above 2L" is applied - https://loom.com/i/fa070999ad1f4b10be35086777c88b30
10/03/2026 - The cards do not get filtered when above 2L Filter is applied. There are only 2 cards that are supposed to appear when this filter is applied.
02/02/2026 - The Above 2L filter criteria doesn't filter out the cards accordingly. Many cards that do not fall under this criteria also appear in the results - 
https://loom.com/i/031dc058eae341c8932e6c773921ee8f</t>
  </si>
  <si>
    <t>ANNUAL FEES</t>
  </si>
  <si>
    <t>0 - 500</t>
  </si>
  <si>
    <t>SimplyCLICK SBI Card
SimplySAVE SBI Card
Flipkart SBI Card
Tata Neu Plus SBI Card
PhonePe SBI Card PURPLE
Reliance SBI Card
BPCL SBI Card
Paytm SBI Card
IRCTC SBI Platinum Card
Landmark Rewards SBI Card
Shaurya SBI Card
OLA Money SBI Card
Tata Card
Apollo SBI Card
SBI Card Unnati</t>
  </si>
  <si>
    <t>02/02/2026 - SimplyCLICK SBI Card, SimplySAVE SBI Card &amp; Shaurya SBI Card are not present but its fine as they are not yet made. However, an extra card - "Bank of Maharashtra SBI Card ELITE" is present which is not in this Annual Fee criteria as per the master sheet.
https://www.loom.com/i/15c0b51c90ec4438b16197b6b6a2ac69</t>
  </si>
  <si>
    <t>"D-Column : Bank of maharastra SBI card elite is testing card
we created for testing purpose( we haven't added any income
ranges"</t>
  </si>
  <si>
    <t>501 - 1000</t>
  </si>
  <si>
    <t>1001 - 1500</t>
  </si>
  <si>
    <t>SBI Card PULSE
IndiGo SBI Card
Tata Neu Infinity SBI Card
PhonePe SBI Card SELECT BLACK
IRCTC SBI Card Premier
Apollo SBI Card SELECT
SBI Card MILES
BPCL SBI Card OCTANE
Paytm SBI Card SELECT
Landmark Rewards SBI Card SELECT
Club Vistara SBI Card
Shaurya Select SBI Card
Etihad Guest SBI Card
Doctor's SBI Card (in association with IMA)
Doctor's SBI Card
Air India SBI Platinum Card</t>
  </si>
  <si>
    <t>16/03/2026 - The sequence issue has now been resolved - https://loom.com/i/e5017850f8ec4907a97c262b4cc37c45
10/03/2026 - Sequence will get resolved once SBI Card Miles is removed as a core card.
02/02/2026 - Shaurya Select SBI Card is not present but its fine because it is not yet made. However, the card sequence - (Newest to Oldest) is not being followed.</t>
  </si>
  <si>
    <t>1501 - 3000</t>
  </si>
  <si>
    <t>SBI Card PRIME
KrisFlyer SBI Card
SBI Card MILES PRIME
Titan SBI Card
Reliance SBI Card PRIME
Landmark Rewards SBI Card PRIME
Club Vistara SBI Card PRIME
Tata Card SELECT</t>
  </si>
  <si>
    <t>10/03/2026 - The sequence issue is resolved.
02/02/2026 - Titan SBI Card is not present but its fine because it is not yet made. However, the card sequence - (Newest to Oldest) is not being followed.</t>
  </si>
  <si>
    <t>3001 - 5000</t>
  </si>
  <si>
    <t>12/03/2026 - Sequence issue is resolved
10/03/2026 - Sequence will get resolved once SBI Card Miles Elite is updated as a core card
02/02/2026 - The card sequence (Newest to Oldest) is not being followed.</t>
  </si>
  <si>
    <t>Above 5000</t>
  </si>
  <si>
    <t>10/03/2026 - Aurum card added, issue resolved.
02/02/2026 - Aurum Card is not present but its fine because it is not yet made. The card sequence - (Newest to Oldest) can only be tested if more than one card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</si>
</sst>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sz val="11"/>
      <color rgb="FFFFFFFF"/>
      <name val="Aptos Narrow"/>
      <family val="2"/>
      <scheme val="minor"/>
    </font>
    <font>
      <sz val="11"/>
      <color rgb="FFFFFFFF"/>
      <name val="Calibri"/>
      <family val="2"/>
    </font>
    <font>
      <sz val="11"/>
      <color rgb="FF000000"/>
      <name val="Aptos Narrow"/>
      <family val="2"/>
    </font>
    <font>
      <b/>
      <sz val="11"/>
      <color theme="1"/>
      <name val="Aptos Narrow"/>
      <family val="2"/>
      <scheme val="minor"/>
    </font>
    <font>
      <sz val="10"/>
      <color theme="1"/>
      <name val="Arial"/>
      <family val="2"/>
    </font>
    <font>
      <sz val="10"/>
      <color rgb="FF000000"/>
      <name val="Arial"/>
      <family val="2"/>
    </font>
    <font>
      <sz val="11"/>
      <color rgb="FF000000"/>
      <name val="Aptos Narrow"/>
      <family val="2"/>
      <scheme val="minor"/>
    </font>
    <font>
      <sz val="11"/>
      <color theme="0"/>
      <name val="Aptos Narrow"/>
      <family val="2"/>
      <scheme val="minor"/>
    </font>
    <font>
      <u/>
      <sz val="11"/>
      <color rgb="FF467886"/>
      <name val="Aptos Narrow"/>
      <family val="2"/>
    </font>
    <font>
      <sz val="11"/>
      <color rgb="FF000000"/>
      <name val="Aptos Narrow"/>
    </font>
    <font>
      <sz val="11"/>
      <color rgb="FF000000"/>
      <name val="Aptos Narrow"/>
      <scheme val="minor"/>
    </font>
    <font>
      <sz val="11"/>
      <color rgb="FF000000"/>
      <name val="Aptos Narrow"/>
      <charset val="1"/>
    </font>
    <font>
      <sz val="11"/>
      <color theme="1"/>
      <name val="Aptos Narrow"/>
      <scheme val="minor"/>
    </font>
    <font>
      <b/>
      <sz val="11"/>
      <color rgb="FF000000"/>
      <name val="Aptos Narrow"/>
      <scheme val="minor"/>
    </font>
    <font>
      <sz val="11"/>
      <color rgb="FF242424"/>
      <name val="Aptos Narrow"/>
      <charset val="1"/>
    </font>
    <font>
      <sz val="11"/>
      <color rgb="FFFFFFFF"/>
      <name val="Calibri"/>
    </font>
    <font>
      <b/>
      <sz val="12"/>
      <color rgb="FF000000"/>
      <name val="Inherit"/>
      <charset val="1"/>
    </font>
    <font>
      <sz val="11"/>
      <color rgb="FF000000"/>
      <name val="Calibri"/>
      <family val="2"/>
    </font>
    <font>
      <sz val="11"/>
      <color rgb="FF0070C0"/>
      <name val="Aptos Narrow"/>
      <scheme val="minor"/>
    </font>
    <font>
      <sz val="11"/>
      <color rgb="FF0070C0"/>
      <name val="Aptos Narrow"/>
      <family val="2"/>
      <scheme val="minor"/>
    </font>
    <font>
      <sz val="11"/>
      <color rgb="FFFF0000"/>
      <name val="Aptos Narrow"/>
      <scheme val="minor"/>
    </font>
    <font>
      <sz val="11"/>
      <color rgb="FFFFC000"/>
      <name val="Aptos Narrow"/>
      <scheme val="minor"/>
    </font>
    <font>
      <i/>
      <sz val="11"/>
      <color rgb="FF000000"/>
      <name val="Aptos Narrow"/>
      <scheme val="minor"/>
    </font>
  </fonts>
  <fills count="17">
    <fill>
      <patternFill patternType="none"/>
    </fill>
    <fill>
      <patternFill patternType="gray125"/>
    </fill>
    <fill>
      <patternFill patternType="solid">
        <fgColor rgb="FF0070C0"/>
        <bgColor rgb="FF0070C0"/>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CCCC"/>
        <bgColor indexed="64"/>
      </patternFill>
    </fill>
    <fill>
      <patternFill patternType="solid">
        <fgColor rgb="FF8ED973"/>
        <bgColor indexed="64"/>
      </patternFill>
    </fill>
    <fill>
      <patternFill patternType="solid">
        <fgColor rgb="FFF5C6AB"/>
        <bgColor indexed="64"/>
      </patternFill>
    </fill>
    <fill>
      <patternFill patternType="solid">
        <fgColor theme="9"/>
        <bgColor indexed="64"/>
      </patternFill>
    </fill>
    <fill>
      <patternFill patternType="solid">
        <fgColor rgb="FFC6E0B4"/>
        <bgColor indexed="64"/>
      </patternFill>
    </fill>
    <fill>
      <patternFill patternType="solid">
        <fgColor theme="0" tint="-0.249977111117893"/>
        <bgColor indexed="64"/>
      </patternFill>
    </fill>
    <fill>
      <patternFill patternType="solid">
        <fgColor theme="9" tint="0.39997558519241921"/>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bottom/>
      <diagonal/>
    </border>
    <border>
      <left style="thin">
        <color rgb="FFCCCCCC"/>
      </left>
      <right style="thin">
        <color rgb="FF000000"/>
      </right>
      <top/>
      <bottom style="thin">
        <color rgb="FF000000"/>
      </bottom>
      <diagonal/>
    </border>
    <border>
      <left style="thin">
        <color rgb="FFCCCCCC"/>
      </left>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35">
    <xf numFmtId="0" fontId="0" fillId="0" borderId="0" xfId="0"/>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left" vertical="top" indent="1"/>
    </xf>
    <xf numFmtId="0" fontId="0" fillId="0" borderId="0" xfId="0" applyAlignment="1">
      <alignment horizontal="left" vertical="top" indent="1"/>
    </xf>
    <xf numFmtId="0" fontId="2" fillId="2" borderId="1" xfId="0" applyFont="1" applyFill="1" applyBorder="1" applyAlignment="1">
      <alignment horizontal="center" vertical="center" indent="2"/>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0" fillId="0" borderId="3" xfId="0" applyBorder="1" applyAlignment="1">
      <alignment horizontal="left" vertical="center" indent="1"/>
    </xf>
    <xf numFmtId="0" fontId="0" fillId="0" borderId="5" xfId="0" applyBorder="1" applyAlignment="1">
      <alignment horizontal="left" vertical="center" indent="1"/>
    </xf>
    <xf numFmtId="0" fontId="0" fillId="0" borderId="1" xfId="0" applyBorder="1" applyAlignment="1">
      <alignment horizontal="left" vertical="center" indent="1"/>
    </xf>
    <xf numFmtId="0" fontId="0" fillId="0" borderId="0" xfId="0" applyAlignment="1">
      <alignment horizontal="left" vertical="center" indent="1"/>
    </xf>
    <xf numFmtId="0" fontId="0" fillId="0" borderId="3" xfId="0" applyBorder="1" applyAlignment="1">
      <alignment horizontal="center" vertical="center"/>
    </xf>
    <xf numFmtId="0" fontId="0" fillId="0" borderId="4" xfId="0" applyBorder="1" applyAlignment="1">
      <alignment horizontal="center" vertical="center"/>
    </xf>
    <xf numFmtId="0" fontId="5" fillId="0" borderId="0" xfId="0" applyFont="1" applyAlignment="1">
      <alignment horizontal="left" vertical="center"/>
    </xf>
    <xf numFmtId="0" fontId="0" fillId="0" borderId="6" xfId="0" applyBorder="1" applyAlignment="1">
      <alignment horizontal="center" vertical="center"/>
    </xf>
    <xf numFmtId="0" fontId="0" fillId="6" borderId="1" xfId="0" applyFill="1"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5" fillId="0" borderId="1" xfId="0" applyFont="1" applyBorder="1" applyAlignment="1">
      <alignment horizontal="center" vertical="center"/>
    </xf>
    <xf numFmtId="0" fontId="0" fillId="6" borderId="5" xfId="0" applyFill="1" applyBorder="1" applyAlignment="1">
      <alignment horizontal="center" vertical="center"/>
    </xf>
    <xf numFmtId="0" fontId="5" fillId="4" borderId="5" xfId="0" applyFont="1" applyFill="1" applyBorder="1" applyAlignment="1">
      <alignment horizontal="center" vertical="center"/>
    </xf>
    <xf numFmtId="0" fontId="5" fillId="6" borderId="1" xfId="0" applyFont="1" applyFill="1" applyBorder="1" applyAlignment="1">
      <alignment horizontal="center" vertical="center"/>
    </xf>
    <xf numFmtId="0" fontId="0" fillId="0" borderId="0" xfId="0" applyAlignment="1">
      <alignment vertical="center"/>
    </xf>
    <xf numFmtId="0" fontId="1" fillId="0" borderId="1" xfId="1" applyBorder="1" applyAlignment="1">
      <alignment horizontal="left" vertical="center" indent="1"/>
    </xf>
    <xf numFmtId="0" fontId="1" fillId="0" borderId="5" xfId="1" applyBorder="1" applyAlignment="1">
      <alignment horizontal="left" vertical="center" inden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indent="1"/>
    </xf>
    <xf numFmtId="0" fontId="0" fillId="0" borderId="2" xfId="0" applyBorder="1" applyAlignment="1">
      <alignment horizontal="center" vertical="center" indent="1"/>
    </xf>
    <xf numFmtId="0" fontId="3" fillId="2" borderId="9" xfId="0" applyFont="1" applyFill="1" applyBorder="1" applyAlignment="1">
      <alignment horizontal="center" vertical="center"/>
    </xf>
    <xf numFmtId="0" fontId="5" fillId="4" borderId="10" xfId="0" applyFont="1" applyFill="1" applyBorder="1" applyAlignment="1">
      <alignment horizontal="center" vertical="center"/>
    </xf>
    <xf numFmtId="0" fontId="0" fillId="0" borderId="10" xfId="0" applyBorder="1" applyAlignment="1">
      <alignment horizontal="center" vertical="center" indent="1"/>
    </xf>
    <xf numFmtId="0" fontId="0" fillId="0" borderId="5" xfId="0" applyBorder="1" applyAlignment="1">
      <alignment horizontal="center" vertical="center" indent="1"/>
    </xf>
    <xf numFmtId="0" fontId="0" fillId="0" borderId="9" xfId="0" applyBorder="1" applyAlignment="1">
      <alignment horizontal="center" vertical="center" indent="1"/>
    </xf>
    <xf numFmtId="0" fontId="0" fillId="0" borderId="16" xfId="0" applyBorder="1" applyAlignment="1">
      <alignment horizontal="center" vertical="center" indent="1"/>
    </xf>
    <xf numFmtId="0" fontId="0" fillId="0" borderId="0" xfId="0" applyAlignment="1">
      <alignment horizontal="center" vertical="center" indent="1"/>
    </xf>
    <xf numFmtId="0" fontId="5" fillId="4" borderId="13" xfId="0" applyFont="1" applyFill="1" applyBorder="1" applyAlignment="1">
      <alignment horizontal="center" vertical="center"/>
    </xf>
    <xf numFmtId="0" fontId="0" fillId="0" borderId="0" xfId="0" applyAlignment="1">
      <alignment vertical="top"/>
    </xf>
    <xf numFmtId="0" fontId="0" fillId="0" borderId="1" xfId="0" applyBorder="1" applyAlignment="1">
      <alignment horizontal="left" vertical="center" indent="2"/>
    </xf>
    <xf numFmtId="14" fontId="0" fillId="0" borderId="2" xfId="0" applyNumberFormat="1" applyBorder="1" applyAlignment="1">
      <alignment horizontal="center" vertical="center"/>
    </xf>
    <xf numFmtId="0" fontId="1" fillId="0" borderId="1" xfId="1" applyBorder="1" applyAlignment="1">
      <alignment horizontal="center" vertical="center"/>
    </xf>
    <xf numFmtId="0" fontId="0" fillId="0" borderId="4" xfId="0" applyBorder="1" applyAlignment="1">
      <alignment horizontal="left" vertical="center" indent="1"/>
    </xf>
    <xf numFmtId="14" fontId="0" fillId="0" borderId="1" xfId="0" applyNumberFormat="1" applyBorder="1" applyAlignment="1">
      <alignment horizontal="center" vertical="center"/>
    </xf>
    <xf numFmtId="0" fontId="0" fillId="0" borderId="3" xfId="0" applyBorder="1" applyAlignment="1">
      <alignment horizontal="left" vertical="center" indent="2"/>
    </xf>
    <xf numFmtId="0" fontId="4" fillId="0" borderId="1" xfId="0" applyFont="1" applyBorder="1" applyAlignment="1">
      <alignment horizontal="left" vertical="center" indent="1"/>
    </xf>
    <xf numFmtId="0" fontId="0" fillId="0" borderId="4" xfId="0" applyBorder="1" applyAlignment="1">
      <alignment horizontal="left" vertical="center" indent="2"/>
    </xf>
    <xf numFmtId="0" fontId="4" fillId="0" borderId="11" xfId="0" applyFont="1" applyBorder="1" applyAlignment="1">
      <alignment horizontal="left" vertical="center" indent="1"/>
    </xf>
    <xf numFmtId="0" fontId="0" fillId="0" borderId="1" xfId="0" applyBorder="1" applyAlignment="1">
      <alignment vertical="center"/>
    </xf>
    <xf numFmtId="0" fontId="0" fillId="0" borderId="9" xfId="0" applyBorder="1" applyAlignment="1">
      <alignment horizontal="left" vertical="center" indent="1"/>
    </xf>
    <xf numFmtId="0" fontId="0" fillId="0" borderId="0" xfId="0" applyAlignment="1">
      <alignment horizontal="left" vertical="center" indent="2"/>
    </xf>
    <xf numFmtId="0" fontId="8" fillId="0" borderId="1" xfId="0" applyFont="1" applyBorder="1" applyAlignment="1">
      <alignment horizontal="left" vertical="center" indent="1"/>
    </xf>
    <xf numFmtId="0" fontId="1" fillId="0" borderId="1" xfId="1" applyFill="1" applyBorder="1" applyAlignment="1">
      <alignment horizontal="left" vertical="center" indent="1"/>
    </xf>
    <xf numFmtId="0" fontId="0" fillId="0" borderId="3" xfId="0" applyBorder="1" applyAlignment="1">
      <alignment horizontal="center" vertical="center" indent="1"/>
    </xf>
    <xf numFmtId="0" fontId="0" fillId="0" borderId="1" xfId="0" applyBorder="1" applyAlignment="1">
      <alignment horizontal="left" vertical="center"/>
    </xf>
    <xf numFmtId="0" fontId="0" fillId="0" borderId="2" xfId="0" applyBorder="1" applyAlignment="1">
      <alignment vertical="center"/>
    </xf>
    <xf numFmtId="0" fontId="0" fillId="0" borderId="6" xfId="0" applyBorder="1" applyAlignment="1">
      <alignment vertical="center"/>
    </xf>
    <xf numFmtId="0" fontId="0" fillId="5" borderId="1" xfId="0" applyFill="1" applyBorder="1" applyAlignment="1">
      <alignment horizontal="left" vertical="center" indent="1"/>
    </xf>
    <xf numFmtId="0" fontId="0" fillId="0" borderId="1" xfId="0" applyBorder="1" applyAlignment="1">
      <alignment vertical="center" indent="1"/>
    </xf>
    <xf numFmtId="0" fontId="1" fillId="0" borderId="3" xfId="1" applyBorder="1" applyAlignment="1">
      <alignment horizontal="left" vertical="center" indent="1"/>
    </xf>
    <xf numFmtId="0" fontId="1" fillId="0" borderId="4" xfId="1" applyBorder="1" applyAlignment="1">
      <alignment horizontal="left" vertical="center" indent="1"/>
    </xf>
    <xf numFmtId="0" fontId="0" fillId="0" borderId="4" xfId="0" applyBorder="1" applyAlignment="1">
      <alignment horizontal="center" vertical="center" indent="1"/>
    </xf>
    <xf numFmtId="14" fontId="6" fillId="5" borderId="15" xfId="0" applyNumberFormat="1" applyFont="1" applyFill="1" applyBorder="1" applyAlignment="1">
      <alignment horizontal="center" vertical="center" readingOrder="1"/>
    </xf>
    <xf numFmtId="0" fontId="6" fillId="5" borderId="15" xfId="0" quotePrefix="1" applyFont="1" applyFill="1" applyBorder="1" applyAlignment="1">
      <alignment horizontal="center" vertical="center" indent="1" readingOrder="1"/>
    </xf>
    <xf numFmtId="0" fontId="1" fillId="5" borderId="15" xfId="1" applyFill="1" applyBorder="1" applyAlignment="1">
      <alignment horizontal="left" vertical="center" indent="1" readingOrder="1"/>
    </xf>
    <xf numFmtId="0" fontId="1" fillId="0" borderId="15" xfId="1" applyBorder="1" applyAlignment="1">
      <alignment horizontal="left" vertical="center" indent="1" readingOrder="1"/>
    </xf>
    <xf numFmtId="0" fontId="6" fillId="5" borderId="15" xfId="0" applyFont="1" applyFill="1" applyBorder="1" applyAlignment="1">
      <alignment horizontal="left" vertical="center" indent="1" readingOrder="1"/>
    </xf>
    <xf numFmtId="0" fontId="0" fillId="0" borderId="2" xfId="0" applyBorder="1" applyAlignment="1">
      <alignment horizontal="left" vertical="center" indent="1"/>
    </xf>
    <xf numFmtId="0" fontId="0" fillId="0" borderId="13" xfId="0" applyBorder="1" applyAlignment="1">
      <alignment horizontal="center" vertical="center"/>
    </xf>
    <xf numFmtId="0" fontId="0" fillId="0" borderId="11" xfId="0" applyBorder="1" applyAlignment="1">
      <alignment horizontal="center" vertical="center" indent="1"/>
    </xf>
    <xf numFmtId="0" fontId="0" fillId="0" borderId="11" xfId="0"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left" vertical="center" indent="1"/>
    </xf>
    <xf numFmtId="0" fontId="0" fillId="0" borderId="10" xfId="0" applyBorder="1" applyAlignment="1">
      <alignment horizontal="left" vertical="center" indent="1"/>
    </xf>
    <xf numFmtId="0" fontId="1" fillId="0" borderId="0" xfId="1" applyAlignment="1">
      <alignment horizontal="left" vertical="center" indent="1"/>
    </xf>
    <xf numFmtId="0" fontId="0" fillId="0" borderId="1" xfId="0" applyBorder="1" applyAlignment="1">
      <alignment horizontal="left" vertical="top" wrapText="1" indent="1"/>
    </xf>
    <xf numFmtId="0" fontId="0" fillId="0" borderId="0" xfId="0" applyAlignment="1">
      <alignment horizontal="left" vertical="center" wrapText="1" indent="1"/>
    </xf>
    <xf numFmtId="0" fontId="0" fillId="8" borderId="1" xfId="0" applyFill="1" applyBorder="1" applyAlignment="1">
      <alignment horizontal="center" vertical="center"/>
    </xf>
    <xf numFmtId="0" fontId="4" fillId="0" borderId="1" xfId="0" applyFont="1" applyBorder="1" applyAlignment="1">
      <alignment horizontal="center"/>
    </xf>
    <xf numFmtId="0" fontId="4" fillId="0" borderId="2" xfId="0" quotePrefix="1" applyFont="1" applyBorder="1" applyAlignment="1">
      <alignment horizontal="center"/>
    </xf>
    <xf numFmtId="0" fontId="4" fillId="0" borderId="5" xfId="0" applyFont="1" applyBorder="1" applyAlignment="1">
      <alignment horizontal="left" indent="1"/>
    </xf>
    <xf numFmtId="0" fontId="4" fillId="0" borderId="1" xfId="0" applyFont="1" applyBorder="1" applyAlignment="1">
      <alignment horizontal="left" indent="1"/>
    </xf>
    <xf numFmtId="0" fontId="1" fillId="0" borderId="1" xfId="1" applyFill="1" applyBorder="1" applyAlignment="1">
      <alignment horizontal="left" indent="1"/>
    </xf>
    <xf numFmtId="0" fontId="4" fillId="0" borderId="2" xfId="0" applyFont="1" applyBorder="1" applyAlignment="1">
      <alignment horizont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quotePrefix="1" applyFont="1" applyBorder="1" applyAlignment="1">
      <alignment horizontal="center" vertical="center"/>
    </xf>
    <xf numFmtId="0" fontId="4" fillId="0" borderId="1" xfId="0" quotePrefix="1" applyFont="1" applyBorder="1" applyAlignment="1">
      <alignment horizontal="left" vertical="center" indent="1"/>
    </xf>
    <xf numFmtId="0" fontId="4" fillId="0" borderId="2" xfId="0" applyFont="1" applyBorder="1" applyAlignment="1">
      <alignment horizontal="center" vertical="center"/>
    </xf>
    <xf numFmtId="14" fontId="4" fillId="0" borderId="1" xfId="0" applyNumberFormat="1" applyFont="1" applyBorder="1" applyAlignment="1">
      <alignment horizontal="center" vertical="center"/>
    </xf>
    <xf numFmtId="0" fontId="10" fillId="0" borderId="1" xfId="0" applyFont="1" applyBorder="1" applyAlignment="1">
      <alignment horizontal="left" vertical="center" indent="1"/>
    </xf>
    <xf numFmtId="0" fontId="0" fillId="0" borderId="2" xfId="0" applyBorder="1" applyAlignment="1">
      <alignment horizontal="center" vertical="center" wrapText="1" indent="1"/>
    </xf>
    <xf numFmtId="0" fontId="0" fillId="0" borderId="2" xfId="0" applyBorder="1" applyAlignment="1">
      <alignment horizontal="left" vertical="center" wrapText="1" indent="1"/>
    </xf>
    <xf numFmtId="0" fontId="0" fillId="0" borderId="0" xfId="0" applyAlignment="1">
      <alignment horizontal="center" vertical="center" wrapText="1" indent="1"/>
    </xf>
    <xf numFmtId="0" fontId="0" fillId="0" borderId="1" xfId="0" applyBorder="1"/>
    <xf numFmtId="0" fontId="0" fillId="0" borderId="6" xfId="0" applyBorder="1" applyAlignment="1">
      <alignment horizontal="center" vertical="center" wrapText="1" indent="1"/>
    </xf>
    <xf numFmtId="0" fontId="0" fillId="0" borderId="12" xfId="0" applyBorder="1" applyAlignment="1">
      <alignment horizontal="center" vertical="center" wrapText="1" indent="1"/>
    </xf>
    <xf numFmtId="0" fontId="8" fillId="0" borderId="1" xfId="0" applyFont="1" applyBorder="1" applyAlignment="1">
      <alignment wrapText="1"/>
    </xf>
    <xf numFmtId="0" fontId="8" fillId="0" borderId="1" xfId="0" applyFont="1" applyBorder="1"/>
    <xf numFmtId="0" fontId="8" fillId="0" borderId="3" xfId="0" applyFont="1" applyBorder="1" applyAlignment="1">
      <alignment wrapText="1"/>
    </xf>
    <xf numFmtId="0" fontId="8" fillId="0" borderId="11" xfId="0" applyFont="1" applyBorder="1"/>
    <xf numFmtId="0" fontId="4" fillId="0" borderId="3" xfId="0" applyFont="1" applyBorder="1" applyAlignment="1">
      <alignment horizontal="center"/>
    </xf>
    <xf numFmtId="0" fontId="8" fillId="0" borderId="1" xfId="0" applyFont="1" applyBorder="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5" fillId="4" borderId="6" xfId="0" applyFont="1" applyFill="1" applyBorder="1" applyAlignment="1">
      <alignment horizontal="center" vertical="center"/>
    </xf>
    <xf numFmtId="0" fontId="4" fillId="0" borderId="3" xfId="0" applyFont="1" applyBorder="1" applyAlignment="1">
      <alignment horizontal="center" vertical="center"/>
    </xf>
    <xf numFmtId="0" fontId="4" fillId="0" borderId="3" xfId="0" quotePrefix="1" applyFont="1" applyBorder="1" applyAlignment="1">
      <alignment horizontal="center" vertical="center"/>
    </xf>
    <xf numFmtId="0" fontId="4" fillId="0" borderId="3" xfId="0" applyFont="1" applyBorder="1" applyAlignment="1">
      <alignment horizontal="left" vertical="center" indent="1"/>
    </xf>
    <xf numFmtId="0" fontId="1" fillId="0" borderId="3" xfId="1" applyFill="1" applyBorder="1" applyAlignment="1">
      <alignment horizontal="left" vertical="center" indent="1"/>
    </xf>
    <xf numFmtId="0" fontId="4" fillId="0" borderId="3" xfId="0" applyFont="1" applyBorder="1" applyAlignment="1">
      <alignment vertical="center"/>
    </xf>
    <xf numFmtId="0" fontId="4" fillId="0" borderId="6" xfId="0" applyFont="1" applyBorder="1" applyAlignment="1">
      <alignment horizontal="center" vertical="center"/>
    </xf>
    <xf numFmtId="0" fontId="9" fillId="7" borderId="1" xfId="0" applyFont="1" applyFill="1" applyBorder="1" applyAlignment="1">
      <alignment horizontal="center" vertical="center" indent="1"/>
    </xf>
    <xf numFmtId="0" fontId="11" fillId="0" borderId="1" xfId="0" applyFont="1" applyBorder="1" applyAlignment="1">
      <alignment horizontal="center" vertical="center"/>
    </xf>
    <xf numFmtId="0" fontId="0" fillId="0" borderId="13" xfId="0" applyBorder="1" applyAlignment="1">
      <alignment horizontal="left" vertical="center" indent="1"/>
    </xf>
    <xf numFmtId="0" fontId="0" fillId="0" borderId="14" xfId="0" applyBorder="1" applyAlignment="1">
      <alignment horizontal="left" vertical="center" indent="1"/>
    </xf>
    <xf numFmtId="0" fontId="2" fillId="2" borderId="6" xfId="0" applyFont="1" applyFill="1" applyBorder="1" applyAlignment="1">
      <alignment horizontal="center" vertical="center" indent="1"/>
    </xf>
    <xf numFmtId="0" fontId="0" fillId="0" borderId="2" xfId="0" applyBorder="1" applyAlignment="1">
      <alignment horizontal="left" vertical="top" indent="1"/>
    </xf>
    <xf numFmtId="0" fontId="0" fillId="0" borderId="7" xfId="0" applyBorder="1" applyAlignment="1">
      <alignment horizontal="left" vertical="top" indent="1"/>
    </xf>
    <xf numFmtId="0" fontId="2" fillId="2" borderId="6" xfId="0" applyFont="1" applyFill="1" applyBorder="1" applyAlignment="1">
      <alignment horizontal="center" vertical="center"/>
    </xf>
    <xf numFmtId="0" fontId="4" fillId="0" borderId="2" xfId="0" applyFont="1" applyBorder="1" applyAlignment="1">
      <alignment horizontal="left" vertical="center" indent="1"/>
    </xf>
    <xf numFmtId="0" fontId="4" fillId="0" borderId="6" xfId="0" applyFont="1" applyBorder="1" applyAlignment="1">
      <alignment horizontal="left" vertical="center" indent="1"/>
    </xf>
    <xf numFmtId="0" fontId="2" fillId="2" borderId="3" xfId="0" applyFont="1" applyFill="1" applyBorder="1" applyAlignment="1">
      <alignment horizontal="center" vertical="center" indent="2"/>
    </xf>
    <xf numFmtId="0" fontId="2" fillId="2" borderId="6" xfId="0" applyFont="1" applyFill="1" applyBorder="1" applyAlignment="1">
      <alignment horizontal="center" vertical="center" indent="2"/>
    </xf>
    <xf numFmtId="0" fontId="0" fillId="0" borderId="1" xfId="0" applyBorder="1" applyAlignment="1">
      <alignment horizontal="center"/>
    </xf>
    <xf numFmtId="0" fontId="0" fillId="0" borderId="0" xfId="0" applyAlignment="1">
      <alignment horizontal="center"/>
    </xf>
    <xf numFmtId="0" fontId="1" fillId="0" borderId="11" xfId="1" applyFill="1" applyBorder="1" applyAlignment="1">
      <alignment horizontal="left" vertical="center" indent="1"/>
    </xf>
    <xf numFmtId="0" fontId="0" fillId="0" borderId="16" xfId="0" applyBorder="1" applyAlignment="1">
      <alignment horizontal="center" vertical="center"/>
    </xf>
    <xf numFmtId="0" fontId="0" fillId="0" borderId="8" xfId="0" applyBorder="1" applyAlignment="1">
      <alignment horizontal="center" vertical="center"/>
    </xf>
    <xf numFmtId="0" fontId="5" fillId="4" borderId="3" xfId="0" applyFont="1" applyFill="1" applyBorder="1" applyAlignment="1">
      <alignment horizontal="center" vertical="center"/>
    </xf>
    <xf numFmtId="0" fontId="0" fillId="0" borderId="6" xfId="0" applyBorder="1" applyAlignment="1">
      <alignment horizontal="center" vertical="center" indent="1"/>
    </xf>
    <xf numFmtId="0" fontId="0" fillId="0" borderId="14" xfId="0" applyBorder="1" applyAlignment="1">
      <alignment horizontal="center" vertical="center" indent="1"/>
    </xf>
    <xf numFmtId="0" fontId="0" fillId="6" borderId="2" xfId="0" applyFill="1" applyBorder="1" applyAlignment="1">
      <alignment horizontal="center" vertical="center"/>
    </xf>
    <xf numFmtId="0" fontId="1" fillId="0" borderId="1" xfId="1" applyBorder="1" applyAlignment="1">
      <alignment indent="1"/>
    </xf>
    <xf numFmtId="0" fontId="11" fillId="0" borderId="1" xfId="0" applyFont="1" applyBorder="1" applyAlignment="1">
      <alignment horizontal="left" vertical="center" indent="1"/>
    </xf>
    <xf numFmtId="0" fontId="4" fillId="0" borderId="3" xfId="0" applyFont="1" applyBorder="1" applyAlignment="1">
      <alignment horizontal="left" indent="1"/>
    </xf>
    <xf numFmtId="0" fontId="0" fillId="0" borderId="13" xfId="0" applyBorder="1" applyAlignment="1">
      <alignment horizontal="center" vertical="center" indent="1"/>
    </xf>
    <xf numFmtId="0" fontId="0" fillId="0" borderId="12" xfId="0" applyBorder="1" applyAlignment="1">
      <alignment horizontal="center" vertical="center"/>
    </xf>
    <xf numFmtId="0" fontId="0" fillId="0" borderId="16" xfId="0" applyBorder="1" applyAlignment="1">
      <alignment horizontal="left" vertical="center" indent="1"/>
    </xf>
    <xf numFmtId="0" fontId="1" fillId="0" borderId="11" xfId="1" applyBorder="1" applyAlignment="1">
      <alignment horizontal="left" vertical="center" indent="1"/>
    </xf>
    <xf numFmtId="0" fontId="6" fillId="5" borderId="18" xfId="0" quotePrefix="1" applyFont="1" applyFill="1" applyBorder="1" applyAlignment="1">
      <alignment horizontal="center" vertical="center" indent="1" readingOrder="1"/>
    </xf>
    <xf numFmtId="0" fontId="0" fillId="0" borderId="6" xfId="0" applyBorder="1" applyAlignment="1">
      <alignment horizontal="left" vertical="center" indent="1"/>
    </xf>
    <xf numFmtId="0" fontId="0" fillId="0" borderId="7" xfId="0" applyBorder="1" applyAlignment="1">
      <alignment horizontal="left" vertical="center" indent="1"/>
    </xf>
    <xf numFmtId="0" fontId="0" fillId="0" borderId="8" xfId="0" applyBorder="1" applyAlignment="1">
      <alignment horizontal="left" vertical="center" indent="1"/>
    </xf>
    <xf numFmtId="0" fontId="0" fillId="9" borderId="1" xfId="0" applyFill="1" applyBorder="1" applyAlignment="1">
      <alignment horizontal="center" vertical="center"/>
    </xf>
    <xf numFmtId="14" fontId="0" fillId="0" borderId="6" xfId="0" applyNumberFormat="1" applyBorder="1" applyAlignment="1">
      <alignment horizontal="center" vertical="center"/>
    </xf>
    <xf numFmtId="0" fontId="6" fillId="5" borderId="4" xfId="0" quotePrefix="1" applyFont="1" applyFill="1" applyBorder="1" applyAlignment="1">
      <alignment horizontal="center" vertical="center" indent="1" readingOrder="1"/>
    </xf>
    <xf numFmtId="0" fontId="0" fillId="10" borderId="1" xfId="0" applyFill="1" applyBorder="1" applyAlignment="1">
      <alignment horizontal="center" vertical="center"/>
    </xf>
    <xf numFmtId="0" fontId="0" fillId="10" borderId="1" xfId="0" applyFill="1" applyBorder="1" applyAlignment="1">
      <alignment horizontal="center" vertical="center" indent="1"/>
    </xf>
    <xf numFmtId="0" fontId="0" fillId="10" borderId="0" xfId="0" applyFill="1" applyAlignment="1">
      <alignment horizontal="left" indent="1"/>
    </xf>
    <xf numFmtId="0" fontId="0" fillId="10" borderId="1" xfId="0" applyFill="1" applyBorder="1" applyAlignment="1">
      <alignment horizontal="left" vertical="center" indent="1"/>
    </xf>
    <xf numFmtId="0" fontId="1" fillId="10" borderId="1" xfId="1" applyFill="1" applyBorder="1" applyAlignment="1">
      <alignment horizontal="left" vertical="center" indent="1"/>
    </xf>
    <xf numFmtId="0" fontId="0" fillId="10" borderId="1" xfId="0" applyFill="1" applyBorder="1" applyAlignment="1">
      <alignment horizontal="left" vertical="top" indent="1"/>
    </xf>
    <xf numFmtId="14" fontId="0" fillId="10" borderId="1" xfId="0" applyNumberFormat="1" applyFill="1" applyBorder="1" applyAlignment="1">
      <alignment horizontal="center" vertical="center"/>
    </xf>
    <xf numFmtId="0" fontId="1" fillId="0" borderId="3" xfId="1" applyBorder="1" applyAlignment="1">
      <alignment horizontal="center" vertical="center"/>
    </xf>
    <xf numFmtId="14" fontId="0" fillId="0" borderId="0" xfId="0" applyNumberFormat="1" applyAlignment="1">
      <alignment horizontal="center" vertical="center"/>
    </xf>
    <xf numFmtId="0" fontId="0" fillId="0" borderId="2" xfId="0" applyBorder="1" applyAlignment="1">
      <alignment horizontal="center"/>
    </xf>
    <xf numFmtId="0" fontId="0" fillId="0" borderId="1" xfId="0" applyBorder="1" applyAlignment="1">
      <alignment horizontal="left" indent="1"/>
    </xf>
    <xf numFmtId="0" fontId="0" fillId="5" borderId="1" xfId="0" applyFill="1" applyBorder="1" applyAlignment="1">
      <alignment horizontal="center" vertical="center"/>
    </xf>
    <xf numFmtId="0" fontId="0" fillId="0" borderId="0" xfId="0" applyAlignment="1">
      <alignment horizontal="left" indent="1"/>
    </xf>
    <xf numFmtId="0" fontId="0" fillId="10" borderId="1" xfId="0" applyFill="1" applyBorder="1" applyAlignment="1">
      <alignment horizontal="left" vertical="center" indent="2"/>
    </xf>
    <xf numFmtId="0" fontId="2" fillId="2" borderId="2" xfId="0" applyFont="1" applyFill="1" applyBorder="1" applyAlignment="1">
      <alignment horizontal="center" vertical="center"/>
    </xf>
    <xf numFmtId="0" fontId="0" fillId="0" borderId="10" xfId="0" applyBorder="1" applyAlignment="1">
      <alignment horizontal="center"/>
    </xf>
    <xf numFmtId="0" fontId="0" fillId="10" borderId="2" xfId="0" applyFill="1" applyBorder="1" applyAlignment="1">
      <alignment horizontal="center"/>
    </xf>
    <xf numFmtId="0" fontId="0" fillId="0" borderId="6" xfId="0" applyBorder="1" applyAlignment="1">
      <alignment horizontal="left" vertical="top" indent="1"/>
    </xf>
    <xf numFmtId="0" fontId="2" fillId="2" borderId="2" xfId="0" applyFont="1" applyFill="1" applyBorder="1" applyAlignment="1">
      <alignment horizontal="center" vertical="center" indent="1"/>
    </xf>
    <xf numFmtId="0" fontId="0" fillId="0" borderId="1" xfId="0" applyBorder="1" applyAlignment="1">
      <alignment horizontal="center" vertical="top"/>
    </xf>
    <xf numFmtId="0" fontId="0" fillId="0" borderId="1" xfId="0" applyBorder="1" applyAlignment="1">
      <alignment horizontal="center" vertical="top" indent="1"/>
    </xf>
    <xf numFmtId="0" fontId="1" fillId="0" borderId="1" xfId="1" applyBorder="1" applyAlignment="1">
      <alignment horizontal="left" vertical="top" indent="1"/>
    </xf>
    <xf numFmtId="0" fontId="4" fillId="0" borderId="1" xfId="0" applyFont="1" applyBorder="1" applyAlignment="1">
      <alignment horizontal="center" vertical="top" indent="1"/>
    </xf>
    <xf numFmtId="0" fontId="0" fillId="0" borderId="2" xfId="0" applyBorder="1" applyAlignment="1">
      <alignment horizontal="center" vertical="top"/>
    </xf>
    <xf numFmtId="0" fontId="4" fillId="0" borderId="1" xfId="0" applyFont="1" applyBorder="1" applyAlignment="1">
      <alignment horizontal="left" vertical="top" indent="1"/>
    </xf>
    <xf numFmtId="0" fontId="0" fillId="0" borderId="0" xfId="0" applyAlignment="1">
      <alignment horizontal="left" vertical="center"/>
    </xf>
    <xf numFmtId="0" fontId="0" fillId="0" borderId="3" xfId="0" applyBorder="1"/>
    <xf numFmtId="0" fontId="0" fillId="0" borderId="2" xfId="0" applyBorder="1"/>
    <xf numFmtId="0" fontId="1" fillId="0" borderId="4" xfId="1" applyFill="1" applyBorder="1" applyAlignment="1">
      <alignment horizontal="left" vertical="center" indent="1"/>
    </xf>
    <xf numFmtId="0" fontId="4" fillId="0" borderId="4" xfId="0" applyFont="1" applyBorder="1" applyAlignment="1">
      <alignment horizontal="left" vertical="center" indent="1"/>
    </xf>
    <xf numFmtId="0" fontId="1" fillId="0" borderId="1" xfId="1" applyFill="1" applyBorder="1" applyAlignment="1">
      <alignment horizontal="center" vertical="center"/>
    </xf>
    <xf numFmtId="0" fontId="0" fillId="0" borderId="4" xfId="0" applyBorder="1" applyAlignment="1">
      <alignment horizontal="left" vertical="top" indent="1"/>
    </xf>
    <xf numFmtId="0" fontId="0" fillId="0" borderId="4" xfId="0" applyBorder="1" applyAlignment="1">
      <alignment horizontal="center"/>
    </xf>
    <xf numFmtId="0" fontId="0" fillId="0" borderId="7" xfId="0" applyBorder="1" applyAlignment="1">
      <alignment horizontal="center" vertical="center" indent="1"/>
    </xf>
    <xf numFmtId="14" fontId="6" fillId="0" borderId="11" xfId="0" applyNumberFormat="1" applyFont="1" applyBorder="1" applyAlignment="1">
      <alignment horizontal="center" vertical="center" readingOrder="1"/>
    </xf>
    <xf numFmtId="0" fontId="7" fillId="0" borderId="11" xfId="0" applyFont="1" applyBorder="1" applyAlignment="1">
      <alignment horizontal="center" vertical="center" readingOrder="1"/>
    </xf>
    <xf numFmtId="0" fontId="6" fillId="0" borderId="11" xfId="0" applyFont="1" applyBorder="1" applyAlignment="1">
      <alignment horizontal="center" vertical="center" indent="1" readingOrder="1"/>
    </xf>
    <xf numFmtId="0" fontId="6" fillId="0" borderId="11" xfId="0" quotePrefix="1" applyFont="1" applyBorder="1" applyAlignment="1">
      <alignment horizontal="center" vertical="center" indent="1" readingOrder="1"/>
    </xf>
    <xf numFmtId="0" fontId="6" fillId="0" borderId="11" xfId="0" applyFont="1" applyBorder="1" applyAlignment="1">
      <alignment horizontal="left" vertical="center" indent="1" readingOrder="1"/>
    </xf>
    <xf numFmtId="0" fontId="1" fillId="0" borderId="11" xfId="1" applyFill="1" applyBorder="1" applyAlignment="1">
      <alignment horizontal="left" vertical="center" indent="1" readingOrder="1"/>
    </xf>
    <xf numFmtId="0" fontId="0" fillId="0" borderId="11" xfId="0" applyBorder="1" applyAlignment="1">
      <alignment horizontal="center"/>
    </xf>
    <xf numFmtId="14" fontId="6" fillId="0" borderId="1" xfId="0" applyNumberFormat="1" applyFont="1" applyBorder="1" applyAlignment="1">
      <alignment horizontal="center" vertical="center" readingOrder="1"/>
    </xf>
    <xf numFmtId="0" fontId="7" fillId="0" borderId="1" xfId="0" applyFont="1" applyBorder="1" applyAlignment="1">
      <alignment horizontal="center" vertical="center" readingOrder="1"/>
    </xf>
    <xf numFmtId="0" fontId="6" fillId="0" borderId="1" xfId="0" applyFont="1" applyBorder="1" applyAlignment="1">
      <alignment horizontal="center" vertical="center" indent="1" readingOrder="1"/>
    </xf>
    <xf numFmtId="0" fontId="6" fillId="0" borderId="1" xfId="0" quotePrefix="1" applyFont="1" applyBorder="1" applyAlignment="1">
      <alignment horizontal="center" vertical="center" indent="1" readingOrder="1"/>
    </xf>
    <xf numFmtId="0" fontId="6" fillId="0" borderId="1" xfId="0" applyFont="1" applyBorder="1" applyAlignment="1">
      <alignment horizontal="left" vertical="center" indent="1" readingOrder="1"/>
    </xf>
    <xf numFmtId="0" fontId="1" fillId="0" borderId="1" xfId="1" applyFill="1" applyBorder="1" applyAlignment="1">
      <alignment horizontal="left" vertical="center" indent="1" readingOrder="1"/>
    </xf>
    <xf numFmtId="0" fontId="6" fillId="0" borderId="1" xfId="0" applyFont="1" applyBorder="1" applyAlignment="1">
      <alignment horizontal="center" vertical="center" readingOrder="1"/>
    </xf>
    <xf numFmtId="0" fontId="1" fillId="0" borderId="4" xfId="1" applyFill="1" applyBorder="1" applyAlignment="1">
      <alignment horizontal="center" vertical="center"/>
    </xf>
    <xf numFmtId="0" fontId="0" fillId="10" borderId="2" xfId="0" applyFill="1" applyBorder="1" applyAlignment="1">
      <alignment horizontal="center" vertical="center" indent="1"/>
    </xf>
    <xf numFmtId="0" fontId="0" fillId="10" borderId="5" xfId="0" applyFill="1" applyBorder="1" applyAlignment="1">
      <alignment horizontal="left" vertical="center" indent="1"/>
    </xf>
    <xf numFmtId="14" fontId="4" fillId="0" borderId="2" xfId="0" applyNumberFormat="1" applyFont="1" applyBorder="1" applyAlignment="1">
      <alignment horizontal="center"/>
    </xf>
    <xf numFmtId="14" fontId="4" fillId="0" borderId="1" xfId="0" applyNumberFormat="1" applyFont="1" applyBorder="1" applyAlignment="1">
      <alignment horizontal="center"/>
    </xf>
    <xf numFmtId="0" fontId="4" fillId="0" borderId="4" xfId="0" applyFont="1" applyBorder="1" applyAlignment="1">
      <alignment horizontal="left" indent="1"/>
    </xf>
    <xf numFmtId="0" fontId="1" fillId="0" borderId="5" xfId="1" applyBorder="1" applyAlignment="1">
      <alignment indent="1"/>
    </xf>
    <xf numFmtId="0" fontId="13" fillId="0" borderId="0" xfId="0" applyFont="1" applyAlignment="1">
      <alignment horizontal="left" indent="1"/>
    </xf>
    <xf numFmtId="0" fontId="0" fillId="0" borderId="3" xfId="0" applyBorder="1" applyAlignment="1">
      <alignment horizontal="left" vertical="top" indent="1"/>
    </xf>
    <xf numFmtId="0" fontId="14" fillId="0" borderId="1" xfId="0" applyFont="1" applyBorder="1" applyAlignment="1">
      <alignment horizontal="center"/>
    </xf>
    <xf numFmtId="0" fontId="14" fillId="0" borderId="1" xfId="0" applyFont="1" applyBorder="1" applyAlignment="1">
      <alignment horizontal="left" indent="1"/>
    </xf>
    <xf numFmtId="0" fontId="15" fillId="4" borderId="2" xfId="0" applyFont="1" applyFill="1" applyBorder="1" applyAlignment="1">
      <alignment horizontal="center"/>
    </xf>
    <xf numFmtId="0" fontId="12" fillId="11" borderId="2" xfId="0" applyFont="1" applyFill="1" applyBorder="1" applyAlignment="1">
      <alignment horizontal="center"/>
    </xf>
    <xf numFmtId="0" fontId="12" fillId="12" borderId="2" xfId="0" applyFont="1" applyFill="1" applyBorder="1" applyAlignment="1">
      <alignment horizontal="center"/>
    </xf>
    <xf numFmtId="0" fontId="12" fillId="11" borderId="1" xfId="0" applyFont="1" applyFill="1" applyBorder="1" applyAlignment="1">
      <alignment horizontal="left" indent="1"/>
    </xf>
    <xf numFmtId="0" fontId="12" fillId="12" borderId="1" xfId="0" applyFont="1" applyFill="1" applyBorder="1" applyAlignment="1">
      <alignment horizontal="left" indent="1"/>
    </xf>
    <xf numFmtId="0" fontId="0" fillId="0" borderId="0" xfId="0" applyAlignment="1">
      <alignment horizontal="left" indent="2"/>
    </xf>
    <xf numFmtId="0" fontId="15" fillId="4" borderId="1" xfId="0" applyFont="1" applyFill="1" applyBorder="1" applyAlignment="1">
      <alignment horizontal="center"/>
    </xf>
    <xf numFmtId="0" fontId="12" fillId="11" borderId="1" xfId="0" applyFont="1" applyFill="1" applyBorder="1" applyAlignment="1">
      <alignment horizontal="center"/>
    </xf>
    <xf numFmtId="0" fontId="12" fillId="12" borderId="1" xfId="0" applyFont="1" applyFill="1" applyBorder="1" applyAlignment="1">
      <alignment horizontal="center"/>
    </xf>
    <xf numFmtId="0" fontId="12" fillId="11" borderId="1" xfId="0" applyFont="1" applyFill="1" applyBorder="1" applyAlignment="1">
      <alignment horizontal="left" vertical="center" indent="1"/>
    </xf>
    <xf numFmtId="0" fontId="12" fillId="12" borderId="1" xfId="0" applyFont="1" applyFill="1" applyBorder="1" applyAlignment="1">
      <alignment horizontal="left" vertical="center" indent="1"/>
    </xf>
    <xf numFmtId="0" fontId="12" fillId="3" borderId="1" xfId="0" applyFont="1" applyFill="1" applyBorder="1" applyAlignment="1">
      <alignment horizontal="left" indent="1"/>
    </xf>
    <xf numFmtId="0" fontId="14" fillId="0" borderId="1" xfId="0" applyFont="1" applyBorder="1" applyAlignment="1">
      <alignment horizontal="left" vertical="center" indent="1"/>
    </xf>
    <xf numFmtId="0" fontId="14" fillId="0" borderId="1" xfId="0" applyFont="1" applyBorder="1" applyAlignment="1">
      <alignment horizontal="center" vertical="top"/>
    </xf>
    <xf numFmtId="0" fontId="0" fillId="0" borderId="1" xfId="0" applyBorder="1" applyAlignment="1">
      <alignment horizontal="left"/>
    </xf>
    <xf numFmtId="0" fontId="12" fillId="11" borderId="3" xfId="0" applyFont="1" applyFill="1" applyBorder="1" applyAlignment="1">
      <alignment horizontal="left" vertical="center" indent="1"/>
    </xf>
    <xf numFmtId="0" fontId="12" fillId="11" borderId="3" xfId="0" applyFont="1" applyFill="1" applyBorder="1" applyAlignment="1">
      <alignment horizontal="center"/>
    </xf>
    <xf numFmtId="0" fontId="12" fillId="11" borderId="3" xfId="0" applyFont="1" applyFill="1" applyBorder="1" applyAlignment="1">
      <alignment horizontal="left" indent="1"/>
    </xf>
    <xf numFmtId="0" fontId="12" fillId="11" borderId="6" xfId="0" applyFont="1" applyFill="1" applyBorder="1" applyAlignment="1">
      <alignment horizontal="center"/>
    </xf>
    <xf numFmtId="14" fontId="0" fillId="0" borderId="11" xfId="0" applyNumberFormat="1" applyBorder="1" applyAlignment="1">
      <alignment horizontal="center" vertical="center"/>
    </xf>
    <xf numFmtId="0" fontId="4" fillId="0" borderId="4" xfId="0" applyFont="1" applyBorder="1" applyAlignment="1">
      <alignment horizontal="center" vertical="center"/>
    </xf>
    <xf numFmtId="14" fontId="4" fillId="0" borderId="4" xfId="0" applyNumberFormat="1" applyFont="1" applyBorder="1" applyAlignment="1">
      <alignment horizontal="center" vertical="center"/>
    </xf>
    <xf numFmtId="0" fontId="4" fillId="0" borderId="4" xfId="0" quotePrefix="1" applyFont="1" applyBorder="1" applyAlignment="1">
      <alignment horizontal="center" vertical="center"/>
    </xf>
    <xf numFmtId="0" fontId="4" fillId="0" borderId="4" xfId="0" quotePrefix="1" applyFont="1" applyBorder="1" applyAlignment="1">
      <alignment horizontal="left" vertical="center" indent="1"/>
    </xf>
    <xf numFmtId="0" fontId="5" fillId="0" borderId="0" xfId="0" applyFont="1"/>
    <xf numFmtId="0" fontId="0" fillId="0" borderId="3" xfId="0" applyBorder="1" applyAlignment="1">
      <alignment horizontal="center"/>
    </xf>
    <xf numFmtId="0" fontId="0" fillId="0" borderId="3" xfId="0" applyBorder="1" applyAlignment="1">
      <alignment horizontal="left" indent="1"/>
    </xf>
    <xf numFmtId="0" fontId="12" fillId="0" borderId="1" xfId="0" applyFont="1" applyBorder="1" applyAlignment="1">
      <alignment horizontal="left" vertical="center" indent="1"/>
    </xf>
    <xf numFmtId="0" fontId="12" fillId="0" borderId="1" xfId="0" applyFont="1" applyBorder="1" applyAlignment="1">
      <alignment horizontal="center"/>
    </xf>
    <xf numFmtId="0" fontId="12" fillId="0" borderId="2" xfId="0" applyFont="1" applyBorder="1" applyAlignment="1">
      <alignment horizontal="center"/>
    </xf>
    <xf numFmtId="0" fontId="12" fillId="0" borderId="1" xfId="0" applyFont="1" applyBorder="1" applyAlignment="1">
      <alignment horizontal="center" indent="1"/>
    </xf>
    <xf numFmtId="0" fontId="14" fillId="0" borderId="1" xfId="0" applyFont="1" applyBorder="1" applyAlignment="1">
      <alignment horizontal="center" indent="1"/>
    </xf>
    <xf numFmtId="0" fontId="0" fillId="0" borderId="1" xfId="0" applyBorder="1" applyAlignment="1">
      <alignment horizontal="center" indent="1"/>
    </xf>
    <xf numFmtId="0" fontId="0" fillId="0" borderId="0" xfId="0" applyAlignment="1">
      <alignment horizontal="center" indent="1"/>
    </xf>
    <xf numFmtId="0" fontId="0" fillId="0" borderId="0" xfId="0" applyAlignment="1">
      <alignment horizontal="center" indent="2"/>
    </xf>
    <xf numFmtId="0" fontId="12" fillId="0" borderId="1" xfId="0" applyFont="1" applyBorder="1" applyAlignment="1">
      <alignment horizontal="center" vertical="center" indent="1"/>
    </xf>
    <xf numFmtId="0" fontId="14" fillId="0" borderId="1" xfId="0" applyFont="1" applyBorder="1" applyAlignment="1">
      <alignment horizontal="center" vertical="center" indent="1"/>
    </xf>
    <xf numFmtId="0" fontId="0" fillId="0" borderId="0" xfId="0" applyAlignment="1">
      <alignment horizontal="center" vertical="center" indent="2"/>
    </xf>
    <xf numFmtId="0" fontId="12" fillId="0" borderId="2" xfId="0" applyFont="1" applyBorder="1" applyAlignment="1">
      <alignment horizontal="center" indent="1"/>
    </xf>
    <xf numFmtId="0" fontId="12" fillId="0" borderId="2" xfId="0" applyFont="1" applyBorder="1" applyAlignment="1">
      <alignment horizontal="left" indent="1"/>
    </xf>
    <xf numFmtId="0" fontId="4" fillId="0" borderId="10" xfId="0" applyFont="1" applyBorder="1" applyAlignment="1">
      <alignment horizontal="left" indent="1"/>
    </xf>
    <xf numFmtId="3" fontId="0" fillId="0" borderId="1" xfId="0" applyNumberFormat="1" applyBorder="1" applyAlignment="1">
      <alignment horizontal="center" indent="1"/>
    </xf>
    <xf numFmtId="3" fontId="0" fillId="0" borderId="1" xfId="0" applyNumberFormat="1" applyBorder="1" applyAlignment="1">
      <alignment horizontal="left" indent="1"/>
    </xf>
    <xf numFmtId="0" fontId="0" fillId="0" borderId="2" xfId="0" applyBorder="1" applyAlignment="1">
      <alignment horizontal="left" indent="1"/>
    </xf>
    <xf numFmtId="0" fontId="14" fillId="0" borderId="2" xfId="0" applyFont="1" applyBorder="1" applyAlignment="1">
      <alignment horizontal="center"/>
    </xf>
    <xf numFmtId="0" fontId="14" fillId="0" borderId="2" xfId="0" applyFont="1" applyBorder="1" applyAlignment="1">
      <alignment horizontal="left" indent="1"/>
    </xf>
    <xf numFmtId="0" fontId="16" fillId="0" borderId="2" xfId="0" applyFont="1" applyBorder="1" applyAlignment="1">
      <alignment horizontal="left" indent="1"/>
    </xf>
    <xf numFmtId="14" fontId="0" fillId="0" borderId="4" xfId="0" applyNumberFormat="1" applyBorder="1" applyAlignment="1">
      <alignment horizontal="center" vertical="center"/>
    </xf>
    <xf numFmtId="14" fontId="0" fillId="0" borderId="3" xfId="0" applyNumberFormat="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0" borderId="0" xfId="1"/>
    <xf numFmtId="0" fontId="1" fillId="0" borderId="1" xfId="1" applyBorder="1" applyAlignment="1">
      <alignment horizontal="left" indent="1"/>
    </xf>
    <xf numFmtId="0" fontId="0" fillId="0" borderId="0" xfId="0" quotePrefix="1"/>
    <xf numFmtId="0" fontId="1" fillId="0" borderId="3" xfId="1" applyBorder="1" applyAlignment="1">
      <alignment horizontal="left" indent="1"/>
    </xf>
    <xf numFmtId="0" fontId="0" fillId="0" borderId="6" xfId="0" applyBorder="1" applyAlignment="1">
      <alignment horizontal="center" vertical="top"/>
    </xf>
    <xf numFmtId="0" fontId="0" fillId="0" borderId="3" xfId="0" applyBorder="1" applyAlignment="1">
      <alignment vertical="center"/>
    </xf>
    <xf numFmtId="0" fontId="0" fillId="0" borderId="11" xfId="0" applyBorder="1"/>
    <xf numFmtId="0" fontId="0" fillId="0" borderId="4" xfId="0" applyBorder="1"/>
    <xf numFmtId="0" fontId="1" fillId="0" borderId="3" xfId="1" applyFill="1" applyBorder="1" applyAlignment="1">
      <alignment horizontal="center" vertical="center"/>
    </xf>
    <xf numFmtId="0" fontId="6" fillId="0" borderId="17" xfId="0" applyFont="1" applyBorder="1" applyAlignment="1">
      <alignment horizontal="left" vertical="center" indent="1" readingOrder="1"/>
    </xf>
    <xf numFmtId="0" fontId="0" fillId="0" borderId="11" xfId="0" applyBorder="1" applyAlignment="1">
      <alignment horizontal="left" vertical="center"/>
    </xf>
    <xf numFmtId="0" fontId="0" fillId="0" borderId="11" xfId="0" applyBorder="1" applyAlignment="1">
      <alignment horizontal="left" vertical="center" indent="2"/>
    </xf>
    <xf numFmtId="0" fontId="0" fillId="0" borderId="12" xfId="0" applyBorder="1" applyAlignment="1">
      <alignment horizontal="left" vertical="top" indent="1"/>
    </xf>
    <xf numFmtId="14" fontId="0" fillId="0" borderId="12" xfId="0" applyNumberFormat="1" applyBorder="1" applyAlignment="1">
      <alignment horizontal="center" vertical="center"/>
    </xf>
    <xf numFmtId="0" fontId="12" fillId="0" borderId="1" xfId="0" applyFont="1" applyBorder="1" applyAlignment="1">
      <alignment horizontal="left" vertical="center" wrapText="1" indent="1"/>
    </xf>
    <xf numFmtId="0" fontId="15" fillId="4" borderId="1" xfId="0" applyFont="1" applyFill="1" applyBorder="1" applyAlignment="1">
      <alignment horizontal="center" wrapText="1"/>
    </xf>
    <xf numFmtId="0" fontId="0" fillId="0" borderId="0" xfId="0" applyAlignment="1">
      <alignment horizontal="center" wrapText="1"/>
    </xf>
    <xf numFmtId="0" fontId="0" fillId="0" borderId="0" xfId="0" applyAlignment="1">
      <alignment wrapText="1"/>
    </xf>
    <xf numFmtId="0" fontId="0" fillId="0" borderId="0" xfId="0" applyAlignment="1">
      <alignment vertical="top" wrapText="1"/>
    </xf>
    <xf numFmtId="0" fontId="4" fillId="0" borderId="1" xfId="0" applyFont="1" applyBorder="1" applyAlignment="1">
      <alignment horizontal="left" wrapText="1" indent="1"/>
    </xf>
    <xf numFmtId="0" fontId="0" fillId="0" borderId="0" xfId="0" applyAlignment="1">
      <alignment vertical="center" wrapText="1"/>
    </xf>
    <xf numFmtId="0" fontId="0" fillId="0" borderId="0" xfId="0" applyAlignment="1">
      <alignment horizontal="left" vertical="center" wrapText="1" indent="2"/>
    </xf>
    <xf numFmtId="0" fontId="12" fillId="0" borderId="1" xfId="0" applyFont="1" applyBorder="1" applyAlignment="1">
      <alignment horizontal="center" vertical="center" wrapText="1" indent="1"/>
    </xf>
    <xf numFmtId="0" fontId="0" fillId="0" borderId="0" xfId="0" applyAlignment="1">
      <alignment horizontal="left" wrapText="1" indent="1"/>
    </xf>
    <xf numFmtId="0" fontId="10" fillId="0" borderId="3" xfId="0" applyFont="1" applyBorder="1" applyAlignment="1">
      <alignment horizontal="left" vertical="center" indent="1"/>
    </xf>
    <xf numFmtId="0" fontId="4" fillId="0" borderId="3" xfId="0" quotePrefix="1" applyFont="1" applyBorder="1" applyAlignment="1">
      <alignment horizontal="left" vertical="center" indent="1"/>
    </xf>
    <xf numFmtId="0" fontId="4" fillId="0" borderId="11" xfId="0" applyFont="1" applyBorder="1" applyAlignment="1">
      <alignment horizontal="center" vertical="center"/>
    </xf>
    <xf numFmtId="14" fontId="4" fillId="0" borderId="11" xfId="0" applyNumberFormat="1" applyFont="1" applyBorder="1" applyAlignment="1">
      <alignment horizontal="center" vertical="center"/>
    </xf>
    <xf numFmtId="0" fontId="4" fillId="0" borderId="11" xfId="0" quotePrefix="1" applyFont="1" applyBorder="1" applyAlignment="1">
      <alignment horizontal="center" vertical="center"/>
    </xf>
    <xf numFmtId="0" fontId="4" fillId="0" borderId="11" xfId="0" applyFont="1" applyBorder="1" applyAlignment="1">
      <alignment vertical="center"/>
    </xf>
    <xf numFmtId="0" fontId="0" fillId="10" borderId="2" xfId="0" applyFill="1" applyBorder="1"/>
    <xf numFmtId="0" fontId="0" fillId="13" borderId="1" xfId="0" applyFill="1" applyBorder="1" applyAlignment="1">
      <alignment horizontal="center" vertical="center"/>
    </xf>
    <xf numFmtId="14" fontId="0" fillId="13" borderId="1" xfId="0" applyNumberFormat="1" applyFill="1" applyBorder="1" applyAlignment="1">
      <alignment horizontal="center" vertical="center"/>
    </xf>
    <xf numFmtId="0" fontId="0" fillId="13" borderId="1" xfId="0" applyFill="1" applyBorder="1" applyAlignment="1">
      <alignment horizontal="center" vertical="center" indent="1"/>
    </xf>
    <xf numFmtId="0" fontId="0" fillId="13" borderId="1" xfId="0" applyFill="1" applyBorder="1" applyAlignment="1">
      <alignment horizontal="left" vertical="center" indent="1"/>
    </xf>
    <xf numFmtId="0" fontId="1" fillId="13" borderId="1" xfId="1" applyFill="1" applyBorder="1" applyAlignment="1">
      <alignment horizontal="left" vertical="center" indent="1"/>
    </xf>
    <xf numFmtId="0" fontId="0" fillId="13" borderId="1" xfId="0" applyFill="1" applyBorder="1" applyAlignment="1">
      <alignment horizontal="left" vertical="center" indent="2"/>
    </xf>
    <xf numFmtId="0" fontId="0" fillId="13" borderId="1" xfId="0" applyFill="1" applyBorder="1" applyAlignment="1">
      <alignment horizontal="left" vertical="top" indent="1"/>
    </xf>
    <xf numFmtId="0" fontId="0" fillId="13" borderId="1" xfId="0" applyFill="1" applyBorder="1" applyAlignment="1">
      <alignment horizontal="center"/>
    </xf>
    <xf numFmtId="0" fontId="0" fillId="13" borderId="0" xfId="0" applyFill="1"/>
    <xf numFmtId="0" fontId="17" fillId="2" borderId="1" xfId="0" applyFont="1" applyFill="1" applyBorder="1" applyAlignment="1">
      <alignment horizontal="center" vertical="center"/>
    </xf>
    <xf numFmtId="0" fontId="4"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15" fillId="4" borderId="1" xfId="0" applyFont="1" applyFill="1" applyBorder="1" applyAlignment="1">
      <alignment horizontal="center" vertical="center" wrapText="1"/>
    </xf>
    <xf numFmtId="0" fontId="4" fillId="0" borderId="3" xfId="0" applyFont="1" applyBorder="1" applyAlignment="1">
      <alignment horizontal="left" vertical="center" wrapText="1" indent="1"/>
    </xf>
    <xf numFmtId="0" fontId="0" fillId="0" borderId="3" xfId="0" applyBorder="1" applyAlignment="1">
      <alignment horizontal="left" vertical="center" wrapText="1" indent="1"/>
    </xf>
    <xf numFmtId="0" fontId="0" fillId="0" borderId="3" xfId="0" applyBorder="1" applyAlignment="1">
      <alignment horizontal="left" vertical="top" wrapText="1" indent="1"/>
    </xf>
    <xf numFmtId="0" fontId="14" fillId="0" borderId="2" xfId="0" applyFont="1" applyBorder="1" applyAlignment="1">
      <alignment horizontal="left" vertical="top" wrapText="1" indent="1"/>
    </xf>
    <xf numFmtId="0" fontId="0" fillId="0" borderId="3" xfId="0" applyBorder="1" applyAlignment="1">
      <alignment horizontal="center" indent="1"/>
    </xf>
    <xf numFmtId="0" fontId="0" fillId="0" borderId="3" xfId="0" applyBorder="1" applyAlignment="1">
      <alignment horizontal="center" vertical="top" wrapText="1" indent="1"/>
    </xf>
    <xf numFmtId="0" fontId="0" fillId="0" borderId="5" xfId="0" applyBorder="1"/>
    <xf numFmtId="0" fontId="1" fillId="3" borderId="1" xfId="1" applyFill="1" applyBorder="1" applyAlignment="1">
      <alignment horizontal="left" indent="1"/>
    </xf>
    <xf numFmtId="0" fontId="18" fillId="14" borderId="1" xfId="0" applyFont="1" applyFill="1" applyBorder="1" applyAlignment="1">
      <alignment horizontal="left" indent="1"/>
    </xf>
    <xf numFmtId="0" fontId="5" fillId="4" borderId="1" xfId="0" applyFont="1" applyFill="1" applyBorder="1" applyAlignment="1">
      <alignment horizontal="center" vertical="center" indent="1"/>
    </xf>
    <xf numFmtId="14" fontId="6" fillId="0" borderId="3" xfId="0" applyNumberFormat="1" applyFont="1" applyBorder="1" applyAlignment="1">
      <alignment horizontal="center" vertical="center" readingOrder="1"/>
    </xf>
    <xf numFmtId="0" fontId="7" fillId="0" borderId="3" xfId="0" applyFont="1" applyBorder="1" applyAlignment="1">
      <alignment horizontal="center" vertical="center" readingOrder="1"/>
    </xf>
    <xf numFmtId="0" fontId="6" fillId="0" borderId="3" xfId="0" applyFont="1" applyBorder="1" applyAlignment="1">
      <alignment horizontal="center" vertical="center" indent="1" readingOrder="1"/>
    </xf>
    <xf numFmtId="0" fontId="6" fillId="0" borderId="3" xfId="0" quotePrefix="1" applyFont="1" applyBorder="1" applyAlignment="1">
      <alignment horizontal="center" vertical="center" indent="1" readingOrder="1"/>
    </xf>
    <xf numFmtId="0" fontId="6" fillId="0" borderId="3" xfId="0" applyFont="1" applyBorder="1" applyAlignment="1">
      <alignment horizontal="left" vertical="center" indent="1" readingOrder="1"/>
    </xf>
    <xf numFmtId="0" fontId="1" fillId="0" borderId="3" xfId="1" applyFill="1" applyBorder="1" applyAlignment="1">
      <alignment horizontal="left" vertical="center" indent="1" readingOrder="1"/>
    </xf>
    <xf numFmtId="0" fontId="6" fillId="0" borderId="3" xfId="0" applyFont="1" applyBorder="1" applyAlignment="1">
      <alignment horizontal="center" vertical="center" readingOrder="1"/>
    </xf>
    <xf numFmtId="0" fontId="6" fillId="0" borderId="3" xfId="0" applyFont="1" applyBorder="1" applyAlignment="1">
      <alignment vertical="center" readingOrder="1"/>
    </xf>
    <xf numFmtId="0" fontId="0" fillId="0" borderId="11" xfId="0" applyBorder="1" applyAlignment="1">
      <alignment horizontal="left" vertical="top" indent="1"/>
    </xf>
    <xf numFmtId="14" fontId="6" fillId="5" borderId="17" xfId="0" applyNumberFormat="1" applyFont="1" applyFill="1" applyBorder="1" applyAlignment="1">
      <alignment horizontal="center" vertical="center" readingOrder="1"/>
    </xf>
    <xf numFmtId="0" fontId="6" fillId="5" borderId="17" xfId="0" applyFont="1" applyFill="1" applyBorder="1" applyAlignment="1">
      <alignment horizontal="center" vertical="center" indent="1" readingOrder="1"/>
    </xf>
    <xf numFmtId="0" fontId="6" fillId="5" borderId="17" xfId="0" applyFont="1" applyFill="1" applyBorder="1" applyAlignment="1">
      <alignment horizontal="left" vertical="center" indent="1" readingOrder="1"/>
    </xf>
    <xf numFmtId="0" fontId="1" fillId="5" borderId="17" xfId="1" applyFill="1" applyBorder="1" applyAlignment="1">
      <alignment horizontal="left" vertical="center" indent="1" readingOrder="1"/>
    </xf>
    <xf numFmtId="0" fontId="0" fillId="0" borderId="4" xfId="0" applyBorder="1" applyAlignment="1">
      <alignment horizontal="left" vertical="center"/>
    </xf>
    <xf numFmtId="14" fontId="0" fillId="0" borderId="7" xfId="0" applyNumberFormat="1" applyBorder="1" applyAlignment="1">
      <alignment horizontal="center" vertical="center"/>
    </xf>
    <xf numFmtId="0" fontId="4" fillId="0" borderId="5" xfId="0" applyFont="1" applyBorder="1"/>
    <xf numFmtId="0" fontId="0" fillId="0" borderId="5" xfId="0" applyBorder="1" applyAlignment="1">
      <alignment horizontal="center"/>
    </xf>
    <xf numFmtId="14" fontId="0" fillId="0" borderId="5" xfId="0" applyNumberFormat="1" applyBorder="1" applyAlignment="1">
      <alignment horizontal="center"/>
    </xf>
    <xf numFmtId="0" fontId="5" fillId="4" borderId="2" xfId="0" applyFont="1" applyFill="1" applyBorder="1" applyAlignment="1">
      <alignment horizontal="center" vertical="center" indent="1"/>
    </xf>
    <xf numFmtId="0" fontId="4" fillId="0" borderId="10" xfId="0" applyFont="1" applyBorder="1" applyAlignment="1">
      <alignment horizontal="center"/>
    </xf>
    <xf numFmtId="0" fontId="14" fillId="0" borderId="1" xfId="0" applyFont="1" applyBorder="1" applyAlignment="1">
      <alignment horizontal="center" vertical="top" wrapText="1" indent="1"/>
    </xf>
    <xf numFmtId="0" fontId="1" fillId="10" borderId="0" xfId="1" applyFill="1" applyAlignment="1">
      <alignment horizontal="left" vertical="center" indent="1"/>
    </xf>
    <xf numFmtId="0" fontId="14" fillId="0" borderId="2" xfId="0" applyFont="1" applyBorder="1" applyAlignment="1">
      <alignment horizontal="left" vertical="top" indent="1"/>
    </xf>
    <xf numFmtId="0" fontId="0" fillId="0" borderId="0" xfId="0" applyAlignment="1">
      <alignment horizontal="center" vertical="top"/>
    </xf>
    <xf numFmtId="0" fontId="12" fillId="15" borderId="1" xfId="0" applyFont="1" applyFill="1" applyBorder="1" applyAlignment="1">
      <alignment horizontal="left" vertical="center" indent="1"/>
    </xf>
    <xf numFmtId="0" fontId="12" fillId="15" borderId="1" xfId="0" applyFont="1" applyFill="1" applyBorder="1" applyAlignment="1">
      <alignment horizontal="center" vertical="center" indent="1"/>
    </xf>
    <xf numFmtId="0" fontId="12" fillId="15" borderId="1" xfId="0" applyFont="1" applyFill="1" applyBorder="1" applyAlignment="1">
      <alignment horizontal="center"/>
    </xf>
    <xf numFmtId="0" fontId="12" fillId="15" borderId="1" xfId="0" applyFont="1" applyFill="1" applyBorder="1" applyAlignment="1">
      <alignment horizontal="center" indent="1"/>
    </xf>
    <xf numFmtId="0" fontId="12" fillId="15" borderId="2" xfId="0" applyFont="1" applyFill="1" applyBorder="1" applyAlignment="1">
      <alignment horizontal="center" indent="1"/>
    </xf>
    <xf numFmtId="0" fontId="12" fillId="15" borderId="2" xfId="0" applyFont="1" applyFill="1" applyBorder="1" applyAlignment="1">
      <alignment horizontal="center"/>
    </xf>
    <xf numFmtId="0" fontId="12" fillId="15" borderId="1" xfId="0" applyFont="1" applyFill="1" applyBorder="1" applyAlignment="1">
      <alignment horizontal="left" indent="1"/>
    </xf>
    <xf numFmtId="0" fontId="14" fillId="15" borderId="2" xfId="0" applyFont="1" applyFill="1" applyBorder="1" applyAlignment="1">
      <alignment horizontal="left" vertical="top" wrapText="1" indent="1"/>
    </xf>
    <xf numFmtId="0" fontId="0" fillId="15" borderId="1" xfId="0" applyFill="1" applyBorder="1" applyAlignment="1">
      <alignment horizontal="left" vertical="center" indent="1"/>
    </xf>
    <xf numFmtId="0" fontId="0" fillId="15" borderId="1" xfId="0" applyFill="1" applyBorder="1" applyAlignment="1">
      <alignment horizontal="left"/>
    </xf>
    <xf numFmtId="0" fontId="0" fillId="15" borderId="3" xfId="0" applyFill="1" applyBorder="1" applyAlignment="1">
      <alignment horizontal="left"/>
    </xf>
    <xf numFmtId="0" fontId="0" fillId="15" borderId="1" xfId="0" applyFill="1" applyBorder="1" applyAlignment="1">
      <alignment horizontal="center" indent="1"/>
    </xf>
    <xf numFmtId="0" fontId="0" fillId="15" borderId="1" xfId="0" applyFill="1" applyBorder="1" applyAlignment="1">
      <alignment horizontal="left" indent="1"/>
    </xf>
    <xf numFmtId="0" fontId="0" fillId="15" borderId="1" xfId="0" applyFill="1" applyBorder="1" applyAlignment="1">
      <alignment horizontal="center" vertical="center" indent="1"/>
    </xf>
    <xf numFmtId="0" fontId="0" fillId="15" borderId="1" xfId="0" applyFill="1" applyBorder="1" applyAlignment="1">
      <alignment horizontal="center"/>
    </xf>
    <xf numFmtId="0" fontId="0" fillId="15" borderId="0" xfId="0" applyFill="1"/>
    <xf numFmtId="0" fontId="14" fillId="15" borderId="2" xfId="0" applyFont="1" applyFill="1" applyBorder="1" applyAlignment="1">
      <alignment horizontal="left" vertical="top" indent="1"/>
    </xf>
    <xf numFmtId="0" fontId="0" fillId="15" borderId="1" xfId="0" applyFill="1" applyBorder="1" applyAlignment="1">
      <alignment horizontal="center" vertical="top" indent="1"/>
    </xf>
    <xf numFmtId="0" fontId="0" fillId="15" borderId="1" xfId="0" applyFill="1" applyBorder="1" applyAlignment="1">
      <alignment horizontal="left" vertical="top" indent="1"/>
    </xf>
    <xf numFmtId="0" fontId="0" fillId="15" borderId="1" xfId="0" applyFill="1" applyBorder="1" applyAlignment="1">
      <alignment horizontal="left" vertical="top" wrapText="1" indent="1"/>
    </xf>
    <xf numFmtId="0" fontId="14" fillId="15" borderId="1" xfId="0" applyFont="1" applyFill="1" applyBorder="1" applyAlignment="1">
      <alignment horizontal="left" vertical="center" indent="1"/>
    </xf>
    <xf numFmtId="0" fontId="14" fillId="15" borderId="1" xfId="0" applyFont="1" applyFill="1" applyBorder="1" applyAlignment="1">
      <alignment horizontal="center" indent="1"/>
    </xf>
    <xf numFmtId="0" fontId="14" fillId="15" borderId="1" xfId="0" applyFont="1" applyFill="1" applyBorder="1" applyAlignment="1">
      <alignment horizontal="left" indent="1"/>
    </xf>
    <xf numFmtId="0" fontId="4" fillId="15" borderId="10" xfId="0" applyFont="1" applyFill="1" applyBorder="1" applyAlignment="1">
      <alignment horizontal="left" indent="1"/>
    </xf>
    <xf numFmtId="0" fontId="0" fillId="16" borderId="10" xfId="0" applyFill="1" applyBorder="1" applyAlignment="1">
      <alignment horizontal="left" vertical="center" indent="1"/>
    </xf>
    <xf numFmtId="0" fontId="0" fillId="16" borderId="1" xfId="0" applyFill="1" applyBorder="1" applyAlignment="1">
      <alignment horizontal="left" vertical="center" indent="1"/>
    </xf>
    <xf numFmtId="0" fontId="1" fillId="3" borderId="5" xfId="1" applyFill="1" applyBorder="1" applyAlignment="1">
      <alignment horizontal="left" vertical="center" indent="1"/>
    </xf>
    <xf numFmtId="0" fontId="1" fillId="0" borderId="5" xfId="1" applyFill="1" applyBorder="1" applyAlignment="1">
      <alignment horizontal="left" vertical="center" indent="1"/>
    </xf>
    <xf numFmtId="0" fontId="1" fillId="3" borderId="5" xfId="1" applyFill="1" applyBorder="1" applyAlignment="1">
      <alignment horizontal="left" vertical="center" wrapText="1" indent="1"/>
    </xf>
    <xf numFmtId="0" fontId="1" fillId="0" borderId="9" xfId="1" applyBorder="1" applyAlignment="1">
      <alignment horizontal="left" vertical="center" indent="1"/>
    </xf>
    <xf numFmtId="0" fontId="19" fillId="0" borderId="19" xfId="0" applyFont="1" applyBorder="1" applyAlignment="1">
      <alignment horizontal="center"/>
    </xf>
    <xf numFmtId="0" fontId="0" fillId="10" borderId="0" xfId="0" applyFill="1"/>
    <xf numFmtId="0" fontId="0" fillId="15" borderId="1" xfId="0" applyFill="1" applyBorder="1" applyAlignment="1">
      <alignment horizontal="center" vertical="top"/>
    </xf>
    <xf numFmtId="0" fontId="0" fillId="0" borderId="6" xfId="0" applyBorder="1" applyAlignment="1">
      <alignment horizontal="left" vertical="top" wrapText="1" indent="1"/>
    </xf>
    <xf numFmtId="0" fontId="4" fillId="0" borderId="3" xfId="0" applyFont="1" applyBorder="1" applyAlignment="1">
      <alignment horizontal="left" vertical="top" wrapText="1" indent="1"/>
    </xf>
    <xf numFmtId="0" fontId="12" fillId="3" borderId="2" xfId="0" applyFont="1" applyFill="1" applyBorder="1" applyAlignment="1">
      <alignment horizontal="left" indent="1"/>
    </xf>
    <xf numFmtId="0" fontId="12" fillId="3" borderId="2" xfId="0" applyFont="1" applyFill="1" applyBorder="1" applyAlignment="1">
      <alignment horizontal="left" vertical="center" indent="1"/>
    </xf>
    <xf numFmtId="0" fontId="12" fillId="3" borderId="6" xfId="0" applyFont="1" applyFill="1" applyBorder="1" applyAlignment="1">
      <alignment horizontal="left" indent="1"/>
    </xf>
    <xf numFmtId="0" fontId="0" fillId="0" borderId="2" xfId="0" applyBorder="1" applyAlignment="1">
      <alignment horizontal="left"/>
    </xf>
    <xf numFmtId="0" fontId="0" fillId="0" borderId="6" xfId="0" applyBorder="1" applyAlignment="1">
      <alignment horizontal="left"/>
    </xf>
    <xf numFmtId="0" fontId="0" fillId="0" borderId="6" xfId="0" applyBorder="1" applyAlignment="1">
      <alignment horizontal="left" indent="1"/>
    </xf>
    <xf numFmtId="0" fontId="14" fillId="0" borderId="1" xfId="0" applyFont="1" applyBorder="1" applyAlignment="1">
      <alignment horizontal="left" vertical="top" indent="1"/>
    </xf>
    <xf numFmtId="0" fontId="14" fillId="0" borderId="1" xfId="0" applyFont="1" applyBorder="1" applyAlignment="1">
      <alignment horizontal="left" vertical="top" wrapText="1" indent="1"/>
    </xf>
    <xf numFmtId="14" fontId="14" fillId="0" borderId="1" xfId="0" applyNumberFormat="1" applyFont="1" applyBorder="1" applyAlignment="1">
      <alignment horizontal="center"/>
    </xf>
    <xf numFmtId="14" fontId="14" fillId="0" borderId="1" xfId="0" applyNumberFormat="1" applyFont="1" applyBorder="1" applyAlignment="1">
      <alignment horizontal="center" vertical="top" wrapText="1" indent="1"/>
    </xf>
    <xf numFmtId="14" fontId="14" fillId="0" borderId="1" xfId="0" applyNumberFormat="1" applyFont="1" applyBorder="1" applyAlignment="1">
      <alignment horizontal="center" indent="1"/>
    </xf>
    <xf numFmtId="0" fontId="15" fillId="4" borderId="1" xfId="0" applyFont="1" applyFill="1" applyBorder="1" applyAlignment="1">
      <alignment horizontal="center" indent="1"/>
    </xf>
    <xf numFmtId="0" fontId="0" fillId="0" borderId="0" xfId="0" applyAlignment="1">
      <alignment indent="1"/>
    </xf>
    <xf numFmtId="0" fontId="15" fillId="4" borderId="1" xfId="0" applyFont="1" applyFill="1" applyBorder="1" applyAlignment="1">
      <alignment horizontal="center" vertical="center" indent="1"/>
    </xf>
    <xf numFmtId="0" fontId="15" fillId="4" borderId="1" xfId="0" applyFont="1" applyFill="1" applyBorder="1" applyAlignment="1">
      <alignment horizontal="center" vertical="center"/>
    </xf>
    <xf numFmtId="0" fontId="14" fillId="0" borderId="1" xfId="0" applyFont="1" applyBorder="1" applyAlignment="1">
      <alignment wrapText="1" indent="1"/>
    </xf>
    <xf numFmtId="0" fontId="14" fillId="0" borderId="1" xfId="0" applyFont="1" applyBorder="1" applyAlignment="1">
      <alignment vertical="center" wrapText="1" indent="1"/>
    </xf>
    <xf numFmtId="0" fontId="20" fillId="0" borderId="1" xfId="0" applyFont="1" applyBorder="1" applyAlignment="1">
      <alignment wrapText="1" indent="1"/>
    </xf>
    <xf numFmtId="0" fontId="21" fillId="0" borderId="1" xfId="0" applyFont="1" applyBorder="1" applyAlignment="1">
      <alignment wrapText="1" indent="1"/>
    </xf>
    <xf numFmtId="0" fontId="14" fillId="0" borderId="1" xfId="0" applyFont="1" applyBorder="1" applyAlignment="1">
      <alignment horizontal="center" vertical="center" wrapText="1" indent="1"/>
    </xf>
    <xf numFmtId="0" fontId="20" fillId="0" borderId="1" xfId="0" applyFont="1" applyBorder="1" applyAlignment="1">
      <alignment vertical="center" wrapText="1" indent="1"/>
    </xf>
    <xf numFmtId="0" fontId="0" fillId="13" borderId="2" xfId="0" applyFill="1" applyBorder="1" applyAlignment="1">
      <alignment horizontal="center" vertical="center"/>
    </xf>
    <xf numFmtId="0" fontId="0" fillId="13" borderId="5" xfId="0" applyFill="1" applyBorder="1" applyAlignment="1">
      <alignment horizontal="left" vertical="center" indent="1"/>
    </xf>
    <xf numFmtId="0" fontId="0" fillId="13" borderId="2" xfId="0" applyFill="1" applyBorder="1" applyAlignment="1">
      <alignment horizontal="center" vertical="center" indent="1"/>
    </xf>
    <xf numFmtId="0" fontId="0" fillId="13" borderId="5" xfId="0" applyFill="1" applyBorder="1" applyAlignment="1">
      <alignment horizontal="center" vertical="center"/>
    </xf>
    <xf numFmtId="14" fontId="0" fillId="13" borderId="2" xfId="0" applyNumberFormat="1" applyFill="1" applyBorder="1" applyAlignment="1">
      <alignment horizontal="center" vertical="center"/>
    </xf>
    <xf numFmtId="0" fontId="0" fillId="13" borderId="0" xfId="0" applyFill="1" applyAlignment="1">
      <alignment vertical="center"/>
    </xf>
    <xf numFmtId="0" fontId="0" fillId="13" borderId="1" xfId="0" applyFill="1" applyBorder="1" applyAlignment="1">
      <alignment vertical="center" indent="1"/>
    </xf>
    <xf numFmtId="0" fontId="0" fillId="13" borderId="2" xfId="0" applyFill="1" applyBorder="1" applyAlignment="1">
      <alignment horizontal="left" vertical="top" indent="1"/>
    </xf>
    <xf numFmtId="0" fontId="0" fillId="13" borderId="1" xfId="0" applyFill="1" applyBorder="1" applyAlignment="1">
      <alignment vertical="top" indent="1"/>
    </xf>
    <xf numFmtId="0" fontId="12" fillId="13" borderId="1" xfId="0" applyFont="1" applyFill="1" applyBorder="1" applyAlignment="1">
      <alignment horizontal="left" vertical="top" indent="1"/>
    </xf>
    <xf numFmtId="0" fontId="0" fillId="0" borderId="1" xfId="0" applyBorder="1" applyAlignment="1">
      <alignment horizontal="left" vertical="top"/>
    </xf>
    <xf numFmtId="0" fontId="0" fillId="13" borderId="0" xfId="0" applyFill="1" applyAlignment="1">
      <alignment horizontal="left" vertical="center" indent="1"/>
    </xf>
    <xf numFmtId="0" fontId="0" fillId="13" borderId="0" xfId="0" applyFill="1" applyAlignment="1">
      <alignment horizontal="center" vertical="center"/>
    </xf>
    <xf numFmtId="0" fontId="0" fillId="13" borderId="2" xfId="0" applyFill="1" applyBorder="1" applyAlignment="1">
      <alignment vertical="center"/>
    </xf>
    <xf numFmtId="14" fontId="0" fillId="13" borderId="0" xfId="0" applyNumberFormat="1" applyFill="1" applyAlignment="1">
      <alignment horizontal="center" vertical="center"/>
    </xf>
    <xf numFmtId="0" fontId="0" fillId="13" borderId="1" xfId="0" applyFill="1" applyBorder="1" applyAlignment="1">
      <alignment horizontal="left" vertical="center"/>
    </xf>
    <xf numFmtId="0" fontId="0" fillId="13" borderId="1" xfId="0" applyFill="1" applyBorder="1" applyAlignment="1">
      <alignment horizontal="left" vertical="top"/>
    </xf>
    <xf numFmtId="0" fontId="1" fillId="13" borderId="1" xfId="1" applyFill="1" applyBorder="1" applyAlignment="1">
      <alignment horizontal="center" vertical="center" indent="1"/>
    </xf>
    <xf numFmtId="0" fontId="0" fillId="10" borderId="1" xfId="0" applyFill="1" applyBorder="1" applyAlignment="1">
      <alignment horizontal="center"/>
    </xf>
    <xf numFmtId="0" fontId="0" fillId="13" borderId="4" xfId="0" applyFill="1" applyBorder="1" applyAlignment="1">
      <alignment horizontal="center" vertical="center"/>
    </xf>
    <xf numFmtId="0" fontId="0" fillId="13" borderId="4" xfId="0" applyFill="1" applyBorder="1" applyAlignment="1">
      <alignment horizontal="center" vertical="center" indent="1"/>
    </xf>
    <xf numFmtId="0" fontId="0" fillId="13" borderId="4" xfId="0" applyFill="1" applyBorder="1" applyAlignment="1">
      <alignment horizontal="left" vertical="center" indent="1"/>
    </xf>
    <xf numFmtId="0" fontId="1" fillId="13" borderId="4" xfId="1" applyFill="1" applyBorder="1" applyAlignment="1">
      <alignment horizontal="left" vertical="center" indent="1"/>
    </xf>
    <xf numFmtId="0" fontId="0" fillId="13" borderId="4" xfId="0" applyFill="1" applyBorder="1" applyAlignment="1">
      <alignment horizontal="left" vertical="center" indent="2"/>
    </xf>
    <xf numFmtId="0" fontId="0" fillId="13" borderId="7" xfId="0" applyFill="1" applyBorder="1" applyAlignment="1">
      <alignment horizontal="center" vertical="center"/>
    </xf>
    <xf numFmtId="0" fontId="0" fillId="13" borderId="7" xfId="0" applyFill="1" applyBorder="1" applyAlignment="1">
      <alignment horizontal="left" vertical="top" indent="1"/>
    </xf>
    <xf numFmtId="0" fontId="12" fillId="0" borderId="1" xfId="0" applyFont="1" applyBorder="1" applyAlignment="1">
      <alignment horizontal="left" vertical="top" wrapText="1" indent="1"/>
    </xf>
    <xf numFmtId="0" fontId="15" fillId="4" borderId="1" xfId="0" applyFont="1" applyFill="1" applyBorder="1" applyAlignment="1">
      <alignment horizontal="center" vertical="top" wrapText="1"/>
    </xf>
    <xf numFmtId="0" fontId="0" fillId="0" borderId="0" xfId="0" applyAlignment="1">
      <alignment horizontal="left" vertical="top" wrapText="1" indent="1"/>
    </xf>
    <xf numFmtId="0" fontId="4" fillId="0" borderId="1" xfId="0" applyFont="1" applyBorder="1" applyAlignment="1">
      <alignment indent="1"/>
    </xf>
    <xf numFmtId="0" fontId="5" fillId="4" borderId="1" xfId="0" applyFont="1" applyFill="1" applyBorder="1" applyAlignment="1">
      <alignment horizontal="center" vertical="center" wrapText="1"/>
    </xf>
    <xf numFmtId="0" fontId="13" fillId="0" borderId="1" xfId="0" applyFont="1" applyBorder="1" applyAlignment="1">
      <alignment horizontal="left" indent="1"/>
    </xf>
    <xf numFmtId="0" fontId="5" fillId="4" borderId="2" xfId="0" applyFont="1" applyFill="1" applyBorder="1" applyAlignment="1">
      <alignment horizontal="center" vertical="center" wrapText="1"/>
    </xf>
    <xf numFmtId="0" fontId="0" fillId="13" borderId="2" xfId="0" applyFill="1" applyBorder="1"/>
    <xf numFmtId="0" fontId="11" fillId="0" borderId="1" xfId="0" applyFont="1" applyBorder="1"/>
    <xf numFmtId="0" fontId="4" fillId="0" borderId="1" xfId="0" applyFont="1" applyBorder="1"/>
    <xf numFmtId="0" fontId="0" fillId="0" borderId="6" xfId="0" applyBorder="1"/>
    <xf numFmtId="0" fontId="0" fillId="0" borderId="1" xfId="0"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cellXfs>
  <cellStyles count="2">
    <cellStyle name="Hyperlink" xfId="1" builtinId="8"/>
    <cellStyle name="Normal" xfId="0" builtinId="0"/>
  </cellStyles>
  <dxfs count="1">
    <dxf>
      <fill>
        <patternFill patternType="solid">
          <fgColor rgb="FFFF0000"/>
          <bgColor rgb="FFFFFFFF"/>
        </patternFill>
      </fill>
    </dxf>
  </dxfs>
  <tableStyles count="0" defaultTableStyle="TableStyleMedium2" defaultPivotStyle="PivotStyleMedium9"/>
  <colors>
    <mruColors>
      <color rgb="FFFFCCCC"/>
      <color rgb="FFF0A8A8"/>
      <color rgb="FFFC00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-1619250</xdr:colOff>
      <xdr:row>0</xdr:row>
      <xdr:rowOff>-381000</xdr:rowOff>
    </xdr:from>
    <xdr:to>
      <xdr:col>0</xdr:col>
      <xdr:colOff>-1619250</xdr:colOff>
      <xdr:row>0</xdr:row>
      <xdr:rowOff>-381000</xdr:rowOff>
    </xdr:to>
    <xdr:sp macro="" textlink="">
      <xdr:nvSpPr>
        <xdr:cNvPr id="25" name="TextBox 1">
          <a:extLst>
            <a:ext uri="{FF2B5EF4-FFF2-40B4-BE49-F238E27FC236}">
              <a16:creationId xmlns:a16="http://schemas.microsoft.com/office/drawing/2014/main" id="{745912E3-4981-BF16-0E51-85208FB0548F}"/>
            </a:ext>
          </a:extLst>
        </xdr:cNvPr>
        <xdr:cNvSpPr txBox="1"/>
      </xdr:nvSpPr>
      <xdr:spPr>
        <a:xfrm>
          <a:off x="-1619250" y="-381000"/>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The HTML/CSS open bugs count shown </a:t>
          </a:r>
          <a:r>
            <a:rPr lang="en-US" sz="1100" b="0" i="0" u="none" strike="noStrike">
              <a:solidFill>
                <a:srgbClr val="000000"/>
              </a:solidFill>
              <a:latin typeface="Aptos Narrow" panose="020B0004020202020204" pitchFamily="34" charset="0"/>
            </a:rPr>
            <a:t>in the left matrix i</a:t>
          </a:r>
          <a:r>
            <a:rPr lang="en-US" sz="1100">
              <a:latin typeface="+mn-lt"/>
              <a:ea typeface="+mn-lt"/>
              <a:cs typeface="+mn-lt"/>
            </a:rPr>
            <a:t>s in respect to them being present on the UAT/PVT website. This Table </a:t>
          </a:r>
          <a:r>
            <a:rPr lang="en-US" sz="1100" b="0" i="0" u="none" strike="noStrike">
              <a:solidFill>
                <a:srgbClr val="000000"/>
              </a:solidFill>
              <a:latin typeface="Aptos Narrow" panose="020B0004020202020204" pitchFamily="34" charset="0"/>
            </a:rPr>
            <a:t>below </a:t>
          </a:r>
          <a:r>
            <a:rPr lang="en-US" sz="1100">
              <a:latin typeface="+mn-lt"/>
              <a:ea typeface="+mn-lt"/>
              <a:cs typeface="+mn-lt"/>
            </a:rPr>
            <a:t>is to check whether their fixes have been delivered or are</a:t>
          </a:r>
          <a:r>
            <a:rPr lang="en-US" sz="1100" b="0" i="0" u="none" strike="noStrike">
              <a:solidFill>
                <a:srgbClr val="000000"/>
              </a:solidFill>
              <a:latin typeface="Aptos Narrow" panose="020B0004020202020204" pitchFamily="34" charset="0"/>
            </a:rPr>
            <a:t> </a:t>
          </a:r>
          <a:r>
            <a:rPr lang="en-US" sz="1100">
              <a:latin typeface="+mn-lt"/>
              <a:ea typeface="+mn-lt"/>
              <a:cs typeface="+mn-lt"/>
            </a:rPr>
            <a:t>pending or reopen on HTML Team</a:t>
          </a:r>
          <a:r>
            <a:rPr lang="en-US" sz="1100" b="0" i="0" u="none" strike="noStrike">
              <a:solidFill>
                <a:srgbClr val="000000"/>
              </a:solidFill>
              <a:latin typeface="Aptos Narrow" panose="020B0004020202020204" pitchFamily="34" charset="0"/>
            </a:rPr>
            <a:t>'</a:t>
          </a:r>
          <a:r>
            <a:rPr lang="en-US" sz="1100">
              <a:latin typeface="+mn-lt"/>
              <a:ea typeface="+mn-lt"/>
              <a:cs typeface="+mn-lt"/>
            </a:rPr>
            <a:t>s side.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47625</xdr:rowOff>
    </xdr:from>
    <xdr:to>
      <xdr:col>1</xdr:col>
      <xdr:colOff>1381125</xdr:colOff>
      <xdr:row>4</xdr:row>
      <xdr:rowOff>85725</xdr:rowOff>
    </xdr:to>
    <xdr:sp macro="" textlink="">
      <xdr:nvSpPr>
        <xdr:cNvPr id="2" name="TextBox 1">
          <a:extLst>
            <a:ext uri="{FF2B5EF4-FFF2-40B4-BE49-F238E27FC236}">
              <a16:creationId xmlns:a16="http://schemas.microsoft.com/office/drawing/2014/main" id="{A90CB7A0-A4FE-172C-EB8B-543C6190B531}"/>
            </a:ext>
          </a:extLst>
        </xdr:cNvPr>
        <xdr:cNvSpPr txBox="1"/>
      </xdr:nvSpPr>
      <xdr:spPr>
        <a:xfrm>
          <a:off x="66675" y="47625"/>
          <a:ext cx="3648075" cy="8001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FF0000"/>
              </a:solidFill>
              <a:latin typeface="Aptos Narrow" panose="020B0004020202020204" pitchFamily="34" charset="0"/>
            </a:rPr>
            <a:t>Red</a:t>
          </a:r>
          <a:r>
            <a:rPr lang="en-US" sz="1100" b="0" i="0" u="none" strike="noStrike">
              <a:solidFill>
                <a:srgbClr val="000000"/>
              </a:solidFill>
              <a:latin typeface="Aptos Narrow" panose="020B0004020202020204" pitchFamily="34" charset="0"/>
            </a:rPr>
            <a:t> - Incorrect Icon Used</a:t>
          </a:r>
          <a:endParaRPr lang="en-US" sz="1100" b="0" i="0" u="none" strike="noStrike">
            <a:solidFill>
              <a:schemeClr val="accent2"/>
            </a:solidFill>
            <a:latin typeface="Aptos Narrow" panose="020B0004020202020204" pitchFamily="34" charset="0"/>
          </a:endParaRPr>
        </a:p>
        <a:p>
          <a:pPr marL="0" indent="0" algn="l"/>
          <a:r>
            <a:rPr lang="en-US" sz="1100" b="0" i="0" u="none" strike="noStrike">
              <a:solidFill>
                <a:schemeClr val="accent2"/>
              </a:solidFill>
              <a:latin typeface="Aptos Narrow" panose="020B0004020202020204" pitchFamily="34" charset="0"/>
            </a:rPr>
            <a:t>Orange</a:t>
          </a:r>
          <a:r>
            <a:rPr lang="en-US" sz="1100" b="0" i="0" u="none" strike="noStrike">
              <a:solidFill>
                <a:srgbClr val="000000"/>
              </a:solidFill>
              <a:latin typeface="Aptos Narrow" panose="020B0004020202020204" pitchFamily="34" charset="0"/>
            </a:rPr>
            <a:t> - Incorrect format - png instead of svg</a:t>
          </a:r>
          <a:endParaRPr lang="en-US" sz="1100" b="1" i="0" u="none" strike="noStrike">
            <a:solidFill>
              <a:srgbClr val="FFC000"/>
            </a:solidFill>
            <a:latin typeface="Aptos Narrow" panose="020B0004020202020204" pitchFamily="34" charset="0"/>
          </a:endParaRPr>
        </a:p>
        <a:p>
          <a:pPr marL="0" indent="0" algn="l"/>
          <a:r>
            <a:rPr lang="en-US" sz="1100" b="1" i="0" u="none" strike="noStrike">
              <a:solidFill>
                <a:srgbClr val="FFC000"/>
              </a:solidFill>
              <a:latin typeface="Aptos Narrow" panose="020B0004020202020204" pitchFamily="34" charset="0"/>
            </a:rPr>
            <a:t>Yellow</a:t>
          </a:r>
          <a:r>
            <a:rPr lang="en-US" sz="1100" b="0" i="0" u="none" strike="noStrike">
              <a:solidFill>
                <a:srgbClr val="000000"/>
              </a:solidFill>
              <a:latin typeface="Aptos Narrow" panose="020B0004020202020204" pitchFamily="34" charset="0"/>
            </a:rPr>
            <a:t> - Privilege heading doesn't match with content file</a:t>
          </a:r>
          <a:endParaRPr lang="en-US" sz="1100" b="1" i="0" u="none" strike="noStrike">
            <a:solidFill>
              <a:srgbClr val="0070C0"/>
            </a:solidFill>
            <a:latin typeface="Aptos Narrow" panose="020B0004020202020204" pitchFamily="34" charset="0"/>
          </a:endParaRPr>
        </a:p>
        <a:p>
          <a:pPr marL="0" indent="0" algn="l"/>
          <a:r>
            <a:rPr lang="en-US" sz="1100" b="1" i="0" u="none" strike="noStrike">
              <a:solidFill>
                <a:srgbClr val="0070C0"/>
              </a:solidFill>
              <a:latin typeface="Aptos Narrow" panose="020B0004020202020204" pitchFamily="34" charset="0"/>
            </a:rPr>
            <a:t>Blue</a:t>
          </a:r>
          <a:r>
            <a:rPr lang="en-US" sz="1100" b="0" i="0" u="none" strike="noStrike">
              <a:solidFill>
                <a:srgbClr val="000000"/>
              </a:solidFill>
              <a:latin typeface="Aptos Narrow" panose="020B0004020202020204" pitchFamily="34" charset="0"/>
            </a:rPr>
            <a:t> - Everything as expected</a:t>
          </a:r>
        </a:p>
      </xdr:txBody>
    </xdr:sp>
    <xdr:clientData/>
  </xdr:twoCellAnchor>
</xdr:wsDr>
</file>

<file path=xl/persons/person.xml><?xml version="1.0" encoding="utf-8"?>
<personList xmlns="http://schemas.microsoft.com/office/spreadsheetml/2018/threadedcomments" xmlns:x="http://schemas.openxmlformats.org/spreadsheetml/2006/main">
  <person displayName="Sampreet Pancholiya" id="{17C53437-B515-4EA9-9F29-D84B02027FA3}" userId="S::sampreet.pancholiya@vector3.co::8736fb2c-f9cf-448c-956c-5b2912613ef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6-02-13T17:48:53.62" personId="{17C53437-B515-4EA9-9F29-D84B02027FA3}" id="{794FE877-B9C4-44F3-AA78-DDAF5BB128A2}">
    <text>In order to check how many fixes provided and how many pending from HTML Team, check the table on the right.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6" Type="http://schemas.openxmlformats.org/officeDocument/2006/relationships/hyperlink" Target="https://sbi-devsit1.sbicard.com/html/en/personal/credit-cards/irctc-sbi-platinum-card.html" TargetMode="External"/><Relationship Id="rId117" Type="http://schemas.openxmlformats.org/officeDocument/2006/relationships/hyperlink" Target="https://sbi-pvt.sbicard.com/en/personal/credit-cards/karur-vysya-bank-sbi-card-simplysave.html" TargetMode="External"/><Relationship Id="rId21" Type="http://schemas.openxmlformats.org/officeDocument/2006/relationships/hyperlink" Target="https://sbi-devsit1.sbicard.com/html/en/personal/credit-cards/etihad-guest-sbi-premier-card.html" TargetMode="External"/><Relationship Id="rId42" Type="http://schemas.openxmlformats.org/officeDocument/2006/relationships/hyperlink" Target="https://sbi-devsit1.sbicard.com/html/en/personal/credit-cards/sbi-card-unnati.html" TargetMode="External"/><Relationship Id="rId47" Type="http://schemas.openxmlformats.org/officeDocument/2006/relationships/hyperlink" Target="https://sbi-pvt.sbicard.com/html/en/personal/credit-cards/irctc-sbi-platinum-card.html" TargetMode="External"/><Relationship Id="rId63" Type="http://schemas.openxmlformats.org/officeDocument/2006/relationships/hyperlink" Target="https://sbi-pvt.sbicard.com/html/en/personal/credit-cards/doctors-ima-sbi-card.html" TargetMode="External"/><Relationship Id="rId68" Type="http://schemas.openxmlformats.org/officeDocument/2006/relationships/hyperlink" Target="https://sbi-pvt.sbicard.com/html/en/personal/credit-cards/irctc-premier-card.html" TargetMode="External"/><Relationship Id="rId84" Type="http://schemas.openxmlformats.org/officeDocument/2006/relationships/hyperlink" Target="https://sbi-pvt.sbicard.com/html/en/personal/credit-cards/sbi-card-unnati.html" TargetMode="External"/><Relationship Id="rId89" Type="http://schemas.openxmlformats.org/officeDocument/2006/relationships/hyperlink" Target="https://sbi-pvt.sbicard.com/en/personal/benefits.page" TargetMode="External"/><Relationship Id="rId112" Type="http://schemas.openxmlformats.org/officeDocument/2006/relationships/hyperlink" Target="https://sbi-pvt.sbicard.com/en/personal/credit-cards/south-india-bank-sbi-platinum-card.html" TargetMode="External"/><Relationship Id="rId16" Type="http://schemas.openxmlformats.org/officeDocument/2006/relationships/hyperlink" Target="https://sbi-devsit1.sbicard.com/html/en/personal/credit-cards/club-vistara-sbi-card.html" TargetMode="External"/><Relationship Id="rId107" Type="http://schemas.openxmlformats.org/officeDocument/2006/relationships/hyperlink" Target="https://sbi-pvt.sbicard.com/en/personal/credit-cards/city-union-bank-sbi-card-prime.html" TargetMode="External"/><Relationship Id="rId11" Type="http://schemas.openxmlformats.org/officeDocument/2006/relationships/hyperlink" Target="https://sbi-devsit1.sbicard.com/en/personal/credit-cards.html" TargetMode="External"/><Relationship Id="rId32" Type="http://schemas.openxmlformats.org/officeDocument/2006/relationships/hyperlink" Target="https://sbi-devsit1.sbicard.com/html/en/personal/credit-cards/paytm-sbi-card.html" TargetMode="External"/><Relationship Id="rId37" Type="http://schemas.openxmlformats.org/officeDocument/2006/relationships/hyperlink" Target="https://sbi-devsit1.sbicard.com/html/en/personal/credit-cards/cashback-sbi-card.html" TargetMode="External"/><Relationship Id="rId53" Type="http://schemas.openxmlformats.org/officeDocument/2006/relationships/hyperlink" Target="https://sbi-pvt.sbicard.com/html/en/personal/credit-cards/air-india-sbi-platinum-card.html" TargetMode="External"/><Relationship Id="rId58" Type="http://schemas.openxmlformats.org/officeDocument/2006/relationships/hyperlink" Target="https://sbi-pvt.sbicard.com/html/en/personal/credit-cards/landmark-sbi-card-prime.html" TargetMode="External"/><Relationship Id="rId74" Type="http://schemas.openxmlformats.org/officeDocument/2006/relationships/hyperlink" Target="https://sbi-pvt.sbicard.com/html/en/personal/credit-cards/paytm-sbi-card-select.html" TargetMode="External"/><Relationship Id="rId79" Type="http://schemas.openxmlformats.org/officeDocument/2006/relationships/hyperlink" Target="https://sbi-pvt.sbicard.com/html/en/personal/credit-cards/phonepe-sbi-card-select-black.html" TargetMode="External"/><Relationship Id="rId102" Type="http://schemas.openxmlformats.org/officeDocument/2006/relationships/hyperlink" Target="https://sbi-pvt.sbicard.com/en/personal/credit-cards/uco-bank-sbi-card-prime.html" TargetMode="External"/><Relationship Id="rId5" Type="http://schemas.openxmlformats.org/officeDocument/2006/relationships/hyperlink" Target="https://sbi-devsit1.sbicard.com/html/en/personal/credit-cards/sbi-card-elite.html" TargetMode="External"/><Relationship Id="rId90" Type="http://schemas.openxmlformats.org/officeDocument/2006/relationships/hyperlink" Target="https://sbi-pvt.sbicard.com/en/personal/credit-cards/simplyclick-sbi-card.html" TargetMode="External"/><Relationship Id="rId95" Type="http://schemas.openxmlformats.org/officeDocument/2006/relationships/hyperlink" Target="https://sbi-pvt.sbicard.com/en/personal/credit-cards/bom-sbi-card-elite.html" TargetMode="External"/><Relationship Id="rId22" Type="http://schemas.openxmlformats.org/officeDocument/2006/relationships/hyperlink" Target="https://sbi-devsit1.sbicard.com/html/en/personal/credit-cards/flipkart-sbi-card.html" TargetMode="External"/><Relationship Id="rId27" Type="http://schemas.openxmlformats.org/officeDocument/2006/relationships/hyperlink" Target="https://sbi-devsit1.sbicard.com/html/en/personal/credit-cards/krisflyer-sbi-card-apex.html" TargetMode="External"/><Relationship Id="rId43" Type="http://schemas.openxmlformats.org/officeDocument/2006/relationships/hyperlink" Target="https://sbi-devsit1.sbicard.com/html/en/personal/credit-cards/air-india-sbi-platinum-card.html" TargetMode="External"/><Relationship Id="rId48" Type="http://schemas.openxmlformats.org/officeDocument/2006/relationships/hyperlink" Target="https://sbi-pvt.sbicard.com/html/en/personal/credit-cards/reliance-sbi-card-prime.html" TargetMode="External"/><Relationship Id="rId64" Type="http://schemas.openxmlformats.org/officeDocument/2006/relationships/hyperlink" Target="https://sbi-pvt.sbicard.com/html/en/personal/credit-cards/bpcl-sbi-card-octane.html" TargetMode="External"/><Relationship Id="rId69" Type="http://schemas.openxmlformats.org/officeDocument/2006/relationships/hyperlink" Target="https://sbi-pvt.sbicard.com/html/en/personal/credit-cards/ola-money-sbi-card.html" TargetMode="External"/><Relationship Id="rId113" Type="http://schemas.openxmlformats.org/officeDocument/2006/relationships/hyperlink" Target="https://sbi-pvt.sbicard.com/en/personal/credit-cards/south-indian-bank-simplysave-sbi-card.html" TargetMode="External"/><Relationship Id="rId118" Type="http://schemas.openxmlformats.org/officeDocument/2006/relationships/hyperlink" Target="https://sbi-pvt.sbicard.com/en/personal/credit-cards/karur-vysya-bank-sbi-signature-credit-card.html" TargetMode="External"/><Relationship Id="rId80" Type="http://schemas.openxmlformats.org/officeDocument/2006/relationships/hyperlink" Target="https://sbi-pvt.sbicard.com/html/en/personal/credit-cards/paytm-sbi-card.html" TargetMode="External"/><Relationship Id="rId85" Type="http://schemas.openxmlformats.org/officeDocument/2006/relationships/hyperlink" Target="https://sbi-pvt.sbicard.com/en/personal/credit-cards.page" TargetMode="External"/><Relationship Id="rId12" Type="http://schemas.openxmlformats.org/officeDocument/2006/relationships/hyperlink" Target="https://sbi-devsit1.sbicard.com/html/en/personal/credit-cards/apollo-sbi-card.html" TargetMode="External"/><Relationship Id="rId17" Type="http://schemas.openxmlformats.org/officeDocument/2006/relationships/hyperlink" Target="https://sbi-devsit1.sbicard.com/html/en/personal/credit-cards/club-vistara-sbi-card-prime.html" TargetMode="External"/><Relationship Id="rId33" Type="http://schemas.openxmlformats.org/officeDocument/2006/relationships/hyperlink" Target="https://sbi-devsit1.sbicard.com/html/en/personal/credit-cards/paytm-sbi-card-select.html" TargetMode="External"/><Relationship Id="rId38" Type="http://schemas.openxmlformats.org/officeDocument/2006/relationships/hyperlink" Target="https://sbi-devsit1.sbicard.com/html/en/personal/credit-cards/sbi-card-miles-elite.html" TargetMode="External"/><Relationship Id="rId59" Type="http://schemas.openxmlformats.org/officeDocument/2006/relationships/hyperlink" Target="https://sbi-pvt.sbicard.com/html/en/personal/credit-cards/etihad-guest-sbi-card.html" TargetMode="External"/><Relationship Id="rId103" Type="http://schemas.openxmlformats.org/officeDocument/2006/relationships/hyperlink" Target="https://sbi-pvt.sbicard.com/en/personal/credit-cards/uco-bank-simplysave-sbi-card.html" TargetMode="External"/><Relationship Id="rId108" Type="http://schemas.openxmlformats.org/officeDocument/2006/relationships/hyperlink" Target="https://sbi-pvt.sbicard.com/en/personal/credit-cards/city-union-bank-simplysave-sbi-card.html" TargetMode="External"/><Relationship Id="rId54" Type="http://schemas.openxmlformats.org/officeDocument/2006/relationships/hyperlink" Target="https://sbi-pvt.sbicard.com/html/en/personal/credit-cards/apollo-sbi-card-select.html" TargetMode="External"/><Relationship Id="rId70" Type="http://schemas.openxmlformats.org/officeDocument/2006/relationships/hyperlink" Target="https://sbi-pvt.sbicard.com/html/en/personal/credit-cards/krisflyer-sbi-card.html" TargetMode="External"/><Relationship Id="rId75" Type="http://schemas.openxmlformats.org/officeDocument/2006/relationships/hyperlink" Target="https://sbi-pvt.sbicard.com/html/en/personal/credit-cards/sbi-card-miles-elite.html" TargetMode="External"/><Relationship Id="rId91" Type="http://schemas.openxmlformats.org/officeDocument/2006/relationships/hyperlink" Target="https://sbi-pvt.sbicard.com/en/personal/credit-cards/simplysave-sbi-card.html" TargetMode="External"/><Relationship Id="rId96" Type="http://schemas.openxmlformats.org/officeDocument/2006/relationships/hyperlink" Target="https://sbi-pvt.sbicard.com/en/personal/credit-cards/bom-simplysave-sbi-card.html" TargetMode="External"/><Relationship Id="rId1" Type="http://schemas.openxmlformats.org/officeDocument/2006/relationships/hyperlink" Target="https://sbi-sit1.sbicard.com/html/en/personal/credit-cards.html" TargetMode="External"/><Relationship Id="rId6" Type="http://schemas.openxmlformats.org/officeDocument/2006/relationships/hyperlink" Target="https://sbi-devsit1.sbicard.com/html/en/personal/credit-cards/sbi-card-prime.html" TargetMode="External"/><Relationship Id="rId23" Type="http://schemas.openxmlformats.org/officeDocument/2006/relationships/hyperlink" Target="https://sbi-devsit1.sbicard.com/html/en/personal/credit-cards/indigo-sbi-card.html" TargetMode="External"/><Relationship Id="rId28" Type="http://schemas.openxmlformats.org/officeDocument/2006/relationships/hyperlink" Target="https://sbi-devsit1.sbicard.com/html/en/personal/credit-cards/krisflyer-sbi-card.html" TargetMode="External"/><Relationship Id="rId49" Type="http://schemas.openxmlformats.org/officeDocument/2006/relationships/hyperlink" Target="https://sbi-pvt.sbicard.com/html/en/personal/credit-cards/sbi-card-elite.html" TargetMode="External"/><Relationship Id="rId114" Type="http://schemas.openxmlformats.org/officeDocument/2006/relationships/hyperlink" Target="https://sbi-pvt.sbicard.com/en/personal/credit-cards/karur-vysya-bank-sbi-card-gold.html" TargetMode="External"/><Relationship Id="rId119" Type="http://schemas.openxmlformats.org/officeDocument/2006/relationships/hyperlink" Target="https://sbi-pvt.sbicard.com/en/personal/credit-cards/karur-vysya-bank-sbi-platinum-credit-card.html" TargetMode="External"/><Relationship Id="rId10" Type="http://schemas.openxmlformats.org/officeDocument/2006/relationships/hyperlink" Target="https://sbi-devsit1.sbicard.com/html/en/home.html" TargetMode="External"/><Relationship Id="rId31" Type="http://schemas.openxmlformats.org/officeDocument/2006/relationships/hyperlink" Target="https://sbi-devsit1.sbicard.com/html/en/personal/credit-cards/ola-money-sbi-card.html" TargetMode="External"/><Relationship Id="rId44" Type="http://schemas.openxmlformats.org/officeDocument/2006/relationships/hyperlink" Target="https://sbi-devsit1.sbicard.com/html/en/personal/credit-cards/sbi-card-miles.html" TargetMode="External"/><Relationship Id="rId52" Type="http://schemas.openxmlformats.org/officeDocument/2006/relationships/hyperlink" Target="https://sbi-pvt.sbicard.com/html/en/personal/credit-cards/air-india-sbi-signature-card.html" TargetMode="External"/><Relationship Id="rId60" Type="http://schemas.openxmlformats.org/officeDocument/2006/relationships/hyperlink" Target="https://sbi-pvt.sbicard.com/html/en/personal/credit-cards/doctors-sbi-card.html" TargetMode="External"/><Relationship Id="rId65" Type="http://schemas.openxmlformats.org/officeDocument/2006/relationships/hyperlink" Target="https://sbi-pvt.sbicard.com/html/en/personal/credit-cards/club-vistara-sbi-card.html" TargetMode="External"/><Relationship Id="rId73" Type="http://schemas.openxmlformats.org/officeDocument/2006/relationships/hyperlink" Target="https://sbi-pvt.sbicard.com/html/en/personal/credit-cards/phonepe-sbi-card-purple.html" TargetMode="External"/><Relationship Id="rId78" Type="http://schemas.openxmlformats.org/officeDocument/2006/relationships/hyperlink" Target="https://sbi-pvt.sbicard.com/html/en/personal/credit-cards/indigo-sbi-card.html" TargetMode="External"/><Relationship Id="rId81" Type="http://schemas.openxmlformats.org/officeDocument/2006/relationships/hyperlink" Target="https://sbi-pvt.sbicard.com/html/en/personal/credit-cards/sbi-card-prime.html" TargetMode="External"/><Relationship Id="rId86" Type="http://schemas.openxmlformats.org/officeDocument/2006/relationships/hyperlink" Target="https://sbi-pvt.sbicard.com/en/who-we-are/about-us.page" TargetMode="External"/><Relationship Id="rId94" Type="http://schemas.openxmlformats.org/officeDocument/2006/relationships/hyperlink" Target="https://sbi-pvt.sbicard.com/en/personal/credit-cards/shaurya-select-sbi-card.html" TargetMode="External"/><Relationship Id="rId99" Type="http://schemas.openxmlformats.org/officeDocument/2006/relationships/hyperlink" Target="https://sbi-pvt.sbicard.com/en/personal/credit-cards/psb-sbi-card-prime.html" TargetMode="External"/><Relationship Id="rId101" Type="http://schemas.openxmlformats.org/officeDocument/2006/relationships/hyperlink" Target="https://sbi-pvt.sbicard.com/en/personal/credit-cards/uco-bank-sbi-card-elite.html" TargetMode="External"/><Relationship Id="rId4" Type="http://schemas.openxmlformats.org/officeDocument/2006/relationships/hyperlink" Target="https://sbi-devsit1.sbicard.com/html/en/reliancesbicard.html" TargetMode="External"/><Relationship Id="rId9" Type="http://schemas.openxmlformats.org/officeDocument/2006/relationships/hyperlink" Target="https://sbi-devsit1.sbicard.com/html/en/personal/credit-cards/landmark-sbi-card-select.html" TargetMode="External"/><Relationship Id="rId13" Type="http://schemas.openxmlformats.org/officeDocument/2006/relationships/hyperlink" Target="https://sbi-devsit1.sbicard.com/html/en/personal/credit-cards/apollo-sbi-card-select.html" TargetMode="External"/><Relationship Id="rId18" Type="http://schemas.openxmlformats.org/officeDocument/2006/relationships/hyperlink" Target="https://sbi-devsit1.sbicard.com/html/en/personal/credit-cards/doctors-sbi-card.html" TargetMode="External"/><Relationship Id="rId39" Type="http://schemas.openxmlformats.org/officeDocument/2006/relationships/hyperlink" Target="https://sbi-devsit1.sbicard.com/html/en/personal/credit-cards/sbi-card-miles-prime.html" TargetMode="External"/><Relationship Id="rId109" Type="http://schemas.openxmlformats.org/officeDocument/2006/relationships/hyperlink" Target="https://sbi-pvt.sbicard.com/en/personal/credit-cards/karnataka-bank-sbi-card-prime.html" TargetMode="External"/><Relationship Id="rId34" Type="http://schemas.openxmlformats.org/officeDocument/2006/relationships/hyperlink" Target="https://sbi-devsit1.sbicard.com/html/en/personal/credit-cards/phonepe-sbi-card-purple.html" TargetMode="External"/><Relationship Id="rId50" Type="http://schemas.openxmlformats.org/officeDocument/2006/relationships/hyperlink" Target="https://sbi-pvt.sbicard.com/html/en/personal/credit-cards/cashback-sbi-card.html" TargetMode="External"/><Relationship Id="rId55" Type="http://schemas.openxmlformats.org/officeDocument/2006/relationships/hyperlink" Target="https://sbi-pvt.sbicard.com/html/en/personal/credit-cards/flipkart-sbi-card.html" TargetMode="External"/><Relationship Id="rId76" Type="http://schemas.openxmlformats.org/officeDocument/2006/relationships/hyperlink" Target="https://sbi-pvt.sbicard.com/html/en/personal/credit-cards/indigo-sbi-card-elite.html" TargetMode="External"/><Relationship Id="rId97" Type="http://schemas.openxmlformats.org/officeDocument/2006/relationships/hyperlink" Target="https://sbi-pvt.sbicard.com/en/personal/credit-cards/bom-sbi-card-prime.html" TargetMode="External"/><Relationship Id="rId104" Type="http://schemas.openxmlformats.org/officeDocument/2006/relationships/hyperlink" Target="https://sbi-pvt.sbicard.com/en/personal/credit-cards/central-bank-of-india-elite-card.html" TargetMode="External"/><Relationship Id="rId7" Type="http://schemas.openxmlformats.org/officeDocument/2006/relationships/hyperlink" Target="https://sbi-devsit1.sbicard.com/html/en/personal/credit-cards/sbi-card-pulse.html" TargetMode="External"/><Relationship Id="rId71" Type="http://schemas.openxmlformats.org/officeDocument/2006/relationships/hyperlink" Target="https://sbi-pvt.sbicard.com/html/en/personal/credit-cards/krisflyer-sbi-card-apex.html" TargetMode="External"/><Relationship Id="rId92" Type="http://schemas.openxmlformats.org/officeDocument/2006/relationships/hyperlink" Target="https://sbi-pvt.sbicard.com/en/personal/credit-cards/titan-sbi-card.html" TargetMode="External"/><Relationship Id="rId2" Type="http://schemas.openxmlformats.org/officeDocument/2006/relationships/hyperlink" Target="https://sbi-pvt.sbicard.com/html/en/home.html" TargetMode="External"/><Relationship Id="rId29" Type="http://schemas.openxmlformats.org/officeDocument/2006/relationships/hyperlink" Target="https://sbi-devsit1.sbicard.com/html/en/personal/credit-cards/landmark-rewards-sbi-card.html" TargetMode="External"/><Relationship Id="rId24" Type="http://schemas.openxmlformats.org/officeDocument/2006/relationships/hyperlink" Target="https://sbi-devsit1.sbicard.com/html/en/personal/credit-cards/indigo-sbi-card-elite.html" TargetMode="External"/><Relationship Id="rId40" Type="http://schemas.openxmlformats.org/officeDocument/2006/relationships/hyperlink" Target="https://sbi-devsit1.sbicard.com/html/en/personal/credit-cards/tata-neu-infinity-sbi-card.html" TargetMode="External"/><Relationship Id="rId45" Type="http://schemas.openxmlformats.org/officeDocument/2006/relationships/hyperlink" Target="https://sbi-pvt.sbicard.com/en/personal/credit-cards.html" TargetMode="External"/><Relationship Id="rId66" Type="http://schemas.openxmlformats.org/officeDocument/2006/relationships/hyperlink" Target="https://sbi-pvt.sbicard.com/html/en/personal/credit-cards/apollo-sbi-card.html" TargetMode="External"/><Relationship Id="rId87" Type="http://schemas.openxmlformats.org/officeDocument/2006/relationships/hyperlink" Target="https://sbi-pvt.sbicard.com/en/who-we-are/esg.page" TargetMode="External"/><Relationship Id="rId110" Type="http://schemas.openxmlformats.org/officeDocument/2006/relationships/hyperlink" Target="https://sbi-pvt.sbicard.com/en/personal/credit-cards/karnataka-bank-simplysave-sbi-card.html" TargetMode="External"/><Relationship Id="rId115" Type="http://schemas.openxmlformats.org/officeDocument/2006/relationships/hyperlink" Target="https://sbi-pvt.sbicard.com/en/personal/credit-cards/karur-vysya-bank-sbi-card-elite.html" TargetMode="External"/><Relationship Id="rId61" Type="http://schemas.openxmlformats.org/officeDocument/2006/relationships/hyperlink" Target="https://sbi-pvt.sbicard.com/html/en/personal/credit-cards/bpcl-sbi-card.html" TargetMode="External"/><Relationship Id="rId82" Type="http://schemas.openxmlformats.org/officeDocument/2006/relationships/hyperlink" Target="https://sbi-pvt.sbicard.com/html/en/personal/credit-cards/sbi-card-miles.html" TargetMode="External"/><Relationship Id="rId19" Type="http://schemas.openxmlformats.org/officeDocument/2006/relationships/hyperlink" Target="https://sbi-devsit1.sbicard.com/html/en/personal/credit-cards/doctors-ima-sbi-card.html" TargetMode="External"/><Relationship Id="rId14" Type="http://schemas.openxmlformats.org/officeDocument/2006/relationships/hyperlink" Target="https://sbi-devsit1.sbicard.com/html/en/personal/credit-cards/bpcl-sbi-card.html" TargetMode="External"/><Relationship Id="rId30" Type="http://schemas.openxmlformats.org/officeDocument/2006/relationships/hyperlink" Target="https://sbi-devsit1.sbicard.com/html/en/personal/credit-cards/landmark-sbi-card-prime.html" TargetMode="External"/><Relationship Id="rId35" Type="http://schemas.openxmlformats.org/officeDocument/2006/relationships/hyperlink" Target="https://sbi-devsit1.sbicard.com/html/en/personal/credit-cards/phonepe-sbi-card-select-black.html" TargetMode="External"/><Relationship Id="rId56" Type="http://schemas.openxmlformats.org/officeDocument/2006/relationships/hyperlink" Target="https://sbi-pvt.sbicard.com/html/en/personal/credit-cards/landmark-sbi-card-select.html" TargetMode="External"/><Relationship Id="rId77" Type="http://schemas.openxmlformats.org/officeDocument/2006/relationships/hyperlink" Target="https://sbi-pvt.sbicard.com/html/en/personal/credit-cards/reliance-sbi-card.html" TargetMode="External"/><Relationship Id="rId100" Type="http://schemas.openxmlformats.org/officeDocument/2006/relationships/hyperlink" Target="https://sbi-pvt.sbicard.com/en/personal/credit-cards/psb-simplysave-sbi-card.html" TargetMode="External"/><Relationship Id="rId105" Type="http://schemas.openxmlformats.org/officeDocument/2006/relationships/hyperlink" Target="https://sbi-pvt.sbicard.com/en/personal/credit-cards/central-bank-of-india-prime-card.html" TargetMode="External"/><Relationship Id="rId8" Type="http://schemas.openxmlformats.org/officeDocument/2006/relationships/hyperlink" Target="https://sbi-devsit1.sbicard.com/html/en/personal/credit-cards/air-india-sbi-signature-card.html" TargetMode="External"/><Relationship Id="rId51" Type="http://schemas.openxmlformats.org/officeDocument/2006/relationships/hyperlink" Target="https://sbi-pvt.sbicard.com/html/en/personal/credit-cards/sbi-card-pulse.html" TargetMode="External"/><Relationship Id="rId72" Type="http://schemas.openxmlformats.org/officeDocument/2006/relationships/hyperlink" Target="https://sbi-pvt.sbicard.com/html/en/personal/credit-cards/tata-neu-infinity-sbi-card.html" TargetMode="External"/><Relationship Id="rId93" Type="http://schemas.openxmlformats.org/officeDocument/2006/relationships/hyperlink" Target="https://sbi-pvt.sbicard.com/en/personal/credit-cards/shaurya-sbi-card.html" TargetMode="External"/><Relationship Id="rId98" Type="http://schemas.openxmlformats.org/officeDocument/2006/relationships/hyperlink" Target="https://sbi-pvt.sbicard.com/en/personal/credit-cards/psb-sbi-card-elite.html" TargetMode="External"/><Relationship Id="rId3" Type="http://schemas.openxmlformats.org/officeDocument/2006/relationships/hyperlink" Target="https://sbi-devsit1.sbicard.com/html/en/personal/credit-cards/reliance-sbi-card.html" TargetMode="External"/><Relationship Id="rId25" Type="http://schemas.openxmlformats.org/officeDocument/2006/relationships/hyperlink" Target="https://sbi-devsit1.sbicard.com/html/en/personal/credit-cards/irctc-premier-card.html" TargetMode="External"/><Relationship Id="rId46" Type="http://schemas.openxmlformats.org/officeDocument/2006/relationships/hyperlink" Target="https://sbi-pvt.sbicard.com/html/en/personal/credit-cards/tata-neu-plus-sbi-card.html" TargetMode="External"/><Relationship Id="rId67" Type="http://schemas.openxmlformats.org/officeDocument/2006/relationships/hyperlink" Target="https://sbi-pvt.sbicard.com/html/en/personal/credit-cards/club-vistara-sbi-card-prime.html" TargetMode="External"/><Relationship Id="rId116" Type="http://schemas.openxmlformats.org/officeDocument/2006/relationships/hyperlink" Target="https://sbi-pvt.sbicard.com/en/personal/credit-cards/karur-vysya-bank-sbi-card-prime.html" TargetMode="External"/><Relationship Id="rId20" Type="http://schemas.openxmlformats.org/officeDocument/2006/relationships/hyperlink" Target="https://sbi-devsit1.sbicard.com/html/en/personal/credit-cards/etihad-guest-sbi-card.html" TargetMode="External"/><Relationship Id="rId41" Type="http://schemas.openxmlformats.org/officeDocument/2006/relationships/hyperlink" Target="https://sbi-devsit1.sbicard.com/html/en/personal/credit-cards/tata-neu-plus-sbi-card.html" TargetMode="External"/><Relationship Id="rId62" Type="http://schemas.openxmlformats.org/officeDocument/2006/relationships/hyperlink" Target="https://sbi-pvt.sbicard.com/html/en/personal/credit-cards/etihad-guest-sbi-premier-card.html" TargetMode="External"/><Relationship Id="rId83" Type="http://schemas.openxmlformats.org/officeDocument/2006/relationships/hyperlink" Target="https://sbi-pvt.sbicard.com/html/en/personal/credit-cards/sbi-card-miles-prime.html" TargetMode="External"/><Relationship Id="rId88" Type="http://schemas.openxmlformats.org/officeDocument/2006/relationships/hyperlink" Target="https://sbi-pvt.sbicard.com/en/do-not-disturb.page" TargetMode="External"/><Relationship Id="rId111" Type="http://schemas.openxmlformats.org/officeDocument/2006/relationships/hyperlink" Target="https://sbi-pvt.sbicard.com/en/personal/credit-cards/south-indian-bank-sbi-card-prime.html" TargetMode="External"/><Relationship Id="rId15" Type="http://schemas.openxmlformats.org/officeDocument/2006/relationships/hyperlink" Target="https://sbi-devsit1.sbicard.com/html/en/personal/credit-cards/bpcl-sbi-card-octane.html" TargetMode="External"/><Relationship Id="rId36" Type="http://schemas.openxmlformats.org/officeDocument/2006/relationships/hyperlink" Target="https://sbi-devsit1.sbicard.com/html/en/personal/credit-cards/reliance-sbi-card-prime.html" TargetMode="External"/><Relationship Id="rId57" Type="http://schemas.openxmlformats.org/officeDocument/2006/relationships/hyperlink" Target="https://sbi-pvt.sbicard.com/html/en/personal/credit-cards/landmark-sbi-card.html" TargetMode="External"/><Relationship Id="rId106" Type="http://schemas.openxmlformats.org/officeDocument/2006/relationships/hyperlink" Target="https://sbi-pvt.sbicard.com/en/personal/credit-cards/central-bank-of-india-simplysave-sbi-card.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bi-devsit1.sbicard.com/en/personal/benefits/lower-interest-option/flexi-pay.page" TargetMode="External"/><Relationship Id="rId21" Type="http://schemas.openxmlformats.org/officeDocument/2006/relationships/hyperlink" Target="https://sbi-devsit1.sbicard.com/en/faq/pay-via-mobile-app.page" TargetMode="External"/><Relationship Id="rId42" Type="http://schemas.openxmlformats.org/officeDocument/2006/relationships/hyperlink" Target="https://sbi-devsit1.sbicard.com/en/faq/tierstatus-faq.page" TargetMode="External"/><Relationship Id="rId63" Type="http://schemas.openxmlformats.org/officeDocument/2006/relationships/hyperlink" Target="https://www.sbicard.com/en/faq/initiating-sbi-card-online.page" TargetMode="External"/><Relationship Id="rId84" Type="http://schemas.openxmlformats.org/officeDocument/2006/relationships/hyperlink" Target="https://www.sbicard.com/en/faq/rewards-information.page" TargetMode="External"/><Relationship Id="rId138" Type="http://schemas.openxmlformats.org/officeDocument/2006/relationships/hyperlink" Target="https://sbi-devsit1.sbicard.com/en/blog/home.page" TargetMode="External"/><Relationship Id="rId159" Type="http://schemas.openxmlformats.org/officeDocument/2006/relationships/hyperlink" Target="https://www.sbicard.com/en/personal/benefits/easy-access-channels/website.page" TargetMode="External"/><Relationship Id="rId170" Type="http://schemas.openxmlformats.org/officeDocument/2006/relationships/hyperlink" Target="https://www.sbicard.com/en/personal/benefits/digital-payments/bharat-qr-pay.page" TargetMode="External"/><Relationship Id="rId107" Type="http://schemas.openxmlformats.org/officeDocument/2006/relationships/hyperlink" Target="https://www.sbicard.com/en/faq/lost-stolen-reissue-replace-cards.page" TargetMode="External"/><Relationship Id="rId11" Type="http://schemas.openxmlformats.org/officeDocument/2006/relationships/hyperlink" Target="https://sbi-devsit1.sbicard.com/en/faq/add-on-card.page" TargetMode="External"/><Relationship Id="rId32" Type="http://schemas.openxmlformats.org/officeDocument/2006/relationships/hyperlink" Target="https://sbi-devsit1.sbicard.com/en/faq/closing-of-credit-card-account.page" TargetMode="External"/><Relationship Id="rId53" Type="http://schemas.openxmlformats.org/officeDocument/2006/relationships/hyperlink" Target="https://sit-devsit1.sbicard.com/en/faq/credit-limit-increase.page" TargetMode="External"/><Relationship Id="rId74" Type="http://schemas.openxmlformats.org/officeDocument/2006/relationships/hyperlink" Target="https://www.sbicard.com/en/faq/simply-sms.page" TargetMode="External"/><Relationship Id="rId128" Type="http://schemas.openxmlformats.org/officeDocument/2006/relationships/hyperlink" Target="https://sbi-devsit1.sbicard.com/en/forms-central.page" TargetMode="External"/><Relationship Id="rId149" Type="http://schemas.openxmlformats.org/officeDocument/2006/relationships/hyperlink" Target="https://www.sbicard.com/en/personal/benefits/money-simplified/atm-cash.page" TargetMode="External"/><Relationship Id="rId5" Type="http://schemas.openxmlformats.org/officeDocument/2006/relationships/hyperlink" Target="https://sbi-devsit1.sbicard.com/en/tokenisation.page" TargetMode="External"/><Relationship Id="rId95" Type="http://schemas.openxmlformats.org/officeDocument/2006/relationships/hyperlink" Target="https://www.sbicard.com/en/faq/accident-shield.page" TargetMode="External"/><Relationship Id="rId160" Type="http://schemas.openxmlformats.org/officeDocument/2006/relationships/hyperlink" Target="https://www.sbicard.com/en/personal/benefits/easy-access-channels/whatsapp.page" TargetMode="External"/><Relationship Id="rId22" Type="http://schemas.openxmlformats.org/officeDocument/2006/relationships/hyperlink" Target="https://sbi-devsit1.sbicard.com/en/faq/mastercard-moneysend.page" TargetMode="External"/><Relationship Id="rId43" Type="http://schemas.openxmlformats.org/officeDocument/2006/relationships/hyperlink" Target="https://sbi-devsit1.sbicard.com/en/faq/missed-call-service.page" TargetMode="External"/><Relationship Id="rId64" Type="http://schemas.openxmlformats.org/officeDocument/2006/relationships/hyperlink" Target="https://www.sbicard.com/en/faq/reactivation-of-account.page" TargetMode="External"/><Relationship Id="rId118" Type="http://schemas.openxmlformats.org/officeDocument/2006/relationships/hyperlink" Target="https://sbi-devsit1.sbicard.com/en/video/web-onboarding.page" TargetMode="External"/><Relationship Id="rId139" Type="http://schemas.openxmlformats.org/officeDocument/2006/relationships/hyperlink" Target="https://sbi-devsit1.sbicard.com/en/personal/pay.page" TargetMode="External"/><Relationship Id="rId85" Type="http://schemas.openxmlformats.org/officeDocument/2006/relationships/hyperlink" Target="https://www.sbicard.com/en/faq/cancellation-of-bt-on-emi.page" TargetMode="External"/><Relationship Id="rId150" Type="http://schemas.openxmlformats.org/officeDocument/2006/relationships/hyperlink" Target="https://www.sbicard.com/en/personal/benefits/utility-bill-payments/visa-bill.page" TargetMode="External"/><Relationship Id="rId171" Type="http://schemas.openxmlformats.org/officeDocument/2006/relationships/hyperlink" Target="https://www.sbicard.com/en/personal/rewards/reward-detail.page" TargetMode="External"/><Relationship Id="rId12" Type="http://schemas.openxmlformats.org/officeDocument/2006/relationships/hyperlink" Target="https://sbi-devsit1.sbicard.com/en/tataneu-eapply.page" TargetMode="External"/><Relationship Id="rId33" Type="http://schemas.openxmlformats.org/officeDocument/2006/relationships/hyperlink" Target="https://sbi-devsit1.sbicard.com/en/faq/earning-reward-points.page" TargetMode="External"/><Relationship Id="rId108" Type="http://schemas.openxmlformats.org/officeDocument/2006/relationships/hyperlink" Target="https://www.sbicard.com/en/faq/transaction-usage-and-limits.page" TargetMode="External"/><Relationship Id="rId129" Type="http://schemas.openxmlformats.org/officeDocument/2006/relationships/hyperlink" Target="https://sbi-devsit1.sbicard.com/en/personal/digitized-membership-kits.page" TargetMode="External"/><Relationship Id="rId54" Type="http://schemas.openxmlformats.org/officeDocument/2006/relationships/hyperlink" Target="https://sit-devsit1.sbicard.com/en/faq/kyc-faq.page" TargetMode="External"/><Relationship Id="rId75" Type="http://schemas.openxmlformats.org/officeDocument/2006/relationships/hyperlink" Target="https://www.sbicard.com/en/faq/federal-sbi-secured-co-brand-card-program-discontinuation.page" TargetMode="External"/><Relationship Id="rId96" Type="http://schemas.openxmlformats.org/officeDocument/2006/relationships/hyperlink" Target="https://www.sbicard.com/en/faq/available-credit-limit.page" TargetMode="External"/><Relationship Id="rId140" Type="http://schemas.openxmlformats.org/officeDocument/2006/relationships/hyperlink" Target="https://sbi-devsit1.sbicard.com/en/personal/credit-cards/compare-cards.page" TargetMode="External"/><Relationship Id="rId161" Type="http://schemas.openxmlformats.org/officeDocument/2006/relationships/hyperlink" Target="https://www.sbicard.com/en/personal/benefits/easy-access-channels/digital-platforms.page" TargetMode="External"/><Relationship Id="rId6" Type="http://schemas.openxmlformats.org/officeDocument/2006/relationships/hyperlink" Target="https://sbi-devsit1.sbicard.com/en/personal/benefits/add-on-card.page" TargetMode="External"/><Relationship Id="rId23" Type="http://schemas.openxmlformats.org/officeDocument/2006/relationships/hyperlink" Target="https://sbi-devsit1.sbicard.com/en/faq/cheque-drop-box.page" TargetMode="External"/><Relationship Id="rId28" Type="http://schemas.openxmlformats.org/officeDocument/2006/relationships/hyperlink" Target="https://sbi-devsit1.sbicard.com/en/faq/arogya-premier-policy.page" TargetMode="External"/><Relationship Id="rId49" Type="http://schemas.openxmlformats.org/officeDocument/2006/relationships/hyperlink" Target="https://sit-devsit1.sbicard.com/en/faq/do-not-disturb.page" TargetMode="External"/><Relationship Id="rId114" Type="http://schemas.openxmlformats.org/officeDocument/2006/relationships/hyperlink" Target="https://sbi-devsit1.sbicard.com/en/order-of-payment-settlement.page" TargetMode="External"/><Relationship Id="rId119" Type="http://schemas.openxmlformats.org/officeDocument/2006/relationships/hyperlink" Target="https://sbi-devsit1.sbicard.com/en/grievance-redressal-policy.page" TargetMode="External"/><Relationship Id="rId44" Type="http://schemas.openxmlformats.org/officeDocument/2006/relationships/hyperlink" Target="https://sbi-devsit1.sbicard.com/en/faq/arogya-plus.page" TargetMode="External"/><Relationship Id="rId60" Type="http://schemas.openxmlformats.org/officeDocument/2006/relationships/hyperlink" Target="https://www.sbicard.com/en/faq/bt-on-emi-on-other-sbi-cards.page" TargetMode="External"/><Relationship Id="rId65" Type="http://schemas.openxmlformats.org/officeDocument/2006/relationships/hyperlink" Target="https://www.sbicard.com/en/faq/mobile-app.page" TargetMode="External"/><Relationship Id="rId81" Type="http://schemas.openxmlformats.org/officeDocument/2006/relationships/hyperlink" Target="https://www.sbicard.com/en/faq/fees-and-charges.page" TargetMode="External"/><Relationship Id="rId86" Type="http://schemas.openxmlformats.org/officeDocument/2006/relationships/hyperlink" Target="https://www.sbicard.com/en/faq/sampoorn-cancer-suraksha.page" TargetMode="External"/><Relationship Id="rId130" Type="http://schemas.openxmlformats.org/officeDocument/2006/relationships/hyperlink" Target="https://sbi-devsit1.sbicard.com/en/customer-notices.page" TargetMode="External"/><Relationship Id="rId135" Type="http://schemas.openxmlformats.org/officeDocument/2006/relationships/hyperlink" Target="https://sbi-devsit1.sbicard.com/en/do-not-disturb.page" TargetMode="External"/><Relationship Id="rId151" Type="http://schemas.openxmlformats.org/officeDocument/2006/relationships/hyperlink" Target="https://www.sbicard.com/en/personal/benefits/utility-bill-payments/auto-bill-pay.page" TargetMode="External"/><Relationship Id="rId156" Type="http://schemas.openxmlformats.org/officeDocument/2006/relationships/hyperlink" Target="https://www.sbicard.com/en/personal/benefits/utility-bill-payments/recurring-e-mandates.page" TargetMode="External"/><Relationship Id="rId177" Type="http://schemas.openxmlformats.org/officeDocument/2006/relationships/hyperlink" Target="https://www.sbicard.com/en/address-change-kyc.page" TargetMode="External"/><Relationship Id="rId172" Type="http://schemas.openxmlformats.org/officeDocument/2006/relationships/hyperlink" Target="https://www.sbicard.com/en/personal/linking-of-pan-with-aadhaar.page" TargetMode="External"/><Relationship Id="rId13" Type="http://schemas.openxmlformats.org/officeDocument/2006/relationships/hyperlink" Target="https://sit-devsit1.sbicard.com/en/fair-practice-code.page" TargetMode="External"/><Relationship Id="rId18" Type="http://schemas.openxmlformats.org/officeDocument/2006/relationships/hyperlink" Target="https://sbi-devsit1.sbicard.com/en/faq/pay-via-yono.page" TargetMode="External"/><Relationship Id="rId39" Type="http://schemas.openxmlformats.org/officeDocument/2006/relationships/hyperlink" Target="https://sbi-devsit1.sbicard.com/en/faq/cashback-sbi-card-faq.page" TargetMode="External"/><Relationship Id="rId109" Type="http://schemas.openxmlformats.org/officeDocument/2006/relationships/hyperlink" Target="https://www.sbicard.com/en/faq/cancellation-of-bt.page" TargetMode="External"/><Relationship Id="rId34" Type="http://schemas.openxmlformats.org/officeDocument/2006/relationships/hyperlink" Target="https://sbi-devsit1.sbicard.com/en/faq/ivr-one-time-password-otp.page" TargetMode="External"/><Relationship Id="rId50" Type="http://schemas.openxmlformats.org/officeDocument/2006/relationships/hyperlink" Target="https://sit-devsit1.sbicard.com/en/faq/complimentary-club-vistara-membership.page" TargetMode="External"/><Relationship Id="rId55" Type="http://schemas.openxmlformats.org/officeDocument/2006/relationships/hyperlink" Target="https://sit-devsit1.sbicard.com/en/faq/cpp.page" TargetMode="External"/><Relationship Id="rId76" Type="http://schemas.openxmlformats.org/officeDocument/2006/relationships/hyperlink" Target="https://www.sbicard.com/en/faq/device-linking-mobile-app.page" TargetMode="External"/><Relationship Id="rId97" Type="http://schemas.openxmlformats.org/officeDocument/2006/relationships/hyperlink" Target="https://www.sbicard.com/en/faq/international-limit.page" TargetMode="External"/><Relationship Id="rId104" Type="http://schemas.openxmlformats.org/officeDocument/2006/relationships/hyperlink" Target="https://www.sbicard.com/en/faq/personal-details-change.page" TargetMode="External"/><Relationship Id="rId120" Type="http://schemas.openxmlformats.org/officeDocument/2006/relationships/hyperlink" Target="https://sbi-devsit1.sbicard.com/en/personal/pay.page.page" TargetMode="External"/><Relationship Id="rId125" Type="http://schemas.openxmlformats.org/officeDocument/2006/relationships/hyperlink" Target="https://sbi-devsit1.sbicard.com/en/personal/benefits/lower-interest-option/balance-transfer-on-emi.page" TargetMode="External"/><Relationship Id="rId141" Type="http://schemas.openxmlformats.org/officeDocument/2006/relationships/hyperlink" Target="https://sbi-devsit1.sbicard.com/en/personal/credit-cards.page" TargetMode="External"/><Relationship Id="rId146" Type="http://schemas.openxmlformats.org/officeDocument/2006/relationships/hyperlink" Target="https://sbi-devsit1.sbicard.com/en/personal/benefits/lower-interest-option/balance-transfer.page" TargetMode="External"/><Relationship Id="rId167" Type="http://schemas.openxmlformats.org/officeDocument/2006/relationships/hyperlink" Target="https://www.sbicard.com/en/personal/benefits/digital-payments/sbi-card-pay.page" TargetMode="External"/><Relationship Id="rId7" Type="http://schemas.openxmlformats.org/officeDocument/2006/relationships/hyperlink" Target="https://sbi-devsit1.sbicard.com/en/contact-us/personal.page" TargetMode="External"/><Relationship Id="rId71" Type="http://schemas.openxmlformats.org/officeDocument/2006/relationships/hyperlink" Target="https://www.sbicard.com/en/faq/reward-points-redemption.page" TargetMode="External"/><Relationship Id="rId92" Type="http://schemas.openxmlformats.org/officeDocument/2006/relationships/hyperlink" Target="https://www.sbicard.com/en/faq/interest-charges-calculation.page" TargetMode="External"/><Relationship Id="rId162" Type="http://schemas.openxmlformats.org/officeDocument/2006/relationships/hyperlink" Target="https://www.sbicard.com/en/webform/write-to-us.page" TargetMode="External"/><Relationship Id="rId2" Type="http://schemas.openxmlformats.org/officeDocument/2006/relationships/hyperlink" Target="https://sbi-devsit1.sbicard.com/en/eapply.page" TargetMode="External"/><Relationship Id="rId29" Type="http://schemas.openxmlformats.org/officeDocument/2006/relationships/hyperlink" Target="https://sbi-devsit1.sbicard.com/en/faq/bt-on-emi.page" TargetMode="External"/><Relationship Id="rId24" Type="http://schemas.openxmlformats.org/officeDocument/2006/relationships/hyperlink" Target="https://sbi-devsit1.sbicard.com/en/faq/bbps-faq.page" TargetMode="External"/><Relationship Id="rId40" Type="http://schemas.openxmlformats.org/officeDocument/2006/relationships/hyperlink" Target="https://sbi-devsit1.sbicard.com/en/faq/nominee-details.page" TargetMode="External"/><Relationship Id="rId45" Type="http://schemas.openxmlformats.org/officeDocument/2006/relationships/hyperlink" Target="https://sbi-devsit1.sbicard.com/en/faq/club-vistara-sbi-card-faq.page" TargetMode="External"/><Relationship Id="rId66" Type="http://schemas.openxmlformats.org/officeDocument/2006/relationships/hyperlink" Target="https://www.sbicard.com/en/faq/health-insurance-policy.page" TargetMode="External"/><Relationship Id="rId87" Type="http://schemas.openxmlformats.org/officeDocument/2006/relationships/hyperlink" Target="https://www.sbicard.com/en/faq/poorna-suraksha.page" TargetMode="External"/><Relationship Id="rId110" Type="http://schemas.openxmlformats.org/officeDocument/2006/relationships/hyperlink" Target="https://www.sbicard.com/en/faq/electronic-bill-payment.page" TargetMode="External"/><Relationship Id="rId115" Type="http://schemas.openxmlformats.org/officeDocument/2006/relationships/hyperlink" Target="https://sbi-devsit1.sbicard.com/en/request-for-proposal.page" TargetMode="External"/><Relationship Id="rId131" Type="http://schemas.openxmlformats.org/officeDocument/2006/relationships/hyperlink" Target="https://www.sbicard.com/en/personal/offers.page" TargetMode="External"/><Relationship Id="rId136" Type="http://schemas.openxmlformats.org/officeDocument/2006/relationships/hyperlink" Target="https://www.sbicard.com/en/cardholder-agreement.page" TargetMode="External"/><Relationship Id="rId157" Type="http://schemas.openxmlformats.org/officeDocument/2006/relationships/hyperlink" Target="https://www.sbicard.com/en/personal/benefits/utility-bill-payments/register-and-pay.page" TargetMode="External"/><Relationship Id="rId178" Type="http://schemas.openxmlformats.org/officeDocument/2006/relationships/hyperlink" Target="https://www.sbicard.com/en/resolution-framework-2-0-policy.page" TargetMode="External"/><Relationship Id="rId61" Type="http://schemas.openxmlformats.org/officeDocument/2006/relationships/hyperlink" Target="https://www.sbicard.com/en/faq/complimentary-priority-pass-membership.page" TargetMode="External"/><Relationship Id="rId82" Type="http://schemas.openxmlformats.org/officeDocument/2006/relationships/hyperlink" Target="https://www.sbicard.com/en/faq/allahabad-sbi-card-program-discontinuation.page" TargetMode="External"/><Relationship Id="rId152" Type="http://schemas.openxmlformats.org/officeDocument/2006/relationships/hyperlink" Target="https://www.sbicard.com/en/personal/benefits/utility-bill-payments/pay-fast.page" TargetMode="External"/><Relationship Id="rId173" Type="http://schemas.openxmlformats.org/officeDocument/2006/relationships/hyperlink" Target="https://www.sbicard.com/en/unclaimed-credit-balance.page" TargetMode="External"/><Relationship Id="rId19" Type="http://schemas.openxmlformats.org/officeDocument/2006/relationships/hyperlink" Target="https://sbi-devsit1.sbicard.com/en/faq/upi.page" TargetMode="External"/><Relationship Id="rId14" Type="http://schemas.openxmlformats.org/officeDocument/2006/relationships/hyperlink" Target="https://sbi-devsit1.sbicard.com/en/faq/neft-payment.page" TargetMode="External"/><Relationship Id="rId30" Type="http://schemas.openxmlformats.org/officeDocument/2006/relationships/hyperlink" Target="https://sbi-devsit1.sbicard.com/en/faq/card-blocking-unblocking.page" TargetMode="External"/><Relationship Id="rId35" Type="http://schemas.openxmlformats.org/officeDocument/2006/relationships/hyperlink" Target="https://sbi-devsit1.sbicard.com/en/faq/joining-milestone-rewards.page" TargetMode="External"/><Relationship Id="rId56" Type="http://schemas.openxmlformats.org/officeDocument/2006/relationships/hyperlink" Target="https://sbi-devsit1.sbicard.com/en/faq/smart-cash.page" TargetMode="External"/><Relationship Id="rId77" Type="http://schemas.openxmlformats.org/officeDocument/2006/relationships/hyperlink" Target="https://www.sbicard.com/en/faq/authentication-declined-card-not-Identified.page" TargetMode="External"/><Relationship Id="rId100" Type="http://schemas.openxmlformats.org/officeDocument/2006/relationships/hyperlink" Target="https://www.sbicard.com/en/faq/bom-sbi-secured-co-brand-card-program-discontinuation.page" TargetMode="External"/><Relationship Id="rId105" Type="http://schemas.openxmlformats.org/officeDocument/2006/relationships/hyperlink" Target="https://www.sbicard.com/en/faq/ckyc-faq.page" TargetMode="External"/><Relationship Id="rId126" Type="http://schemas.openxmlformats.org/officeDocument/2006/relationships/hyperlink" Target="https://sbi-devsit1.sbicard.com/en/video/product-videos.page" TargetMode="External"/><Relationship Id="rId147" Type="http://schemas.openxmlformats.org/officeDocument/2006/relationships/hyperlink" Target="https://sbi-devsit1.sbicard.com/en/personal/rewards.page" TargetMode="External"/><Relationship Id="rId168" Type="http://schemas.openxmlformats.org/officeDocument/2006/relationships/hyperlink" Target="https://www.sbicard.com/en/personal/offers/offer-detail.page" TargetMode="External"/><Relationship Id="rId8" Type="http://schemas.openxmlformats.org/officeDocument/2006/relationships/hyperlink" Target="https://sbi-devsit1.sbicard.com/en/personal/credit-cards/simplyfier.page" TargetMode="External"/><Relationship Id="rId51" Type="http://schemas.openxmlformats.org/officeDocument/2006/relationships/hyperlink" Target="https://sit-devsit1.sbicard.com/en/faq/online-application.page" TargetMode="External"/><Relationship Id="rId72" Type="http://schemas.openxmlformats.org/officeDocument/2006/relationships/hyperlink" Target="https://www.sbicard.com/en/faq/arogya-top-up.page" TargetMode="External"/><Relationship Id="rId93" Type="http://schemas.openxmlformats.org/officeDocument/2006/relationships/hyperlink" Target="https://www.sbicard.com/en/faq/travel-insurance.page" TargetMode="External"/><Relationship Id="rId98" Type="http://schemas.openxmlformats.org/officeDocument/2006/relationships/hyperlink" Target="https://www.sbicard.com/en/faq/sbi-auto-debit.page" TargetMode="External"/><Relationship Id="rId121" Type="http://schemas.openxmlformats.org/officeDocument/2006/relationships/hyperlink" Target="https://sbi-devsit1.sbicard.com/en/eapply/track-credit-card-application.page" TargetMode="External"/><Relationship Id="rId142" Type="http://schemas.openxmlformats.org/officeDocument/2006/relationships/hyperlink" Target="https://sbi-devsit1.sbicard.com/en/disclaimer.page" TargetMode="External"/><Relationship Id="rId163" Type="http://schemas.openxmlformats.org/officeDocument/2006/relationships/hyperlink" Target="https://www.sbicard.com/en/contact-us/corporate.page" TargetMode="External"/><Relationship Id="rId3" Type="http://schemas.openxmlformats.org/officeDocument/2006/relationships/hyperlink" Target="https://sbi-devsit1.sbicard.com/en/most-important-terms-and-conditions.page" TargetMode="External"/><Relationship Id="rId25" Type="http://schemas.openxmlformats.org/officeDocument/2006/relationships/hyperlink" Target="https://sbi-devsit1.sbicard.com/en/faq/sbi-atm.page" TargetMode="External"/><Relationship Id="rId46" Type="http://schemas.openxmlformats.org/officeDocument/2006/relationships/hyperlink" Target="https://sit-devsit1.sbicard.com/en/faq/update-contact-details.page" TargetMode="External"/><Relationship Id="rId67" Type="http://schemas.openxmlformats.org/officeDocument/2006/relationships/hyperlink" Target="https://www.sbicard.com/en/faq/bt-on-other-sbi-cards.page" TargetMode="External"/><Relationship Id="rId116" Type="http://schemas.openxmlformats.org/officeDocument/2006/relationships/hyperlink" Target="https://sbi-devsit1.sbicard.com/en/credit-score.page" TargetMode="External"/><Relationship Id="rId137" Type="http://schemas.openxmlformats.org/officeDocument/2006/relationships/hyperlink" Target="https://www.sbicard.com/en/faq.page" TargetMode="External"/><Relationship Id="rId158" Type="http://schemas.openxmlformats.org/officeDocument/2006/relationships/hyperlink" Target="https://www.sbicard.com/en/personal/benefits/easy-access-channels/chatbot.page" TargetMode="External"/><Relationship Id="rId20" Type="http://schemas.openxmlformats.org/officeDocument/2006/relationships/hyperlink" Target="https://sbi-devsit1.sbicard.com/en/faq/paynet-pay-online.page" TargetMode="External"/><Relationship Id="rId41" Type="http://schemas.openxmlformats.org/officeDocument/2006/relationships/hyperlink" Target="https://sbi-devsit1.sbicard.com/en/faq/covid19-dispute-faq.page" TargetMode="External"/><Relationship Id="rId62" Type="http://schemas.openxmlformats.org/officeDocument/2006/relationships/hyperlink" Target="https://www.sbicard.com/en/faq/reissue-replacement-of-cards.page" TargetMode="External"/><Relationship Id="rId83" Type="http://schemas.openxmlformats.org/officeDocument/2006/relationships/hyperlink" Target="https://www.sbicard.com/en/faq/covid-19-regulatory-package.page" TargetMode="External"/><Relationship Id="rId88" Type="http://schemas.openxmlformats.org/officeDocument/2006/relationships/hyperlink" Target="https://www.sbicard.com/en/faq/resolution-plan-2-0.page" TargetMode="External"/><Relationship Id="rId111" Type="http://schemas.openxmlformats.org/officeDocument/2006/relationships/hyperlink" Target="https://www.sbicard.com/en/faq/touch-id-mobile-app.page" TargetMode="External"/><Relationship Id="rId132" Type="http://schemas.openxmlformats.org/officeDocument/2006/relationships/hyperlink" Target="https://www.sbicard.com/en/home.page" TargetMode="External"/><Relationship Id="rId153" Type="http://schemas.openxmlformats.org/officeDocument/2006/relationships/hyperlink" Target="https://www.sbicard.com/en/personal/benefits/easy-access-channels/simply-sms.page" TargetMode="External"/><Relationship Id="rId174" Type="http://schemas.openxmlformats.org/officeDocument/2006/relationships/hyperlink" Target="https://www.sbicard.com/en/personal/rewards/reward-reward-detail.page" TargetMode="External"/><Relationship Id="rId179" Type="http://schemas.openxmlformats.org/officeDocument/2006/relationships/hyperlink" Target="https://www.sbicard.com/en/kyc-renewal.page" TargetMode="External"/><Relationship Id="rId15" Type="http://schemas.openxmlformats.org/officeDocument/2006/relationships/hyperlink" Target="https://sbi-devsit1.sbicard.com/en/faq/national-automated-clearing-house.page" TargetMode="External"/><Relationship Id="rId36" Type="http://schemas.openxmlformats.org/officeDocument/2006/relationships/hyperlink" Target="https://sbi-devsit1.sbicard.com/en/faq/motor-private-car-insurance-policy.page" TargetMode="External"/><Relationship Id="rId57" Type="http://schemas.openxmlformats.org/officeDocument/2006/relationships/hyperlink" Target="https://sbi-devsit1.sbicard.com/en/faq/whatsapp-opt-in.page" TargetMode="External"/><Relationship Id="rId106" Type="http://schemas.openxmlformats.org/officeDocument/2006/relationships/hyperlink" Target="https://www.sbicard.com/en/faq/travel-Itinerary-faq.page" TargetMode="External"/><Relationship Id="rId127" Type="http://schemas.openxmlformats.org/officeDocument/2006/relationships/hyperlink" Target="https://sbi-devsit1.sbicard.com/en/personal/benefits/utility-bill-payments/top-up-and-recharge.page" TargetMode="External"/><Relationship Id="rId10" Type="http://schemas.openxmlformats.org/officeDocument/2006/relationships/hyperlink" Target="https://sbi-devsit1.sbicard.com/en/faq/kyc-norms.page" TargetMode="External"/><Relationship Id="rId31" Type="http://schemas.openxmlformats.org/officeDocument/2006/relationships/hyperlink" Target="https://sbi-devsit1.sbicard.com/en/faq/cibil-related-issues.page" TargetMode="External"/><Relationship Id="rId52" Type="http://schemas.openxmlformats.org/officeDocument/2006/relationships/hyperlink" Target="https://sit-devsit1.sbicard.com/en/faq/individual-personal-accident-policy.page" TargetMode="External"/><Relationship Id="rId73" Type="http://schemas.openxmlformats.org/officeDocument/2006/relationships/hyperlink" Target="https://www.sbicard.com/en/faq/pin-generation.page" TargetMode="External"/><Relationship Id="rId78" Type="http://schemas.openxmlformats.org/officeDocument/2006/relationships/hyperlink" Target="https://www.sbicard.com/en/faq/balance-outstanding-amount-due.page" TargetMode="External"/><Relationship Id="rId94" Type="http://schemas.openxmlformats.org/officeDocument/2006/relationships/hyperlink" Target="https://www.sbicard.com/en/faq/hospital-daily-cash.page" TargetMode="External"/><Relationship Id="rId99" Type="http://schemas.openxmlformats.org/officeDocument/2006/relationships/hyperlink" Target="https://www.sbicard.com/en/faq/Central-Bank-of-India-SBI-Card-Program-discontinuation.page" TargetMode="External"/><Relationship Id="rId101" Type="http://schemas.openxmlformats.org/officeDocument/2006/relationships/hyperlink" Target="https://www.sbicard.com/en/faq/lifeline.page" TargetMode="External"/><Relationship Id="rId122" Type="http://schemas.openxmlformats.org/officeDocument/2006/relationships/hyperlink" Target="https://sbi-devsit1.sbicard.com/en/personal/benefits/insurance-products-sbicard.page" TargetMode="External"/><Relationship Id="rId143" Type="http://schemas.openxmlformats.org/officeDocument/2006/relationships/hyperlink" Target="https://sbi-devsit1.sbicard.com/en/offer-terms-conditions.page" TargetMode="External"/><Relationship Id="rId148" Type="http://schemas.openxmlformats.org/officeDocument/2006/relationships/hyperlink" Target="https://www.sbicard.com/en/personal/benefits/card-upgrade.page" TargetMode="External"/><Relationship Id="rId164" Type="http://schemas.openxmlformats.org/officeDocument/2006/relationships/hyperlink" Target="https://www.sbicard.com/en/webform/escalate-login.page" TargetMode="External"/><Relationship Id="rId169" Type="http://schemas.openxmlformats.org/officeDocument/2006/relationships/hyperlink" Target="https://www.sbicard.com/en/personal/benefits/digital-payments/contactless-sbi-card.page" TargetMode="External"/><Relationship Id="rId4" Type="http://schemas.openxmlformats.org/officeDocument/2006/relationships/hyperlink" Target="https://sbi-devsit1.sbicard.com/en/personal/benefits/encash.page" TargetMode="External"/><Relationship Id="rId9" Type="http://schemas.openxmlformats.org/officeDocument/2006/relationships/hyperlink" Target="https://sbi-devsit1.sbicard.com/en/faq/flexipay.page" TargetMode="External"/><Relationship Id="rId180" Type="http://schemas.openxmlformats.org/officeDocument/2006/relationships/hyperlink" Target="https://sbi-devsit1.sbicard.com/en/personal/benefits/easy-access-channels/whatsapp.page" TargetMode="External"/><Relationship Id="rId26" Type="http://schemas.openxmlformats.org/officeDocument/2006/relationships/hyperlink" Target="https://sbi-devsit1.sbicard.com/en/faq/debit-card.page" TargetMode="External"/><Relationship Id="rId47" Type="http://schemas.openxmlformats.org/officeDocument/2006/relationships/hyperlink" Target="https://sit-devsit1.sbicard.com/en/faq/sbi-card-online-security.page" TargetMode="External"/><Relationship Id="rId68" Type="http://schemas.openxmlformats.org/officeDocument/2006/relationships/hyperlink" Target="https://www.sbicard.com/en/faq/card-activation-dispatch.page" TargetMode="External"/><Relationship Id="rId89" Type="http://schemas.openxmlformats.org/officeDocument/2006/relationships/hyperlink" Target="https://www.sbicard.com/en/faq/order-of-payment-settlement.page" TargetMode="External"/><Relationship Id="rId112" Type="http://schemas.openxmlformats.org/officeDocument/2006/relationships/hyperlink" Target="https://sbi-devsit1.sbicard.com/en/tnc.page" TargetMode="External"/><Relationship Id="rId133" Type="http://schemas.openxmlformats.org/officeDocument/2006/relationships/hyperlink" Target="https://sbi-devsit1.sbicard.com/en/personal/visa-offers.page" TargetMode="External"/><Relationship Id="rId154" Type="http://schemas.openxmlformats.org/officeDocument/2006/relationships/hyperlink" Target="https://www.sbicard.com/en/personal/benefits/easy-access-channels/yono.page" TargetMode="External"/><Relationship Id="rId175" Type="http://schemas.openxmlformats.org/officeDocument/2006/relationships/hyperlink" Target="https://www.sbicard.com/en/merchant-e-mandate-list.page" TargetMode="External"/><Relationship Id="rId16" Type="http://schemas.openxmlformats.org/officeDocument/2006/relationships/hyperlink" Target="https://sbi-devsit1.sbicard.com/en/faq/visa-credit-card-pay.page" TargetMode="External"/><Relationship Id="rId37" Type="http://schemas.openxmlformats.org/officeDocument/2006/relationships/hyperlink" Target="https://sbi-devsit1.sbicard.com/en/faq/offers-on-cards.page" TargetMode="External"/><Relationship Id="rId58" Type="http://schemas.openxmlformats.org/officeDocument/2006/relationships/hyperlink" Target="https://sit-devsit1.sbicard.com/en/faq/transaction-status.page" TargetMode="External"/><Relationship Id="rId79" Type="http://schemas.openxmlformats.org/officeDocument/2006/relationships/hyperlink" Target="https://www.sbicard.com/en/faq/card-upgrade-process.page" TargetMode="External"/><Relationship Id="rId102" Type="http://schemas.openxmlformats.org/officeDocument/2006/relationships/hyperlink" Target="https://www.sbicard.com/en/faq/balance-transfer.page" TargetMode="External"/><Relationship Id="rId123" Type="http://schemas.openxmlformats.org/officeDocument/2006/relationships/hyperlink" Target="https://sbi-devsit1.sbicard.com/en/credit-bureau-faqs.page" TargetMode="External"/><Relationship Id="rId144" Type="http://schemas.openxmlformats.org/officeDocument/2006/relationships/hyperlink" Target="https://sbi-devsit1.sbicard.com/en/personal/benefits/easy-access-channels/mobile-app.page" TargetMode="External"/><Relationship Id="rId90" Type="http://schemas.openxmlformats.org/officeDocument/2006/relationships/hyperlink" Target="https://www.sbicard.com/en/faq/complimentary-trident-privilege-membership.page" TargetMode="External"/><Relationship Id="rId165" Type="http://schemas.openxmlformats.org/officeDocument/2006/relationships/hyperlink" Target="https://www.sbicard.com/en/video/demovideo.page" TargetMode="External"/><Relationship Id="rId27" Type="http://schemas.openxmlformats.org/officeDocument/2006/relationships/hyperlink" Target="https://sbi-devsit1.sbicard.com/en/faq/address-updation.page" TargetMode="External"/><Relationship Id="rId48" Type="http://schemas.openxmlformats.org/officeDocument/2006/relationships/hyperlink" Target="https://sit-devsit1.sbicard.com/en/faq/credit-balance-refund-faq.page" TargetMode="External"/><Relationship Id="rId69" Type="http://schemas.openxmlformats.org/officeDocument/2006/relationships/hyperlink" Target="https://www.sbicard.com/en/faq/transferred-accounts.page" TargetMode="External"/><Relationship Id="rId113" Type="http://schemas.openxmlformats.org/officeDocument/2006/relationships/hyperlink" Target="https://sbi-devsit1.sbicard.com/en/sitemap.page" TargetMode="External"/><Relationship Id="rId134" Type="http://schemas.openxmlformats.org/officeDocument/2006/relationships/hyperlink" Target="https://sbi-devsit1.sbicard.com/en/privacy-policy.page" TargetMode="External"/><Relationship Id="rId80" Type="http://schemas.openxmlformats.org/officeDocument/2006/relationships/hyperlink" Target="https://www.sbicard.com/en/faq/account-upgrade.page" TargetMode="External"/><Relationship Id="rId155" Type="http://schemas.openxmlformats.org/officeDocument/2006/relationships/hyperlink" Target="https://www.sbicard.com/en/personal/benefits/easy-access-channels/missed-call-service.page" TargetMode="External"/><Relationship Id="rId176" Type="http://schemas.openxmlformats.org/officeDocument/2006/relationships/hyperlink" Target="https://www.sbicard.com/en/calculator/irctc/irctc-calculator.page" TargetMode="External"/><Relationship Id="rId17" Type="http://schemas.openxmlformats.org/officeDocument/2006/relationships/hyperlink" Target="https://sbi-devsit1.sbicard.com/en/faq/over-the-counter-payment.page" TargetMode="External"/><Relationship Id="rId38" Type="http://schemas.openxmlformats.org/officeDocument/2006/relationships/hyperlink" Target="https://sbi-devsit1.sbicard.com/en/faq/payment-enquiry.page" TargetMode="External"/><Relationship Id="rId59" Type="http://schemas.openxmlformats.org/officeDocument/2006/relationships/hyperlink" Target="https://sit-devsit1.sbicard.com/en/faq/utility-bill-payment.page" TargetMode="External"/><Relationship Id="rId103" Type="http://schemas.openxmlformats.org/officeDocument/2006/relationships/hyperlink" Target="https://www.sbicard.com/en/faq/sbi-card-online.page" TargetMode="External"/><Relationship Id="rId124" Type="http://schemas.openxmlformats.org/officeDocument/2006/relationships/hyperlink" Target="https://sbi-devsit1.sbicard.com/en/personal/digital-platform-updates.page" TargetMode="External"/><Relationship Id="rId70" Type="http://schemas.openxmlformats.org/officeDocument/2006/relationships/hyperlink" Target="https://www.sbicard.com/en/faq/statement-billing-related.page" TargetMode="External"/><Relationship Id="rId91" Type="http://schemas.openxmlformats.org/officeDocument/2006/relationships/hyperlink" Target="https://www.sbicard.com/en/faq/critical-illness-insurance-policy.page" TargetMode="External"/><Relationship Id="rId145" Type="http://schemas.openxmlformats.org/officeDocument/2006/relationships/hyperlink" Target="https://sbi-devsit1.sbicard.com/en/personal/benefits.page" TargetMode="External"/><Relationship Id="rId166" Type="http://schemas.openxmlformats.org/officeDocument/2006/relationships/hyperlink" Target="https://www.sbicard.com/en/blog/detail.page" TargetMode="External"/><Relationship Id="rId1" Type="http://schemas.openxmlformats.org/officeDocument/2006/relationships/hyperlink" Target="https://sbi-devsit1.sbicard.com/en/security.page"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youtube.com/watch?v=8x2fWFLDk2k%09https://www.youtube.com/watch?v=FoZaQr9zHSY" TargetMode="External"/><Relationship Id="rId1" Type="http://schemas.openxmlformats.org/officeDocument/2006/relationships/hyperlink" Target="https://www.youtube.com/shorts/9W-yd2nKbIY%09https:/www.youtube.com/shorts/NFFdaffkdy8%09https:/www.youtube.com/shorts/NFFdaffkdy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loom.com/i/7185f01309a04653b08bffd1d283582b" TargetMode="External"/><Relationship Id="rId21" Type="http://schemas.openxmlformats.org/officeDocument/2006/relationships/hyperlink" Target="https://www.loom.com/share/22501c7eb8a44162beeb8d6e41eb2ee3" TargetMode="External"/><Relationship Id="rId42" Type="http://schemas.openxmlformats.org/officeDocument/2006/relationships/hyperlink" Target="https://www.loom.com/share/0ff02178b38247419bc35ff623b2dc8f" TargetMode="External"/><Relationship Id="rId63" Type="http://schemas.openxmlformats.org/officeDocument/2006/relationships/hyperlink" Target="https://www.loom.com/share/c77b77f98b9641d1a8cf54a94e85706e" TargetMode="External"/><Relationship Id="rId84" Type="http://schemas.openxmlformats.org/officeDocument/2006/relationships/hyperlink" Target="https://www.loom.com/share/6294cf1f89af4c4dbd1661f7f98aa754" TargetMode="External"/><Relationship Id="rId138" Type="http://schemas.openxmlformats.org/officeDocument/2006/relationships/hyperlink" Target="https://loom.com/i/db67b891c1ad4b16a4d5f08bb5c3dfd0" TargetMode="External"/><Relationship Id="rId107" Type="http://schemas.openxmlformats.org/officeDocument/2006/relationships/hyperlink" Target="https://www.loom.com/i/e3c702628cf343d19569f7ac21710879" TargetMode="External"/><Relationship Id="rId11" Type="http://schemas.openxmlformats.org/officeDocument/2006/relationships/hyperlink" Target="https://www.loom.com/i/2c94f61d86f64978b40ca8a7c458cbe2" TargetMode="External"/><Relationship Id="rId32" Type="http://schemas.openxmlformats.org/officeDocument/2006/relationships/hyperlink" Target="https://www.loom.com/i/3e5e557e289949cba05e13ebfb056923" TargetMode="External"/><Relationship Id="rId37" Type="http://schemas.openxmlformats.org/officeDocument/2006/relationships/hyperlink" Target="https://www.loom.com/share/0ae4a5e75624469aacd7ccad0328f559" TargetMode="External"/><Relationship Id="rId53" Type="http://schemas.openxmlformats.org/officeDocument/2006/relationships/hyperlink" Target="https://www.loom.com/i/df05d851e94e495bb7775bef18514ea0" TargetMode="External"/><Relationship Id="rId58" Type="http://schemas.openxmlformats.org/officeDocument/2006/relationships/hyperlink" Target="https://www.loom.com/i/7eafab8959874d71a5ef09ec36fa3065" TargetMode="External"/><Relationship Id="rId74" Type="http://schemas.openxmlformats.org/officeDocument/2006/relationships/hyperlink" Target="https://www.loom.com/i/856607508af74c31804d30321fdcc054" TargetMode="External"/><Relationship Id="rId79" Type="http://schemas.openxmlformats.org/officeDocument/2006/relationships/hyperlink" Target="https://www.loom.com/i/ddcaf26c43cc42988e6020e1aa070218" TargetMode="External"/><Relationship Id="rId102" Type="http://schemas.openxmlformats.org/officeDocument/2006/relationships/hyperlink" Target="https://www.loom.com/i/bf53b35007be40c7bb9b54bba120ac0d" TargetMode="External"/><Relationship Id="rId123" Type="http://schemas.openxmlformats.org/officeDocument/2006/relationships/hyperlink" Target="https://www.loom.com/i/9d6f8ef9089446b0bbdaca98349b73b4" TargetMode="External"/><Relationship Id="rId128" Type="http://schemas.openxmlformats.org/officeDocument/2006/relationships/hyperlink" Target="https://www.loom.com/i/5821568fc4bc4d97a293a9a63aed3751" TargetMode="External"/><Relationship Id="rId5" Type="http://schemas.openxmlformats.org/officeDocument/2006/relationships/hyperlink" Target="https://www.loom.com/i/2e59ef7046a94dcfae326052b9e99505" TargetMode="External"/><Relationship Id="rId90" Type="http://schemas.openxmlformats.org/officeDocument/2006/relationships/hyperlink" Target="https://www.loom.com/i/d6530acb55cc40749b435ecce71c3f8a" TargetMode="External"/><Relationship Id="rId95" Type="http://schemas.openxmlformats.org/officeDocument/2006/relationships/hyperlink" Target="https://www.loom.com/i/f198086095f94599a48f31f7d659a703" TargetMode="External"/><Relationship Id="rId22" Type="http://schemas.openxmlformats.org/officeDocument/2006/relationships/hyperlink" Target="https://www.loom.com/i/b06f7779551a45ea95c40fa802cc38df" TargetMode="External"/><Relationship Id="rId27" Type="http://schemas.openxmlformats.org/officeDocument/2006/relationships/hyperlink" Target="https://www.loom.com/i/2f310b6193f7458c90c8cc96268dd8a9" TargetMode="External"/><Relationship Id="rId43" Type="http://schemas.openxmlformats.org/officeDocument/2006/relationships/hyperlink" Target="https://www.loom.com/share/1813107823a94ecf84cadf43cb4c6035" TargetMode="External"/><Relationship Id="rId48" Type="http://schemas.openxmlformats.org/officeDocument/2006/relationships/hyperlink" Target="https://www.loom.com/share/bad4caeb20c64073b55dfe88e8dd3dc7" TargetMode="External"/><Relationship Id="rId64" Type="http://schemas.openxmlformats.org/officeDocument/2006/relationships/hyperlink" Target="https://www.loom.com/share/7ebb6a8eba124d14a7982e709aebabf5" TargetMode="External"/><Relationship Id="rId69" Type="http://schemas.openxmlformats.org/officeDocument/2006/relationships/hyperlink" Target="https://www.loom.com/i/dae1d0d1d8954e04bb1aa2a9226c2452" TargetMode="External"/><Relationship Id="rId113" Type="http://schemas.openxmlformats.org/officeDocument/2006/relationships/hyperlink" Target="https://www.loom.com/i/8405a475a8af429fb1d9ba6c43957244" TargetMode="External"/><Relationship Id="rId118" Type="http://schemas.openxmlformats.org/officeDocument/2006/relationships/hyperlink" Target="https://www.loom.com/i/5e76c5eeb7d04417814021df83aa4cef" TargetMode="External"/><Relationship Id="rId134" Type="http://schemas.openxmlformats.org/officeDocument/2006/relationships/hyperlink" Target="https://www.loom.com/i/21a5db17148e43e1ad7b3264d21d56cd" TargetMode="External"/><Relationship Id="rId139" Type="http://schemas.openxmlformats.org/officeDocument/2006/relationships/hyperlink" Target="https://www.loom.com/i/759f413a9c1645d39c7911dc3a38a51d" TargetMode="External"/><Relationship Id="rId80" Type="http://schemas.openxmlformats.org/officeDocument/2006/relationships/hyperlink" Target="https://www.loom.com/i/20687d24b37a462e85cd0bc9f7f74dda" TargetMode="External"/><Relationship Id="rId85" Type="http://schemas.openxmlformats.org/officeDocument/2006/relationships/hyperlink" Target="https://www.loom.com/i/e3dca667271a40498d27e312bdcaef6a" TargetMode="External"/><Relationship Id="rId12" Type="http://schemas.openxmlformats.org/officeDocument/2006/relationships/hyperlink" Target="https://www.loom.com/share/bf4392f7317348f1abffc55e9c80a4f9" TargetMode="External"/><Relationship Id="rId17" Type="http://schemas.openxmlformats.org/officeDocument/2006/relationships/hyperlink" Target="https://www.loom.com/i/2829e877e37f4dd291ba21cc57f34a1d" TargetMode="External"/><Relationship Id="rId33" Type="http://schemas.openxmlformats.org/officeDocument/2006/relationships/hyperlink" Target="https://www.loom.com/i/6c36f4f670804c0d925e80afc1b84959" TargetMode="External"/><Relationship Id="rId38" Type="http://schemas.openxmlformats.org/officeDocument/2006/relationships/hyperlink" Target="https://www.loom.com/i/b30517249e0849009c1eeae64a16455c" TargetMode="External"/><Relationship Id="rId59" Type="http://schemas.openxmlformats.org/officeDocument/2006/relationships/hyperlink" Target="https://www.loom.com/i/1873e807643b46f0ac070479fbe65bd8" TargetMode="External"/><Relationship Id="rId103" Type="http://schemas.openxmlformats.org/officeDocument/2006/relationships/hyperlink" Target="https://www.loom.com/i/c236a42fd1d64c47a4fc53c6240419ab" TargetMode="External"/><Relationship Id="rId108" Type="http://schemas.openxmlformats.org/officeDocument/2006/relationships/hyperlink" Target="https://www.loom.com/i/488bc5c5a7e942d1bf98f5730b2ac3e4" TargetMode="External"/><Relationship Id="rId124" Type="http://schemas.openxmlformats.org/officeDocument/2006/relationships/hyperlink" Target="https://www.loom.com/i/a364af0e08e040e196b893f95699598f" TargetMode="External"/><Relationship Id="rId129" Type="http://schemas.openxmlformats.org/officeDocument/2006/relationships/hyperlink" Target="https://www.loom.com/i/fec8f497649840e2b39f8b7f5a3270bd" TargetMode="External"/><Relationship Id="rId54" Type="http://schemas.openxmlformats.org/officeDocument/2006/relationships/hyperlink" Target="https://www.loom.com/i/aef5df14c0b5480db573272b1dd693d9" TargetMode="External"/><Relationship Id="rId70" Type="http://schemas.openxmlformats.org/officeDocument/2006/relationships/hyperlink" Target="https://www.loom.com/i/927d9b387b964e8b8bd9ec368004fb42" TargetMode="External"/><Relationship Id="rId75" Type="http://schemas.openxmlformats.org/officeDocument/2006/relationships/hyperlink" Target="https://www.loom.com/i/6d57455155d446e2823deb349a16340a" TargetMode="External"/><Relationship Id="rId91" Type="http://schemas.openxmlformats.org/officeDocument/2006/relationships/hyperlink" Target="https://www.loom.com/i/c0e01c8bf5e44cca9a1dbcf75f2b61ea" TargetMode="External"/><Relationship Id="rId96" Type="http://schemas.openxmlformats.org/officeDocument/2006/relationships/hyperlink" Target="https://www.loom.com/i/022bccaa2a92471a9a6bb707b697d188" TargetMode="External"/><Relationship Id="rId140" Type="http://schemas.openxmlformats.org/officeDocument/2006/relationships/hyperlink" Target="https://loom.com/i/24611b47f990442b910ad3ef05b8281a" TargetMode="External"/><Relationship Id="rId1" Type="http://schemas.openxmlformats.org/officeDocument/2006/relationships/hyperlink" Target="https://www.loom.com/i/639996bc50564a43a90d170ae2d29ef3" TargetMode="External"/><Relationship Id="rId6" Type="http://schemas.openxmlformats.org/officeDocument/2006/relationships/hyperlink" Target="https://www.loom.com/i/e8b4f2b1f78648929e16bb6c178ae667" TargetMode="External"/><Relationship Id="rId23" Type="http://schemas.openxmlformats.org/officeDocument/2006/relationships/hyperlink" Target="https://www.loom.com/i/8ffe8404b9a448b98c08b71e62fc6180" TargetMode="External"/><Relationship Id="rId28" Type="http://schemas.openxmlformats.org/officeDocument/2006/relationships/hyperlink" Target="https://www.loom.com/i/581b541551e64b71af595c91ae7a8e45" TargetMode="External"/><Relationship Id="rId49" Type="http://schemas.openxmlformats.org/officeDocument/2006/relationships/hyperlink" Target="https://www.loom.com/i/5969a50519904960ac4cdd7e386c84bd" TargetMode="External"/><Relationship Id="rId114" Type="http://schemas.openxmlformats.org/officeDocument/2006/relationships/hyperlink" Target="https://www.loom.com/i/479b2fb3128d4747b9d674642b725757" TargetMode="External"/><Relationship Id="rId119" Type="http://schemas.openxmlformats.org/officeDocument/2006/relationships/hyperlink" Target="https://www.loom.com/i/74b1c08289694cdc92309d81369c1dd5" TargetMode="External"/><Relationship Id="rId44" Type="http://schemas.openxmlformats.org/officeDocument/2006/relationships/hyperlink" Target="https://www.loom.com/i/b9aaa4ba83ce452196a852cf8b384f2e" TargetMode="External"/><Relationship Id="rId60" Type="http://schemas.openxmlformats.org/officeDocument/2006/relationships/hyperlink" Target="https://www.loom.com/i/e857ce20a8cf4000b4045bf7d1aabc18" TargetMode="External"/><Relationship Id="rId65" Type="http://schemas.openxmlformats.org/officeDocument/2006/relationships/hyperlink" Target="https://www.loom.com/i/863baa9243d345638053e66e53270c89" TargetMode="External"/><Relationship Id="rId81" Type="http://schemas.openxmlformats.org/officeDocument/2006/relationships/hyperlink" Target="https://www.loom.com/i/d35eb320b0164a7ba6d9535589da4f98" TargetMode="External"/><Relationship Id="rId86" Type="http://schemas.openxmlformats.org/officeDocument/2006/relationships/hyperlink" Target="https://www.loom.com/i/3f42df8244f844e2bc3652099c42f925" TargetMode="External"/><Relationship Id="rId130" Type="http://schemas.openxmlformats.org/officeDocument/2006/relationships/hyperlink" Target="https://www.loom.com/i/4264578d36aa45e1becb36cdb9e124d1" TargetMode="External"/><Relationship Id="rId135" Type="http://schemas.openxmlformats.org/officeDocument/2006/relationships/hyperlink" Target="https://www.loom.com/i/dd189fbc9c394819acd7190d4293fd0e" TargetMode="External"/><Relationship Id="rId13" Type="http://schemas.openxmlformats.org/officeDocument/2006/relationships/hyperlink" Target="https://www.loom.com/i/8600e596fee8408b86ebb80afaf9d66b" TargetMode="External"/><Relationship Id="rId18" Type="http://schemas.openxmlformats.org/officeDocument/2006/relationships/hyperlink" Target="https://www.loom.com/i/346ad77bb3c446189e36810cbfa03b9b" TargetMode="External"/><Relationship Id="rId39" Type="http://schemas.openxmlformats.org/officeDocument/2006/relationships/hyperlink" Target="https://www.loom.com/i/8f972c2c00f840f3a9241a2d4931592e" TargetMode="External"/><Relationship Id="rId109" Type="http://schemas.openxmlformats.org/officeDocument/2006/relationships/hyperlink" Target="https://www.loom.com/share/48e73d1ce62e4bf5a68a6f43d2261b24" TargetMode="External"/><Relationship Id="rId34" Type="http://schemas.openxmlformats.org/officeDocument/2006/relationships/hyperlink" Target="https://www.loom.com/share/85e0f9dfd7564da9805b1d0f6bff3777" TargetMode="External"/><Relationship Id="rId50" Type="http://schemas.openxmlformats.org/officeDocument/2006/relationships/hyperlink" Target="https://www.loom.com/i/8352a6da1cda46c29316598af1c0e83f" TargetMode="External"/><Relationship Id="rId55" Type="http://schemas.openxmlformats.org/officeDocument/2006/relationships/hyperlink" Target="https://www.loom.com/i/427df69b61ba4710a2d6f67408b5c180" TargetMode="External"/><Relationship Id="rId76" Type="http://schemas.openxmlformats.org/officeDocument/2006/relationships/hyperlink" Target="https://www.loom.com/i/8ff99cc7b8834a00b4f72083b9289831" TargetMode="External"/><Relationship Id="rId97" Type="http://schemas.openxmlformats.org/officeDocument/2006/relationships/hyperlink" Target="https://www.loom.com/i/6a6905fe10b144aea721b95ca38f103c" TargetMode="External"/><Relationship Id="rId104" Type="http://schemas.openxmlformats.org/officeDocument/2006/relationships/hyperlink" Target="https://www.loom.com/i/0e461c5a36954fda9a5dfcdb3a38a188" TargetMode="External"/><Relationship Id="rId120" Type="http://schemas.openxmlformats.org/officeDocument/2006/relationships/hyperlink" Target="https://www.loom.com/i/227c365c180a44f7baf93acab20edda3" TargetMode="External"/><Relationship Id="rId125" Type="http://schemas.openxmlformats.org/officeDocument/2006/relationships/hyperlink" Target="https://www.loom.com/i/64f1f85a5cad436ba678dc322efc3be1" TargetMode="External"/><Relationship Id="rId141" Type="http://schemas.openxmlformats.org/officeDocument/2006/relationships/hyperlink" Target="https://www.loom.com/i/445689084b6f4d71a381282687b84e74" TargetMode="External"/><Relationship Id="rId7" Type="http://schemas.openxmlformats.org/officeDocument/2006/relationships/hyperlink" Target="https://www.loom.com/i/0992af6606c2460e868e1e4a3c3e2211" TargetMode="External"/><Relationship Id="rId71" Type="http://schemas.openxmlformats.org/officeDocument/2006/relationships/hyperlink" Target="https://www.loom.com/i/bb1afaf2795d400fb82c66f4781330ea" TargetMode="External"/><Relationship Id="rId92" Type="http://schemas.openxmlformats.org/officeDocument/2006/relationships/hyperlink" Target="https://www.loom.com/i/1806bd5eabd645f3b121b0d1b0064800" TargetMode="External"/><Relationship Id="rId2" Type="http://schemas.openxmlformats.org/officeDocument/2006/relationships/hyperlink" Target="https://www.loom.com/i/fb314dbf047d49f9aae513fdc6c19f6d" TargetMode="External"/><Relationship Id="rId29" Type="http://schemas.openxmlformats.org/officeDocument/2006/relationships/hyperlink" Target="https://www.loom.com/i/a0dd5753ba1049348f2ee49d453a2cf5" TargetMode="External"/><Relationship Id="rId24" Type="http://schemas.openxmlformats.org/officeDocument/2006/relationships/hyperlink" Target="https://www.loom.com/i/3d2cb3beb01b4d628f240567295ab062" TargetMode="External"/><Relationship Id="rId40" Type="http://schemas.openxmlformats.org/officeDocument/2006/relationships/hyperlink" Target="https://www.loom.com/i/3959031ca198497082f1a2d4e17be648" TargetMode="External"/><Relationship Id="rId45" Type="http://schemas.openxmlformats.org/officeDocument/2006/relationships/hyperlink" Target="https://www.loom.com/i/77441823919944959862bbffbf5f1bb9" TargetMode="External"/><Relationship Id="rId66" Type="http://schemas.openxmlformats.org/officeDocument/2006/relationships/hyperlink" Target="https://loom.com/i/3008f106ed3f4d4d9217e6447a9e2b49" TargetMode="External"/><Relationship Id="rId87" Type="http://schemas.openxmlformats.org/officeDocument/2006/relationships/hyperlink" Target="https://www.loom.com/i/306db704e66b40bca44fce12a086e84d" TargetMode="External"/><Relationship Id="rId110" Type="http://schemas.openxmlformats.org/officeDocument/2006/relationships/hyperlink" Target="https://www.loom.com/i/b8f0a0016aa04aea8c65e59dca691b51" TargetMode="External"/><Relationship Id="rId115" Type="http://schemas.openxmlformats.org/officeDocument/2006/relationships/hyperlink" Target="https://www.loom.com/share/827f43fdea79414f9b32d40b282f352f" TargetMode="External"/><Relationship Id="rId131" Type="http://schemas.openxmlformats.org/officeDocument/2006/relationships/hyperlink" Target="https://www.loom.com/i/d6dabd9d92914a8fa3210c680eee5981" TargetMode="External"/><Relationship Id="rId136" Type="http://schemas.openxmlformats.org/officeDocument/2006/relationships/hyperlink" Target="https://www.loom.com/i/e378f7927a6342349a151bfaced5b963" TargetMode="External"/><Relationship Id="rId61" Type="http://schemas.openxmlformats.org/officeDocument/2006/relationships/hyperlink" Target="https://www.loom.com/share/a3c08127bd6b4925b6367a00cb81af41" TargetMode="External"/><Relationship Id="rId82" Type="http://schemas.openxmlformats.org/officeDocument/2006/relationships/hyperlink" Target="https://www.loom.com/i/2b28fc5dcd494ad1941c24d458a76d80" TargetMode="External"/><Relationship Id="rId19" Type="http://schemas.openxmlformats.org/officeDocument/2006/relationships/hyperlink" Target="https://www.loom.com/share/eac148037b914cbd9eec7212438fa8f4" TargetMode="External"/><Relationship Id="rId14" Type="http://schemas.openxmlformats.org/officeDocument/2006/relationships/hyperlink" Target="https://www.loom.com/i/f2b3570ea5384656ae18443a1d74a5c8" TargetMode="External"/><Relationship Id="rId30" Type="http://schemas.openxmlformats.org/officeDocument/2006/relationships/hyperlink" Target="https://www.loom.com/i/a5d03755f6054d99b0b58836285286c1" TargetMode="External"/><Relationship Id="rId35" Type="http://schemas.openxmlformats.org/officeDocument/2006/relationships/hyperlink" Target="https://www.loom.com/share/006cd6d170f543d69c537db3521839ca" TargetMode="External"/><Relationship Id="rId56" Type="http://schemas.openxmlformats.org/officeDocument/2006/relationships/hyperlink" Target="https://www.loom.com/i/b00f5dea19e1416b83ffc0ea81bbf397" TargetMode="External"/><Relationship Id="rId77" Type="http://schemas.openxmlformats.org/officeDocument/2006/relationships/hyperlink" Target="https://www.loom.com/i/aa84c333aaa04b559ccd572223ed60d8" TargetMode="External"/><Relationship Id="rId100" Type="http://schemas.openxmlformats.org/officeDocument/2006/relationships/hyperlink" Target="https://www.loom.com/i/f42c59343bb84b1dad754b394818912f" TargetMode="External"/><Relationship Id="rId105" Type="http://schemas.openxmlformats.org/officeDocument/2006/relationships/hyperlink" Target="https://www.loom.com/i/99024be70ecd4e1daac64d3e8b899fd8" TargetMode="External"/><Relationship Id="rId126" Type="http://schemas.openxmlformats.org/officeDocument/2006/relationships/hyperlink" Target="https://www.loom.com/i/b99e16c264864a21b1e96e208153348c" TargetMode="External"/><Relationship Id="rId8" Type="http://schemas.openxmlformats.org/officeDocument/2006/relationships/hyperlink" Target="https://www.loom.com/i/1dc7142a6c724ef99605d571e9212c01" TargetMode="External"/><Relationship Id="rId51" Type="http://schemas.openxmlformats.org/officeDocument/2006/relationships/hyperlink" Target="https://www.loom.com/i/c8d88adb160a4b54923abd27077bc0ea" TargetMode="External"/><Relationship Id="rId72" Type="http://schemas.openxmlformats.org/officeDocument/2006/relationships/hyperlink" Target="https://www.loom.com/share/306f639482044f4a9903fc0117ffb4ba" TargetMode="External"/><Relationship Id="rId93" Type="http://schemas.openxmlformats.org/officeDocument/2006/relationships/hyperlink" Target="https://www.loom.com/i/035b537bd2594cc6a6b57832d3d53539" TargetMode="External"/><Relationship Id="rId98" Type="http://schemas.openxmlformats.org/officeDocument/2006/relationships/hyperlink" Target="https://www.loom.com/i/1a335e4dc7c4483a89235977aa84bb55" TargetMode="External"/><Relationship Id="rId121" Type="http://schemas.openxmlformats.org/officeDocument/2006/relationships/hyperlink" Target="https://www.loom.com/i/8df20cbb3d0b438ab6347f7c6366b7c0" TargetMode="External"/><Relationship Id="rId3" Type="http://schemas.openxmlformats.org/officeDocument/2006/relationships/hyperlink" Target="https://www.loom.com/i/1535338797a640818268f54c45502abe" TargetMode="External"/><Relationship Id="rId25" Type="http://schemas.openxmlformats.org/officeDocument/2006/relationships/hyperlink" Target="https://www.loom.com/i/bcd7751566004a89b70d982ab67fb7d5" TargetMode="External"/><Relationship Id="rId46" Type="http://schemas.openxmlformats.org/officeDocument/2006/relationships/hyperlink" Target="https://www.loom.com/i/d9a8ebde62a24fa88e87d51901da9397" TargetMode="External"/><Relationship Id="rId67" Type="http://schemas.openxmlformats.org/officeDocument/2006/relationships/hyperlink" Target="https://www.loom.com/i/da829f531c194a189ad1b06751332106" TargetMode="External"/><Relationship Id="rId116" Type="http://schemas.openxmlformats.org/officeDocument/2006/relationships/hyperlink" Target="https://www.loom.com/i/2b56126a00c44267b5ab98e76e7643ef" TargetMode="External"/><Relationship Id="rId137" Type="http://schemas.openxmlformats.org/officeDocument/2006/relationships/hyperlink" Target="https://www.loom.com/i/2b2f4170a0124151be6102fd62235e16" TargetMode="External"/><Relationship Id="rId20" Type="http://schemas.openxmlformats.org/officeDocument/2006/relationships/hyperlink" Target="https://www.loom.com/i/01d085c9b09f46f5bc174e6755603939" TargetMode="External"/><Relationship Id="rId41" Type="http://schemas.openxmlformats.org/officeDocument/2006/relationships/hyperlink" Target="https://www.loom.com/i/e6fb2d266b874b6f92bf27983fe03722" TargetMode="External"/><Relationship Id="rId62" Type="http://schemas.openxmlformats.org/officeDocument/2006/relationships/hyperlink" Target="https://www.loom.com/share/35d75fe354f24896ac1633ab903d5a14" TargetMode="External"/><Relationship Id="rId83" Type="http://schemas.openxmlformats.org/officeDocument/2006/relationships/hyperlink" Target="https://www.loom.com/share/f99b37eb669c4af495d55cc87948d185" TargetMode="External"/><Relationship Id="rId88" Type="http://schemas.openxmlformats.org/officeDocument/2006/relationships/hyperlink" Target="https://www.loom.com/i/67305defc68c43289bc5e4b0d7530b36" TargetMode="External"/><Relationship Id="rId111" Type="http://schemas.openxmlformats.org/officeDocument/2006/relationships/hyperlink" Target="https://www.loom.com/i/8405a475a8af429fb1d9ba6c43957244" TargetMode="External"/><Relationship Id="rId132" Type="http://schemas.openxmlformats.org/officeDocument/2006/relationships/hyperlink" Target="https://www.loom.com/i/13aaff76a8fd4d9f9be70d18c634a4ee" TargetMode="External"/><Relationship Id="rId15" Type="http://schemas.openxmlformats.org/officeDocument/2006/relationships/hyperlink" Target="https://www.loom.com/i/bc368accb1b943a9b2f0b15fd8d68453" TargetMode="External"/><Relationship Id="rId36" Type="http://schemas.openxmlformats.org/officeDocument/2006/relationships/hyperlink" Target="https://www.loom.com/share/3f5775bf043e4d63987a231a5817eb39" TargetMode="External"/><Relationship Id="rId57" Type="http://schemas.openxmlformats.org/officeDocument/2006/relationships/hyperlink" Target="https://www.loom.com/i/fa8b46f9971c408485832567392263f6" TargetMode="External"/><Relationship Id="rId106" Type="http://schemas.openxmlformats.org/officeDocument/2006/relationships/hyperlink" Target="https://loom.com/i/750be550b91b49cc93073dac5406259a" TargetMode="External"/><Relationship Id="rId127" Type="http://schemas.openxmlformats.org/officeDocument/2006/relationships/hyperlink" Target="https://www.loom.com/i/a341f414e37c4d9db1526fbba860da5d" TargetMode="External"/><Relationship Id="rId10" Type="http://schemas.openxmlformats.org/officeDocument/2006/relationships/hyperlink" Target="https://www.loom.com/i/6a9e0b6b469343ea8e4054c10d311181" TargetMode="External"/><Relationship Id="rId31" Type="http://schemas.openxmlformats.org/officeDocument/2006/relationships/hyperlink" Target="https://www.loom.com/i/484f454f70c14e6c8d08e53e091434cc" TargetMode="External"/><Relationship Id="rId52" Type="http://schemas.openxmlformats.org/officeDocument/2006/relationships/hyperlink" Target="https://www.loom.com/share/f75e9662c33d499496e96647a351f15b" TargetMode="External"/><Relationship Id="rId73" Type="http://schemas.openxmlformats.org/officeDocument/2006/relationships/hyperlink" Target="https://www.loom.com/i/3259934058874ddea44bf261d4b14673" TargetMode="External"/><Relationship Id="rId78" Type="http://schemas.openxmlformats.org/officeDocument/2006/relationships/hyperlink" Target="https://www.loom.com/share/4bee97879c714c7d8fa72ac3b7a9370e" TargetMode="External"/><Relationship Id="rId94" Type="http://schemas.openxmlformats.org/officeDocument/2006/relationships/hyperlink" Target="https://www.loom.com/i/cd241fcbffb4427d8c8e25e14ca8a62b" TargetMode="External"/><Relationship Id="rId99" Type="http://schemas.openxmlformats.org/officeDocument/2006/relationships/hyperlink" Target="https://www.loom.com/i/24df780a55cd41279f29ae75a8eb3e77" TargetMode="External"/><Relationship Id="rId101" Type="http://schemas.openxmlformats.org/officeDocument/2006/relationships/hyperlink" Target="https://www.loom.com/share/025756db13e64e34a34e9eaff97ec898" TargetMode="External"/><Relationship Id="rId122" Type="http://schemas.openxmlformats.org/officeDocument/2006/relationships/hyperlink" Target="https://www.loom.com/i/e803dc3247ef4f85abaa1044ace5b2f5" TargetMode="External"/><Relationship Id="rId4" Type="http://schemas.openxmlformats.org/officeDocument/2006/relationships/hyperlink" Target="https://www.loom.com/i/7e6a7962e45b47d2aa3e92bb4e937575" TargetMode="External"/><Relationship Id="rId9" Type="http://schemas.openxmlformats.org/officeDocument/2006/relationships/hyperlink" Target="https://www.loom.com/i/82e5bf95e8844c63bf46b835f71fd14d" TargetMode="External"/><Relationship Id="rId26" Type="http://schemas.openxmlformats.org/officeDocument/2006/relationships/hyperlink" Target="https://www.loom.com/i/b790d08b26fe4b6ca95c5a94cc678f9a" TargetMode="External"/><Relationship Id="rId47" Type="http://schemas.openxmlformats.org/officeDocument/2006/relationships/hyperlink" Target="https://www.loom.com/share/ccdc86ff4f684b80b7413253787ca8df" TargetMode="External"/><Relationship Id="rId68" Type="http://schemas.openxmlformats.org/officeDocument/2006/relationships/hyperlink" Target="https://www.loom.com/i/2140543c3a454da5ad22b97f637348c6" TargetMode="External"/><Relationship Id="rId89" Type="http://schemas.openxmlformats.org/officeDocument/2006/relationships/hyperlink" Target="https://www.loom.com/i/00878465f6e648c8874d2a37563c421c" TargetMode="External"/><Relationship Id="rId112" Type="http://schemas.openxmlformats.org/officeDocument/2006/relationships/hyperlink" Target="https://www.loom.com/i/479b2fb3128d4747b9d674642b725757" TargetMode="External"/><Relationship Id="rId133" Type="http://schemas.openxmlformats.org/officeDocument/2006/relationships/hyperlink" Target="https://www.loom.com/i/87d5d30e6a0d4bfaaf5df3128ca238cd" TargetMode="External"/><Relationship Id="rId16" Type="http://schemas.openxmlformats.org/officeDocument/2006/relationships/hyperlink" Target="https://www.loom.com/i/0fbd3f45a9224042a11bc65b05792b52"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loom.com/i/f2c06935ebac4f3bb27f762bf7b4441e" TargetMode="External"/><Relationship Id="rId21" Type="http://schemas.openxmlformats.org/officeDocument/2006/relationships/hyperlink" Target="https://www.loom.com/i/0382d1eb779f497d80de6f9b4926d8c1" TargetMode="External"/><Relationship Id="rId34" Type="http://schemas.openxmlformats.org/officeDocument/2006/relationships/hyperlink" Target="https://www.loom.com/i/32047c808e0944688915762bd38d9e45" TargetMode="External"/><Relationship Id="rId42" Type="http://schemas.openxmlformats.org/officeDocument/2006/relationships/hyperlink" Target="https://www.loom.com/i/0ff9a5ca12644a08aa706156ce90616b" TargetMode="External"/><Relationship Id="rId47" Type="http://schemas.openxmlformats.org/officeDocument/2006/relationships/hyperlink" Target="https://www.loom.com/i/ce0f5b4506c54c1485193ac63386ac2a" TargetMode="External"/><Relationship Id="rId50" Type="http://schemas.openxmlformats.org/officeDocument/2006/relationships/hyperlink" Target="https://www.loom.com/i/45710336484e492898caa259dc8ace90" TargetMode="External"/><Relationship Id="rId55" Type="http://schemas.openxmlformats.org/officeDocument/2006/relationships/hyperlink" Target="https://www.loom.com/i/74f091501a3c49ed85d52c3b19662044" TargetMode="External"/><Relationship Id="rId63" Type="http://schemas.openxmlformats.org/officeDocument/2006/relationships/hyperlink" Target="https://www.loom.com/i/8188827e14e245a4a5ccdfb01a7d1d59" TargetMode="External"/><Relationship Id="rId7" Type="http://schemas.openxmlformats.org/officeDocument/2006/relationships/hyperlink" Target="https://www.loom.com/share/b1dd03fac451491a8f344be5282e8de4" TargetMode="External"/><Relationship Id="rId2" Type="http://schemas.openxmlformats.org/officeDocument/2006/relationships/hyperlink" Target="https://loom.com/i/d21c7dc820e74a57a85afc2947a714be" TargetMode="External"/><Relationship Id="rId16" Type="http://schemas.openxmlformats.org/officeDocument/2006/relationships/hyperlink" Target="https://www.loom.com/i/7f22cb56a24345839af3ee953b313651" TargetMode="External"/><Relationship Id="rId29" Type="http://schemas.openxmlformats.org/officeDocument/2006/relationships/hyperlink" Target="https://www.loom.com/i/7b59151597464bdc9fab0998f92ab520" TargetMode="External"/><Relationship Id="rId11" Type="http://schemas.openxmlformats.org/officeDocument/2006/relationships/hyperlink" Target="https://www.loom.com/i/f7242b36f7e747fe9f2e26a581065b54" TargetMode="External"/><Relationship Id="rId24" Type="http://schemas.openxmlformats.org/officeDocument/2006/relationships/hyperlink" Target="https://www.loom.com/i/5ff7f628680e4550a058c25f91b8e58d" TargetMode="External"/><Relationship Id="rId32" Type="http://schemas.openxmlformats.org/officeDocument/2006/relationships/hyperlink" Target="https://www.loom.com/i/a75a7356576b4376947f8dc1d0377c90" TargetMode="External"/><Relationship Id="rId37" Type="http://schemas.openxmlformats.org/officeDocument/2006/relationships/hyperlink" Target="https://www.loom.com/i/5e6dff1bfb3c4a3996c171db221fcc74" TargetMode="External"/><Relationship Id="rId40" Type="http://schemas.openxmlformats.org/officeDocument/2006/relationships/hyperlink" Target="https://www.loom.com/share/2c3165897d7d4c8e81a0b240bb34d120" TargetMode="External"/><Relationship Id="rId45" Type="http://schemas.openxmlformats.org/officeDocument/2006/relationships/hyperlink" Target="https://www.loom.com/i/2ac85be982f24df5a2ed3828b57f0e28" TargetMode="External"/><Relationship Id="rId53" Type="http://schemas.openxmlformats.org/officeDocument/2006/relationships/hyperlink" Target="https://www.loom.com/i/d6e5ffee98e9405d895b5892e8d5bd32" TargetMode="External"/><Relationship Id="rId58" Type="http://schemas.openxmlformats.org/officeDocument/2006/relationships/hyperlink" Target="https://loom.com/i/d55654955090449e9f088f6bb7abe359" TargetMode="External"/><Relationship Id="rId66" Type="http://schemas.openxmlformats.org/officeDocument/2006/relationships/hyperlink" Target="https://www.loom.com/i/ffff4f6d4029441ba2e99b4814a9b303" TargetMode="External"/><Relationship Id="rId5" Type="http://schemas.openxmlformats.org/officeDocument/2006/relationships/hyperlink" Target="https://www.loom.com/i/5db587cfc97444a2bf6ed7928f2b2e23" TargetMode="External"/><Relationship Id="rId61" Type="http://schemas.openxmlformats.org/officeDocument/2006/relationships/hyperlink" Target="https://www.loom.com/i/ecb40e911c7f4c13b352f8be33f0ba41" TargetMode="External"/><Relationship Id="rId19" Type="http://schemas.openxmlformats.org/officeDocument/2006/relationships/hyperlink" Target="https://www.loom.com/i/b763cc19ae664dddaf6eb02b27378ec5" TargetMode="External"/><Relationship Id="rId14" Type="http://schemas.openxmlformats.org/officeDocument/2006/relationships/hyperlink" Target="https://www.loom.com/i/9f6628bcf1eb428b941b2d641035bcaf" TargetMode="External"/><Relationship Id="rId22" Type="http://schemas.openxmlformats.org/officeDocument/2006/relationships/hyperlink" Target="https://www.loom.com/i/ffeb59619f084c768c0a70dcfab731f5" TargetMode="External"/><Relationship Id="rId27" Type="http://schemas.openxmlformats.org/officeDocument/2006/relationships/hyperlink" Target="https://www.loom.com/i/98603d40c9cc4e34922f256d7c004bb5" TargetMode="External"/><Relationship Id="rId30" Type="http://schemas.openxmlformats.org/officeDocument/2006/relationships/hyperlink" Target="https://www.loom.com/i/812070c3a86b4f53baa7203406f22163" TargetMode="External"/><Relationship Id="rId35" Type="http://schemas.openxmlformats.org/officeDocument/2006/relationships/hyperlink" Target="https://www.loom.com/i/b9694823de334b54b3729c813bde1120" TargetMode="External"/><Relationship Id="rId43" Type="http://schemas.openxmlformats.org/officeDocument/2006/relationships/hyperlink" Target="https://www.loom.com/i/4ecb254288ce482aab68cd3a87932a9f" TargetMode="External"/><Relationship Id="rId48" Type="http://schemas.openxmlformats.org/officeDocument/2006/relationships/hyperlink" Target="https://www.loom.com/i/fa267c79766042ad8f236090f602634c" TargetMode="External"/><Relationship Id="rId56" Type="http://schemas.openxmlformats.org/officeDocument/2006/relationships/hyperlink" Target="https://www.loom.com/i/14940677d12b447b82eb7466de497619" TargetMode="External"/><Relationship Id="rId64" Type="http://schemas.openxmlformats.org/officeDocument/2006/relationships/hyperlink" Target="https://www.loom.com/i/3006560e6886487c8c22558a57c05e29" TargetMode="External"/><Relationship Id="rId8" Type="http://schemas.openxmlformats.org/officeDocument/2006/relationships/hyperlink" Target="https://www.loom.com/share/9233a91f01474185879b2bc8fe67b67a" TargetMode="External"/><Relationship Id="rId51" Type="http://schemas.openxmlformats.org/officeDocument/2006/relationships/hyperlink" Target="https://www.loom.com/i/ae8cc23bbe3a42bfa78f20098c6fc65a" TargetMode="External"/><Relationship Id="rId3" Type="http://schemas.openxmlformats.org/officeDocument/2006/relationships/hyperlink" Target="https://www.loom.com/i/f7242b36f7e747fe9f2e26a581065b54" TargetMode="External"/><Relationship Id="rId12" Type="http://schemas.openxmlformats.org/officeDocument/2006/relationships/hyperlink" Target="https://www.loom.com/share/7ebb6a8eba124d14a7982e709aebabf5" TargetMode="External"/><Relationship Id="rId17" Type="http://schemas.openxmlformats.org/officeDocument/2006/relationships/hyperlink" Target="https://www.loom.com/i/ff8a2d7f78354ad4b3137415177fb97f" TargetMode="External"/><Relationship Id="rId25" Type="http://schemas.openxmlformats.org/officeDocument/2006/relationships/hyperlink" Target="https://www.loom.com/i/09c58f524e1343f89369d186dfd5f1e3" TargetMode="External"/><Relationship Id="rId33" Type="http://schemas.openxmlformats.org/officeDocument/2006/relationships/hyperlink" Target="https://www.loom.com/i/4cfd037008044c2b8130dce4582861b1" TargetMode="External"/><Relationship Id="rId38" Type="http://schemas.openxmlformats.org/officeDocument/2006/relationships/hyperlink" Target="https://www.loom.com/i/fe61783ab35f4e108e983ca195fd1193" TargetMode="External"/><Relationship Id="rId46" Type="http://schemas.openxmlformats.org/officeDocument/2006/relationships/hyperlink" Target="https://www.loom.com/share/5eb1a725fad547c0a6c0da13eeeae05e" TargetMode="External"/><Relationship Id="rId59" Type="http://schemas.openxmlformats.org/officeDocument/2006/relationships/hyperlink" Target="https://www.loom.com/share/59ed2bf7cdaf4882b12b019681a5412c" TargetMode="External"/><Relationship Id="rId67" Type="http://schemas.openxmlformats.org/officeDocument/2006/relationships/hyperlink" Target="https://www.loom.com/i/067f53a15eff42268d736063769c8805" TargetMode="External"/><Relationship Id="rId20" Type="http://schemas.openxmlformats.org/officeDocument/2006/relationships/hyperlink" Target="https://www.loom.com/i/4c9b087ae68e45cc8266470a7ffeeef3" TargetMode="External"/><Relationship Id="rId41" Type="http://schemas.openxmlformats.org/officeDocument/2006/relationships/hyperlink" Target="https://www.loom.com/share/79d3f4ba5dac48bebd916b3ed339dc65" TargetMode="External"/><Relationship Id="rId54" Type="http://schemas.openxmlformats.org/officeDocument/2006/relationships/hyperlink" Target="https://www.loom.com/share/88059e66fde94c09ab6b16ff8951444f" TargetMode="External"/><Relationship Id="rId62" Type="http://schemas.openxmlformats.org/officeDocument/2006/relationships/hyperlink" Target="https://www.loom.com/share/5237b127a00f455283198e1559756ef9" TargetMode="External"/><Relationship Id="rId1" Type="http://schemas.openxmlformats.org/officeDocument/2006/relationships/hyperlink" Target="https://www.loom.com/i/2710ccd82d5140c3becbf753e4a1c986" TargetMode="External"/><Relationship Id="rId6" Type="http://schemas.openxmlformats.org/officeDocument/2006/relationships/hyperlink" Target="https://www.loom.com/i/82ec423a054e4608805ba95517ebba8b" TargetMode="External"/><Relationship Id="rId15" Type="http://schemas.openxmlformats.org/officeDocument/2006/relationships/hyperlink" Target="https://www.loom.com/i/851da11be2e34f5798a9bf3bd460a785" TargetMode="External"/><Relationship Id="rId23" Type="http://schemas.openxmlformats.org/officeDocument/2006/relationships/hyperlink" Target="https://www.loom.com/i/56f2a00b07e042cb82b3f90fddec8bd3" TargetMode="External"/><Relationship Id="rId28" Type="http://schemas.openxmlformats.org/officeDocument/2006/relationships/hyperlink" Target="https://www.loom.com/i/182c4dab9450449fb92eda1a36c73d2a" TargetMode="External"/><Relationship Id="rId36" Type="http://schemas.openxmlformats.org/officeDocument/2006/relationships/hyperlink" Target="https://www.loom.com/share/3942b1a55a5e4d28b4aeb07b632545dc" TargetMode="External"/><Relationship Id="rId49" Type="http://schemas.openxmlformats.org/officeDocument/2006/relationships/hyperlink" Target="https://www.loom.com/share/001e7758bb234ecc9c5b95559bed99dd" TargetMode="External"/><Relationship Id="rId57" Type="http://schemas.openxmlformats.org/officeDocument/2006/relationships/hyperlink" Target="https://www.loom.com/share/23ff13564c99469c88f3662e4680ea00" TargetMode="External"/><Relationship Id="rId10" Type="http://schemas.openxmlformats.org/officeDocument/2006/relationships/hyperlink" Target="https://www.loom.com/i/f43f3b8086e44a32b8cfc63861532677" TargetMode="External"/><Relationship Id="rId31" Type="http://schemas.openxmlformats.org/officeDocument/2006/relationships/hyperlink" Target="https://www.loom.com/i/fe44fafb421d4c5196be4da9a4084431" TargetMode="External"/><Relationship Id="rId44" Type="http://schemas.openxmlformats.org/officeDocument/2006/relationships/hyperlink" Target="https://www.loom.com/i/f24e847425ba41a7845a09bbc3421eae" TargetMode="External"/><Relationship Id="rId52" Type="http://schemas.openxmlformats.org/officeDocument/2006/relationships/hyperlink" Target="https://www.loom.com/i/11ccb33eaaa1480db1a32762b6cd9192" TargetMode="External"/><Relationship Id="rId60" Type="http://schemas.openxmlformats.org/officeDocument/2006/relationships/hyperlink" Target="https://www.loom.com/i/740f273ca5a748218e2126bcb67db36f" TargetMode="External"/><Relationship Id="rId65" Type="http://schemas.openxmlformats.org/officeDocument/2006/relationships/hyperlink" Target="https://www.loom.com/i/43e3b358ed054d07b689ece878353499" TargetMode="External"/><Relationship Id="rId4" Type="http://schemas.openxmlformats.org/officeDocument/2006/relationships/hyperlink" Target="https://www.loom.com/i/5e363939e5f9420abefb813cf5184527" TargetMode="External"/><Relationship Id="rId9" Type="http://schemas.openxmlformats.org/officeDocument/2006/relationships/hyperlink" Target="https://www.loom.com/i/b4bfd9a7ec20430f9ce3a910c2459f62" TargetMode="External"/><Relationship Id="rId13" Type="http://schemas.openxmlformats.org/officeDocument/2006/relationships/hyperlink" Target="https://www.loom.com/i/fb68b53ce98d4c41a4e73123e7f49fbd" TargetMode="External"/><Relationship Id="rId18" Type="http://schemas.openxmlformats.org/officeDocument/2006/relationships/hyperlink" Target="https://www.loom.com/i/47fbc335804b43069c94912e93f7702b" TargetMode="External"/><Relationship Id="rId39" Type="http://schemas.openxmlformats.org/officeDocument/2006/relationships/hyperlink" Target="https://www.loom.com/i/a7755d4ca26b4aaa925bf929adc5be88"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www.loom.com/i/659506f0c9ba489ba3587f165889b3d3" TargetMode="External"/><Relationship Id="rId21" Type="http://schemas.openxmlformats.org/officeDocument/2006/relationships/hyperlink" Target="https://www.loom.com/i/d922762ca06f4a508f7032d5f38bde68" TargetMode="External"/><Relationship Id="rId42" Type="http://schemas.openxmlformats.org/officeDocument/2006/relationships/hyperlink" Target="https://www.loom.com/i/7d5dd03071a3446b81bc8e1f2e42ff13" TargetMode="External"/><Relationship Id="rId63" Type="http://schemas.openxmlformats.org/officeDocument/2006/relationships/hyperlink" Target="https://www.loom.com/share/c0643edab463447fa6d13ef443a64f87" TargetMode="External"/><Relationship Id="rId84" Type="http://schemas.openxmlformats.org/officeDocument/2006/relationships/hyperlink" Target="https://www.loom.com/i/91bd58c986d4426ab9ca6142fba101a5" TargetMode="External"/><Relationship Id="rId138" Type="http://schemas.openxmlformats.org/officeDocument/2006/relationships/hyperlink" Target="https://www.loom.com/i/4873a435444a4614b65e5c77a58565a9" TargetMode="External"/><Relationship Id="rId159" Type="http://schemas.openxmlformats.org/officeDocument/2006/relationships/hyperlink" Target="https://www.loom.com/i/bce9bfe66cb04b1f9f3a7be980809c6b" TargetMode="External"/><Relationship Id="rId170" Type="http://schemas.openxmlformats.org/officeDocument/2006/relationships/hyperlink" Target="https://www.loom.com/i/de1d3db0242a46a58a76d342bf4d6748" TargetMode="External"/><Relationship Id="rId107" Type="http://schemas.openxmlformats.org/officeDocument/2006/relationships/hyperlink" Target="https://www.loom.com/i/1acfb87e26cc48a0b1100504bb904bc5" TargetMode="External"/><Relationship Id="rId11" Type="http://schemas.openxmlformats.org/officeDocument/2006/relationships/hyperlink" Target="https://www.loom.com/i/1a7afed79cb846bb8f324660dbcee2f6" TargetMode="External"/><Relationship Id="rId32" Type="http://schemas.openxmlformats.org/officeDocument/2006/relationships/hyperlink" Target="https://www.loom.com/i/a5a434a3dda74a6299020c2ad538d8d9" TargetMode="External"/><Relationship Id="rId53" Type="http://schemas.openxmlformats.org/officeDocument/2006/relationships/hyperlink" Target="https://www.loom.com/i/81fff0d7160847ba91324a88c27557a6" TargetMode="External"/><Relationship Id="rId74" Type="http://schemas.openxmlformats.org/officeDocument/2006/relationships/hyperlink" Target="https://www.loom.com/i/f18b1976ed76438aa7827ad33409c0ce" TargetMode="External"/><Relationship Id="rId128" Type="http://schemas.openxmlformats.org/officeDocument/2006/relationships/hyperlink" Target="https://www.loom.com/i/df54c70db697438b8059742165810cb5" TargetMode="External"/><Relationship Id="rId149" Type="http://schemas.openxmlformats.org/officeDocument/2006/relationships/hyperlink" Target="https://www.loom.com/i/f3b7db87c440464f9a45f4e12fba06b1" TargetMode="External"/><Relationship Id="rId5" Type="http://schemas.openxmlformats.org/officeDocument/2006/relationships/hyperlink" Target="https://www.loom.com/i/4c6dea5f804f4135802743523bd700ba" TargetMode="External"/><Relationship Id="rId95" Type="http://schemas.openxmlformats.org/officeDocument/2006/relationships/hyperlink" Target="https://www.loom.com/i/43e79d1afac2475e9029959b8a03b111" TargetMode="External"/><Relationship Id="rId160" Type="http://schemas.openxmlformats.org/officeDocument/2006/relationships/hyperlink" Target="https://www.loom.com/i/df9e5be33f6446c5b7a6c4ea278d8b10" TargetMode="External"/><Relationship Id="rId181" Type="http://schemas.openxmlformats.org/officeDocument/2006/relationships/hyperlink" Target="https://www.loom.com/share/594b8431f653411a97d911fc3acfb340" TargetMode="External"/><Relationship Id="rId22" Type="http://schemas.openxmlformats.org/officeDocument/2006/relationships/hyperlink" Target="https://www.loom.com/i/72da5a83e15d488d8bdb1d9a19acf3c9" TargetMode="External"/><Relationship Id="rId43" Type="http://schemas.openxmlformats.org/officeDocument/2006/relationships/hyperlink" Target="https://www.loom.com/share/0bb4e33fc96f44e587dcb4b4b509d682" TargetMode="External"/><Relationship Id="rId64" Type="http://schemas.openxmlformats.org/officeDocument/2006/relationships/hyperlink" Target="https://www.loom.com/share/e204f9f9d7de4cd58a14a6d5a86673db" TargetMode="External"/><Relationship Id="rId118" Type="http://schemas.openxmlformats.org/officeDocument/2006/relationships/hyperlink" Target="https://www.loom.com/i/2fc360a12b1440fd9302aa08174acd7d" TargetMode="External"/><Relationship Id="rId139" Type="http://schemas.openxmlformats.org/officeDocument/2006/relationships/hyperlink" Target="https://www.loom.com/i/c67d4507e6d44edd98bf44a3fc64f632" TargetMode="External"/><Relationship Id="rId85" Type="http://schemas.openxmlformats.org/officeDocument/2006/relationships/hyperlink" Target="https://www.loom.com/i/c431e98e07c44dceab4d0a6155ec4155" TargetMode="External"/><Relationship Id="rId150" Type="http://schemas.openxmlformats.org/officeDocument/2006/relationships/hyperlink" Target="https://loom.com/i/4d80276ac90441358166946168934370" TargetMode="External"/><Relationship Id="rId171" Type="http://schemas.openxmlformats.org/officeDocument/2006/relationships/hyperlink" Target="https://www.loom.com/i/46adf2def24e40bab1c424eeb9671a7f" TargetMode="External"/><Relationship Id="rId12" Type="http://schemas.openxmlformats.org/officeDocument/2006/relationships/hyperlink" Target="https://www.loom.com/i/a9f8bc9fc387444380d11ca4b99f3306" TargetMode="External"/><Relationship Id="rId33" Type="http://schemas.openxmlformats.org/officeDocument/2006/relationships/hyperlink" Target="https://loom.com/i/3bf3442af92e4b479619b484b03f3fd8" TargetMode="External"/><Relationship Id="rId108" Type="http://schemas.openxmlformats.org/officeDocument/2006/relationships/hyperlink" Target="https://loom.com/i/1fb5cf957b224567a6f6774bf70557ab" TargetMode="External"/><Relationship Id="rId129" Type="http://schemas.openxmlformats.org/officeDocument/2006/relationships/hyperlink" Target="https://www.loom.com/i/0b2117d61f714940888b09e4ae6c4b33" TargetMode="External"/><Relationship Id="rId54" Type="http://schemas.openxmlformats.org/officeDocument/2006/relationships/hyperlink" Target="https://www.loom.com/i/65cbd352ceab4cabb0c7fa7e95a44ae9" TargetMode="External"/><Relationship Id="rId75" Type="http://schemas.openxmlformats.org/officeDocument/2006/relationships/hyperlink" Target="https://www.loom.com/i/11b212d5a54f4497a5154a0d9d3a5746" TargetMode="External"/><Relationship Id="rId96" Type="http://schemas.openxmlformats.org/officeDocument/2006/relationships/hyperlink" Target="https://www.loom.com/share/f4ca0c8b238f4c6cab0fc47bf35bbd75" TargetMode="External"/><Relationship Id="rId140" Type="http://schemas.openxmlformats.org/officeDocument/2006/relationships/hyperlink" Target="https://www.loom.com/i/a1dc9994bd6842448d6023c116e7e013" TargetMode="External"/><Relationship Id="rId161" Type="http://schemas.openxmlformats.org/officeDocument/2006/relationships/hyperlink" Target="https://www.loom.com/i/4c81096836534fb7bd5c264a61e3659e" TargetMode="External"/><Relationship Id="rId6" Type="http://schemas.openxmlformats.org/officeDocument/2006/relationships/hyperlink" Target="https://www.loom.com/i/6ac549b4b46e41f88055846f175096b8" TargetMode="External"/><Relationship Id="rId23" Type="http://schemas.openxmlformats.org/officeDocument/2006/relationships/hyperlink" Target="https://www.loom.com/i/90ee089da3f446ef93a062a961268da2" TargetMode="External"/><Relationship Id="rId119" Type="http://schemas.openxmlformats.org/officeDocument/2006/relationships/hyperlink" Target="https://www.loom.com/i/9e3be3b562e640e18c36253c6c99ad3b" TargetMode="External"/><Relationship Id="rId44" Type="http://schemas.openxmlformats.org/officeDocument/2006/relationships/hyperlink" Target="https://www.loom.com/i/b6acc34740454010afcca94c27306081" TargetMode="External"/><Relationship Id="rId60" Type="http://schemas.openxmlformats.org/officeDocument/2006/relationships/hyperlink" Target="https://www.loom.com/i/80b19d3b71d84e8ca16e63d5ef1a619e" TargetMode="External"/><Relationship Id="rId65" Type="http://schemas.openxmlformats.org/officeDocument/2006/relationships/hyperlink" Target="https://www.loom.com/i/dd114f54b96545a9ad4aedca6af2536d" TargetMode="External"/><Relationship Id="rId81" Type="http://schemas.openxmlformats.org/officeDocument/2006/relationships/hyperlink" Target="https://www.loom.com/i/dd5666e2bd494e55bf154e7e827b2778" TargetMode="External"/><Relationship Id="rId86" Type="http://schemas.openxmlformats.org/officeDocument/2006/relationships/hyperlink" Target="https://www.loom.com/i/4082cfefb27645df8684bc00534d1137" TargetMode="External"/><Relationship Id="rId130" Type="http://schemas.openxmlformats.org/officeDocument/2006/relationships/hyperlink" Target="https://www.loom.com/i/c286f31df1244a49b12208dc7cd44808" TargetMode="External"/><Relationship Id="rId135" Type="http://schemas.openxmlformats.org/officeDocument/2006/relationships/hyperlink" Target="https://www.loom.com/i/bd189aac7be54a8e87142ae19d1491cf" TargetMode="External"/><Relationship Id="rId151" Type="http://schemas.openxmlformats.org/officeDocument/2006/relationships/hyperlink" Target="https://www.loom.com/i/76229402b00c4cc7b0c672180e7a93aa" TargetMode="External"/><Relationship Id="rId156" Type="http://schemas.openxmlformats.org/officeDocument/2006/relationships/hyperlink" Target="https://www.loom.com/i/be8bc6f4b9ac42acb8666343d840c596" TargetMode="External"/><Relationship Id="rId177" Type="http://schemas.openxmlformats.org/officeDocument/2006/relationships/hyperlink" Target="https://www.loom.com/share/bbdeed84a462411295df4f0600da81da" TargetMode="External"/><Relationship Id="rId172" Type="http://schemas.openxmlformats.org/officeDocument/2006/relationships/hyperlink" Target="https://loom.com/i/9253e5fb6265479cae58f64b65cfa2e9" TargetMode="External"/><Relationship Id="rId13" Type="http://schemas.openxmlformats.org/officeDocument/2006/relationships/hyperlink" Target="https://www.loom.com/i/226d3f6f67ac480791f3c4e970bf9fd6" TargetMode="External"/><Relationship Id="rId18" Type="http://schemas.openxmlformats.org/officeDocument/2006/relationships/hyperlink" Target="https://www.loom.com/i/62614a17ace5415db491d1f79c860141" TargetMode="External"/><Relationship Id="rId39" Type="http://schemas.openxmlformats.org/officeDocument/2006/relationships/hyperlink" Target="https://www.loom.com/i/79b55267c9e2420bbc78abaae1efee65" TargetMode="External"/><Relationship Id="rId109" Type="http://schemas.openxmlformats.org/officeDocument/2006/relationships/hyperlink" Target="https://loom.com/i/d99da16497464bf69d4dd8087b710639" TargetMode="External"/><Relationship Id="rId34" Type="http://schemas.openxmlformats.org/officeDocument/2006/relationships/hyperlink" Target="https://www.loom.com/i/1b4b6675f90546449fb438881cec8a5a" TargetMode="External"/><Relationship Id="rId50" Type="http://schemas.openxmlformats.org/officeDocument/2006/relationships/hyperlink" Target="https://www.loom.com/i/de018ab84bd24797a20c7e621b3f1753" TargetMode="External"/><Relationship Id="rId55" Type="http://schemas.openxmlformats.org/officeDocument/2006/relationships/hyperlink" Target="https://www.loom.com/i/f2cb47a339e4478681162a35be18f02f" TargetMode="External"/><Relationship Id="rId76" Type="http://schemas.openxmlformats.org/officeDocument/2006/relationships/hyperlink" Target="https://www.loom.com/i/08b32296e8fe404593397329db0176a9" TargetMode="External"/><Relationship Id="rId97" Type="http://schemas.openxmlformats.org/officeDocument/2006/relationships/hyperlink" Target="https://www.loom.com/i/b1dd1aa0ae314e7f8bd8c4fdd55914b3" TargetMode="External"/><Relationship Id="rId104" Type="http://schemas.openxmlformats.org/officeDocument/2006/relationships/hyperlink" Target="https://loom.com/i/7b390fc61cb74bb09b68f01b652137ef" TargetMode="External"/><Relationship Id="rId120" Type="http://schemas.openxmlformats.org/officeDocument/2006/relationships/hyperlink" Target="https://www.loom.com/i/e66580e7870144658094f00389bb97bb" TargetMode="External"/><Relationship Id="rId125" Type="http://schemas.openxmlformats.org/officeDocument/2006/relationships/hyperlink" Target="https://www.loom.com/i/0c0749c7c8df4a8b8d49349845ca46bf" TargetMode="External"/><Relationship Id="rId141" Type="http://schemas.openxmlformats.org/officeDocument/2006/relationships/hyperlink" Target="https://www.loom.com/share/c9caae2f9fe7474fac5bfe4d53dd8601" TargetMode="External"/><Relationship Id="rId146" Type="http://schemas.openxmlformats.org/officeDocument/2006/relationships/hyperlink" Target="https://www.loom.com/i/cbba9b663dae467da76021b191db68c4" TargetMode="External"/><Relationship Id="rId167" Type="http://schemas.openxmlformats.org/officeDocument/2006/relationships/hyperlink" Target="https://www.loom.com/i/f64d5af0b7e04b5ab7235851cb7f93a6" TargetMode="External"/><Relationship Id="rId7" Type="http://schemas.openxmlformats.org/officeDocument/2006/relationships/hyperlink" Target="https://www.loom.com/i/9d0370c994a2426a98ee6f81a001a000" TargetMode="External"/><Relationship Id="rId71" Type="http://schemas.openxmlformats.org/officeDocument/2006/relationships/hyperlink" Target="https://www.loom.com/i/da4ffac6a7dd4028a8393b85a0c9a77c" TargetMode="External"/><Relationship Id="rId92" Type="http://schemas.openxmlformats.org/officeDocument/2006/relationships/hyperlink" Target="https://www.loom.com/i/b197ddab5d2c40189805f3062207a468" TargetMode="External"/><Relationship Id="rId162" Type="http://schemas.openxmlformats.org/officeDocument/2006/relationships/hyperlink" Target="https://www.loom.com/i/d1353c9d24fd462eb13428573fbe6226" TargetMode="External"/><Relationship Id="rId2" Type="http://schemas.openxmlformats.org/officeDocument/2006/relationships/hyperlink" Target="https://www.loom.com/i/39fff6de6e984896b6669ca420f84d7d" TargetMode="External"/><Relationship Id="rId29" Type="http://schemas.openxmlformats.org/officeDocument/2006/relationships/hyperlink" Target="https://www.loom.com/i/2c308fe2c6ca4138bee3a0fa907acabd" TargetMode="External"/><Relationship Id="rId24" Type="http://schemas.openxmlformats.org/officeDocument/2006/relationships/hyperlink" Target="https://loom.com/i/91c260723ec24fd1b5e6470eaf0a2837" TargetMode="External"/><Relationship Id="rId40" Type="http://schemas.openxmlformats.org/officeDocument/2006/relationships/hyperlink" Target="https://www.loom.com/i/3d0e175d8bc940889f9671db8f11607c" TargetMode="External"/><Relationship Id="rId45" Type="http://schemas.openxmlformats.org/officeDocument/2006/relationships/hyperlink" Target="https://www.loom.com/share/a54c2fb3b7f94e3a88e714d356920ea7" TargetMode="External"/><Relationship Id="rId66" Type="http://schemas.openxmlformats.org/officeDocument/2006/relationships/hyperlink" Target="https://www.loom.com/share/687b0315fe3f4f1e8c15a1ecf1b5105f" TargetMode="External"/><Relationship Id="rId87" Type="http://schemas.openxmlformats.org/officeDocument/2006/relationships/hyperlink" Target="https://www.loom.com/i/57e9c088d01c443eb6c98aab1eb5dd10" TargetMode="External"/><Relationship Id="rId110" Type="http://schemas.openxmlformats.org/officeDocument/2006/relationships/hyperlink" Target="https://www.loom.com/i/41ce7e2ca408418eae121288d803cfc3" TargetMode="External"/><Relationship Id="rId115" Type="http://schemas.openxmlformats.org/officeDocument/2006/relationships/hyperlink" Target="https://www.loom.com/i/ac035b43c90646419e9bab5e92324513" TargetMode="External"/><Relationship Id="rId131" Type="http://schemas.openxmlformats.org/officeDocument/2006/relationships/hyperlink" Target="https://www.loom.com/i/c43bd819dc4441a0a763697e5216d0d2" TargetMode="External"/><Relationship Id="rId136" Type="http://schemas.openxmlformats.org/officeDocument/2006/relationships/hyperlink" Target="https://www.loom.com/i/9266cf82462e4a7dba4f5f68079ff61d" TargetMode="External"/><Relationship Id="rId157" Type="http://schemas.openxmlformats.org/officeDocument/2006/relationships/hyperlink" Target="https://www.loom.com/i/e2db4633c3ca45c79ad2f6f62e6a964d" TargetMode="External"/><Relationship Id="rId178" Type="http://schemas.openxmlformats.org/officeDocument/2006/relationships/hyperlink" Target="https://www.loom.com/share/60eaeb59747540109cfd5163db6475a4" TargetMode="External"/><Relationship Id="rId61" Type="http://schemas.openxmlformats.org/officeDocument/2006/relationships/hyperlink" Target="https://www.loom.com/share/4bff73722cf64804b753042fbf0b4462" TargetMode="External"/><Relationship Id="rId82" Type="http://schemas.openxmlformats.org/officeDocument/2006/relationships/hyperlink" Target="https://www.loom.com/i/e52297f42d824d6982bccd03af871ea4" TargetMode="External"/><Relationship Id="rId152" Type="http://schemas.openxmlformats.org/officeDocument/2006/relationships/hyperlink" Target="https://www.loom.com/i/79aa724006164e438e4253c77090d3fa" TargetMode="External"/><Relationship Id="rId173" Type="http://schemas.openxmlformats.org/officeDocument/2006/relationships/hyperlink" Target="https://www.loom.com/i/f857ce59d0fc4a8faea3973a91fa3800" TargetMode="External"/><Relationship Id="rId19" Type="http://schemas.openxmlformats.org/officeDocument/2006/relationships/hyperlink" Target="https://www.loom.com/share/6c6d8ddaa76a42d1a1bbdc37bd2404d1" TargetMode="External"/><Relationship Id="rId14" Type="http://schemas.openxmlformats.org/officeDocument/2006/relationships/hyperlink" Target="https://www.loom.com/i/4ca870837a6a41cabd620f2c36646071" TargetMode="External"/><Relationship Id="rId30" Type="http://schemas.openxmlformats.org/officeDocument/2006/relationships/hyperlink" Target="https://www.loom.com/i/b20597f147864b6ab62f657cfffadc10" TargetMode="External"/><Relationship Id="rId35" Type="http://schemas.openxmlformats.org/officeDocument/2006/relationships/hyperlink" Target="https://www.loom.com/i/da2b3efb5f154e879798ca0b56835d9a" TargetMode="External"/><Relationship Id="rId56" Type="http://schemas.openxmlformats.org/officeDocument/2006/relationships/hyperlink" Target="https://www.loom.com/i/bf0bdddef77745f885be9fd9be3b7926" TargetMode="External"/><Relationship Id="rId77" Type="http://schemas.openxmlformats.org/officeDocument/2006/relationships/hyperlink" Target="https://www.loom.com/share/08d61d24bc474ed3a7490e9d11060259" TargetMode="External"/><Relationship Id="rId100" Type="http://schemas.openxmlformats.org/officeDocument/2006/relationships/hyperlink" Target="https://www.loom.com/i/75dec64d98be4a15bb79a625d44beb33" TargetMode="External"/><Relationship Id="rId105" Type="http://schemas.openxmlformats.org/officeDocument/2006/relationships/hyperlink" Target="https://www.loom.com/i/f28f246587d34b11afdc71379e1e1bf3" TargetMode="External"/><Relationship Id="rId126" Type="http://schemas.openxmlformats.org/officeDocument/2006/relationships/hyperlink" Target="https://www.loom.com/i/6f1f6f1fed8a4c688d93132e5043c005" TargetMode="External"/><Relationship Id="rId147" Type="http://schemas.openxmlformats.org/officeDocument/2006/relationships/hyperlink" Target="https://www.loom.com/i/a8816c9c7f4e4c7f8c0feab64dfaa446" TargetMode="External"/><Relationship Id="rId168" Type="http://schemas.openxmlformats.org/officeDocument/2006/relationships/hyperlink" Target="https://www.loom.com/i/771b66983c1b4a1592102f9a243e6987" TargetMode="External"/><Relationship Id="rId8" Type="http://schemas.openxmlformats.org/officeDocument/2006/relationships/hyperlink" Target="https://www.loom.com/i/d80c7a00c260403ca44c7f3a047fd75e" TargetMode="External"/><Relationship Id="rId51" Type="http://schemas.openxmlformats.org/officeDocument/2006/relationships/hyperlink" Target="https://www.loom.com/i/8ce3268531194f7180e6fdce7b4e3d18" TargetMode="External"/><Relationship Id="rId72" Type="http://schemas.openxmlformats.org/officeDocument/2006/relationships/hyperlink" Target="https://www.loom.com/i/22fc14694e56460ea20e71fe027ad8d1" TargetMode="External"/><Relationship Id="rId93" Type="http://schemas.openxmlformats.org/officeDocument/2006/relationships/hyperlink" Target="https://www.loom.com/i/176a4dddde8a4b2d934a14c0cc70cabb" TargetMode="External"/><Relationship Id="rId98" Type="http://schemas.openxmlformats.org/officeDocument/2006/relationships/hyperlink" Target="https://www.loom.com/i/6e7717945aad431cac2ae86baa7bc97c" TargetMode="External"/><Relationship Id="rId121" Type="http://schemas.openxmlformats.org/officeDocument/2006/relationships/hyperlink" Target="https://www.loom.com/i/16b428057a2840d2858515575b53979e" TargetMode="External"/><Relationship Id="rId142" Type="http://schemas.openxmlformats.org/officeDocument/2006/relationships/hyperlink" Target="https://www.loom.com/i/19dd07b5d3f14d67a6c08ecd43dc0a92" TargetMode="External"/><Relationship Id="rId163" Type="http://schemas.openxmlformats.org/officeDocument/2006/relationships/hyperlink" Target="https://www.loom.com/i/b1adf14867c9438c950e19f681696d6d" TargetMode="External"/><Relationship Id="rId3" Type="http://schemas.openxmlformats.org/officeDocument/2006/relationships/hyperlink" Target="https://www.loom.com/i/70d8e06fe799462889efbf308652abc2" TargetMode="External"/><Relationship Id="rId25" Type="http://schemas.openxmlformats.org/officeDocument/2006/relationships/hyperlink" Target="https://www.loom.com/i/d5d7262522d148f6ae5ec77bd3a82599" TargetMode="External"/><Relationship Id="rId46" Type="http://schemas.openxmlformats.org/officeDocument/2006/relationships/hyperlink" Target="https://www.loom.com/i/3ede1f0f5db8486db622173e75b4ac1d" TargetMode="External"/><Relationship Id="rId67" Type="http://schemas.openxmlformats.org/officeDocument/2006/relationships/hyperlink" Target="https://www.loom.com/i/75208dc218464586bd3fed706166e4cd" TargetMode="External"/><Relationship Id="rId116" Type="http://schemas.openxmlformats.org/officeDocument/2006/relationships/hyperlink" Target="https://www.loom.com/i/e9dfc3f49ce84eaaa9623dbfe64bfb7a" TargetMode="External"/><Relationship Id="rId137" Type="http://schemas.openxmlformats.org/officeDocument/2006/relationships/hyperlink" Target="https://www.loom.com/i/2d5d28d071fc438f864dd2ff3813b70d" TargetMode="External"/><Relationship Id="rId158" Type="http://schemas.openxmlformats.org/officeDocument/2006/relationships/hyperlink" Target="https://loom.com/i/f48e7aacb7704b8b9cf1dce21f5e3f7f" TargetMode="External"/><Relationship Id="rId20" Type="http://schemas.openxmlformats.org/officeDocument/2006/relationships/hyperlink" Target="https://www.loom.com/share/6c6d8ddaa76a42d1a1bbdc37bd2404d1" TargetMode="External"/><Relationship Id="rId41" Type="http://schemas.openxmlformats.org/officeDocument/2006/relationships/hyperlink" Target="https://www.loom.com/i/bf5a3bc1805441eda98a8a00558c8d5c" TargetMode="External"/><Relationship Id="rId62" Type="http://schemas.openxmlformats.org/officeDocument/2006/relationships/hyperlink" Target="https://www.loom.com/share/7920d2cf29c2440ca816a4e310b2b6af" TargetMode="External"/><Relationship Id="rId83" Type="http://schemas.openxmlformats.org/officeDocument/2006/relationships/hyperlink" Target="https://www.loom.com/i/fbac3f99cf134cb5b447000125bc5327" TargetMode="External"/><Relationship Id="rId88" Type="http://schemas.openxmlformats.org/officeDocument/2006/relationships/hyperlink" Target="https://www.loom.com/i/351334bfcb0d4c9c869542b745ca02d3" TargetMode="External"/><Relationship Id="rId111" Type="http://schemas.openxmlformats.org/officeDocument/2006/relationships/hyperlink" Target="https://www.loom.com/i/5ec375ae95a740bfb0fca0956d831af1" TargetMode="External"/><Relationship Id="rId132" Type="http://schemas.openxmlformats.org/officeDocument/2006/relationships/hyperlink" Target="https://loom.com/i/6339c541b28942049f2af56d82110457" TargetMode="External"/><Relationship Id="rId153" Type="http://schemas.openxmlformats.org/officeDocument/2006/relationships/hyperlink" Target="https://www.loom.com/share/ad81b4386ca64a7aa78ab0c9d669b419" TargetMode="External"/><Relationship Id="rId174" Type="http://schemas.openxmlformats.org/officeDocument/2006/relationships/hyperlink" Target="https://www.loom.com/share/b8a112bf39904bc6bfcfc5d3a789578f" TargetMode="External"/><Relationship Id="rId179" Type="http://schemas.openxmlformats.org/officeDocument/2006/relationships/hyperlink" Target="https://www.loom.com/share/4b022bc92aba4e3cb4d5a696b19e5dd2" TargetMode="External"/><Relationship Id="rId15" Type="http://schemas.openxmlformats.org/officeDocument/2006/relationships/hyperlink" Target="https://www.loom.com/i/c3a63723df604d46a2f47352af02283e" TargetMode="External"/><Relationship Id="rId36" Type="http://schemas.openxmlformats.org/officeDocument/2006/relationships/hyperlink" Target="https://www.loom.com/i/2895b651d1e440bb86a11656d83319bc" TargetMode="External"/><Relationship Id="rId57" Type="http://schemas.openxmlformats.org/officeDocument/2006/relationships/hyperlink" Target="https://www.loom.com/i/50b697e835cc43ef8be31ba4c59493a1" TargetMode="External"/><Relationship Id="rId106" Type="http://schemas.openxmlformats.org/officeDocument/2006/relationships/hyperlink" Target="https://www.loom.com/i/def3b75a9b1a47aa86520455d83472b4" TargetMode="External"/><Relationship Id="rId127" Type="http://schemas.openxmlformats.org/officeDocument/2006/relationships/hyperlink" Target="https://www.loom.com/i/7e7536cb2fef4994abeba536fbeaa00f" TargetMode="External"/><Relationship Id="rId10" Type="http://schemas.openxmlformats.org/officeDocument/2006/relationships/hyperlink" Target="https://www.loom.com/share/01bea74e1cda439ab71eeae877c5520a" TargetMode="External"/><Relationship Id="rId31" Type="http://schemas.openxmlformats.org/officeDocument/2006/relationships/hyperlink" Target="https://www.loom.com/i/a8013e13ab7f4206a33a026469fce2b7" TargetMode="External"/><Relationship Id="rId52" Type="http://schemas.openxmlformats.org/officeDocument/2006/relationships/hyperlink" Target="https://www.loom.com/i/6c0fb8588e03499abc0e9e3bb2a9e5f0" TargetMode="External"/><Relationship Id="rId73" Type="http://schemas.openxmlformats.org/officeDocument/2006/relationships/hyperlink" Target="https://www.loom.com/i/9bd0cf0ebfad477eb8812e6af53e1cc9" TargetMode="External"/><Relationship Id="rId78" Type="http://schemas.openxmlformats.org/officeDocument/2006/relationships/hyperlink" Target="https://www.loom.com/share/08d61d24bc474ed3a7490e9d11060259" TargetMode="External"/><Relationship Id="rId94" Type="http://schemas.openxmlformats.org/officeDocument/2006/relationships/hyperlink" Target="https://www.loom.com/i/89c27af4e84a40d4bedd36a73b21b083" TargetMode="External"/><Relationship Id="rId99" Type="http://schemas.openxmlformats.org/officeDocument/2006/relationships/hyperlink" Target="https://www.loom.com/share/0bea1a7e88374c909f1522c40049ab03" TargetMode="External"/><Relationship Id="rId101" Type="http://schemas.openxmlformats.org/officeDocument/2006/relationships/hyperlink" Target="https://www.loom.com/i/5de83887328a405abd951657015dafd1" TargetMode="External"/><Relationship Id="rId122" Type="http://schemas.openxmlformats.org/officeDocument/2006/relationships/hyperlink" Target="https://www.loom.com/i/2007b812c28141309bb07b9e1be1ffae" TargetMode="External"/><Relationship Id="rId143" Type="http://schemas.openxmlformats.org/officeDocument/2006/relationships/hyperlink" Target="https://www.loom.com/i/c00e393650454c8a972d45e9682b7e60" TargetMode="External"/><Relationship Id="rId148" Type="http://schemas.openxmlformats.org/officeDocument/2006/relationships/hyperlink" Target="https://www.loom.com/i/b736f9387be44a768cc9ed881a940752" TargetMode="External"/><Relationship Id="rId164" Type="http://schemas.openxmlformats.org/officeDocument/2006/relationships/hyperlink" Target="https://www.loom.com/i/b68000d7b82140328abe4f552fcc3201" TargetMode="External"/><Relationship Id="rId169" Type="http://schemas.openxmlformats.org/officeDocument/2006/relationships/hyperlink" Target="https://www.loom.com/i/2bb955640a0f412c8606c686d8ba6aec" TargetMode="External"/><Relationship Id="rId4" Type="http://schemas.openxmlformats.org/officeDocument/2006/relationships/hyperlink" Target="https://www.loom.com/i/5f6d412518c54d0ea1bba6f5d1e30960" TargetMode="External"/><Relationship Id="rId9" Type="http://schemas.openxmlformats.org/officeDocument/2006/relationships/hyperlink" Target="https://www.loom.com/i/fd847789dafe4bebac76369015d02a71" TargetMode="External"/><Relationship Id="rId180" Type="http://schemas.openxmlformats.org/officeDocument/2006/relationships/hyperlink" Target="https://www.loom.com/i/577225b386744611b5197de7d6e9834c" TargetMode="External"/><Relationship Id="rId26" Type="http://schemas.openxmlformats.org/officeDocument/2006/relationships/hyperlink" Target="https://www.loom.com/i/b7a23c4058d1437da9f99aff8896c45f" TargetMode="External"/><Relationship Id="rId47" Type="http://schemas.openxmlformats.org/officeDocument/2006/relationships/hyperlink" Target="https://loom.com/i/fc95df927d7f42ddb77e4be96de5e28d" TargetMode="External"/><Relationship Id="rId68" Type="http://schemas.openxmlformats.org/officeDocument/2006/relationships/hyperlink" Target="https://www.loom.com/share/d13d54a97fd5499d8eca513a629b9253" TargetMode="External"/><Relationship Id="rId89" Type="http://schemas.openxmlformats.org/officeDocument/2006/relationships/hyperlink" Target="https://www.loom.com/i/800da0b161784e67a2312fd38006ca2b" TargetMode="External"/><Relationship Id="rId112" Type="http://schemas.openxmlformats.org/officeDocument/2006/relationships/hyperlink" Target="https://www.loom.com/i/f147fb5581b84671b985d57e4c220589" TargetMode="External"/><Relationship Id="rId133" Type="http://schemas.openxmlformats.org/officeDocument/2006/relationships/hyperlink" Target="https://www.loom.com/i/6b1366eb20e7499983bff24782a59c32" TargetMode="External"/><Relationship Id="rId154" Type="http://schemas.openxmlformats.org/officeDocument/2006/relationships/hyperlink" Target="https://www.loom.com/share/db9ed6eaf24c4c26b388c3a42fa85851" TargetMode="External"/><Relationship Id="rId175" Type="http://schemas.openxmlformats.org/officeDocument/2006/relationships/hyperlink" Target="https://www.loom.com/i/33fca21953e94b9484d9cff0c6e8c00d" TargetMode="External"/><Relationship Id="rId16" Type="http://schemas.openxmlformats.org/officeDocument/2006/relationships/hyperlink" Target="https://www.loom.com/i/834243ac649b479abf089c0900b8fd03" TargetMode="External"/><Relationship Id="rId37" Type="http://schemas.openxmlformats.org/officeDocument/2006/relationships/hyperlink" Target="https://www.loom.com/i/a749bfbc87334c12a4b339fb7f3e88c8" TargetMode="External"/><Relationship Id="rId58" Type="http://schemas.openxmlformats.org/officeDocument/2006/relationships/hyperlink" Target="https://www.loom.com/i/d749f664749e4456ba5f96371ba741ff" TargetMode="External"/><Relationship Id="rId79" Type="http://schemas.openxmlformats.org/officeDocument/2006/relationships/hyperlink" Target="https://www.loom.com/i/bcd113c017c244138bcf64461c8e913b" TargetMode="External"/><Relationship Id="rId102" Type="http://schemas.openxmlformats.org/officeDocument/2006/relationships/hyperlink" Target="https://www.loom.com/i/a0f31eb0640f415880bba42a88674ab9" TargetMode="External"/><Relationship Id="rId123" Type="http://schemas.openxmlformats.org/officeDocument/2006/relationships/hyperlink" Target="https://www.loom.com/i/cbe2dd7d529443749fc31c9ee46b56bf" TargetMode="External"/><Relationship Id="rId144" Type="http://schemas.openxmlformats.org/officeDocument/2006/relationships/hyperlink" Target="https://www.loom.com/i/6cd5ae3b8518464f9b67d9e7c061b409" TargetMode="External"/><Relationship Id="rId90" Type="http://schemas.openxmlformats.org/officeDocument/2006/relationships/hyperlink" Target="https://www.loom.com/i/9aa88144bf4c4e92b68538d48d6310c1" TargetMode="External"/><Relationship Id="rId165" Type="http://schemas.openxmlformats.org/officeDocument/2006/relationships/hyperlink" Target="https://www.loom.com/i/2dc1a2e71d46404782c0d13e9c439869" TargetMode="External"/><Relationship Id="rId27" Type="http://schemas.openxmlformats.org/officeDocument/2006/relationships/hyperlink" Target="https://www.loom.com/i/e13134e1070c4d72948f18c3c644b960" TargetMode="External"/><Relationship Id="rId48" Type="http://schemas.openxmlformats.org/officeDocument/2006/relationships/hyperlink" Target="https://www.loom.com/i/dd09a26be50847a7a59fc44c5d59d932" TargetMode="External"/><Relationship Id="rId69" Type="http://schemas.openxmlformats.org/officeDocument/2006/relationships/hyperlink" Target="https://www.loom.com/share/15fd10fc7a74437d8dacd06c7d083693" TargetMode="External"/><Relationship Id="rId113" Type="http://schemas.openxmlformats.org/officeDocument/2006/relationships/hyperlink" Target="https://www.loom.com/i/83841c1e988341ba9ff72de3b76949a2" TargetMode="External"/><Relationship Id="rId134" Type="http://schemas.openxmlformats.org/officeDocument/2006/relationships/hyperlink" Target="https://www.loom.com/i/0488610ab220496f8a4617dedc24e73f" TargetMode="External"/><Relationship Id="rId80" Type="http://schemas.openxmlformats.org/officeDocument/2006/relationships/hyperlink" Target="https://www.loom.com/share/96d2651f27aa491eb93dd313d1ed387d" TargetMode="External"/><Relationship Id="rId155" Type="http://schemas.openxmlformats.org/officeDocument/2006/relationships/hyperlink" Target="https://www.loom.com/share/5ee96fffca1e431682751680b5eb9a6d" TargetMode="External"/><Relationship Id="rId176" Type="http://schemas.openxmlformats.org/officeDocument/2006/relationships/hyperlink" Target="https://www.loom.com/i/e9949b676694488889c064d7dde5c8ba" TargetMode="External"/><Relationship Id="rId17" Type="http://schemas.openxmlformats.org/officeDocument/2006/relationships/hyperlink" Target="https://www.loom.com/i/783233421ac84d4284a62aff1c53b93c" TargetMode="External"/><Relationship Id="rId38" Type="http://schemas.openxmlformats.org/officeDocument/2006/relationships/hyperlink" Target="https://www.loom.com/share/4d3384536efd4d0bbecab9b7d9d32fdd" TargetMode="External"/><Relationship Id="rId59" Type="http://schemas.openxmlformats.org/officeDocument/2006/relationships/hyperlink" Target="https://www.loom.com/i/fb26f1cc71f245a6832bd08ba185564f" TargetMode="External"/><Relationship Id="rId103" Type="http://schemas.openxmlformats.org/officeDocument/2006/relationships/hyperlink" Target="https://loom.com/i/c2b3480f05ca471fac28b0e4eb0c4875" TargetMode="External"/><Relationship Id="rId124" Type="http://schemas.openxmlformats.org/officeDocument/2006/relationships/hyperlink" Target="https://www.loom.com/i/adf980ca316e4a069efde75032724e5a" TargetMode="External"/><Relationship Id="rId70" Type="http://schemas.openxmlformats.org/officeDocument/2006/relationships/hyperlink" Target="https://www.loom.com/share/f52c5c5d827e4357b4ac7c2c8e757c4a" TargetMode="External"/><Relationship Id="rId91" Type="http://schemas.openxmlformats.org/officeDocument/2006/relationships/hyperlink" Target="https://www.loom.com/i/b2797dbf58d4403ebb16c9ae16a814f9" TargetMode="External"/><Relationship Id="rId145" Type="http://schemas.openxmlformats.org/officeDocument/2006/relationships/hyperlink" Target="https://www.loom.com/i/eb89ef870f854c359295f0a896c475c8" TargetMode="External"/><Relationship Id="rId166" Type="http://schemas.openxmlformats.org/officeDocument/2006/relationships/hyperlink" Target="https://www.loom.com/i/18b06fc9e3bf4c6e95990fa86e26e3b6" TargetMode="External"/><Relationship Id="rId1" Type="http://schemas.openxmlformats.org/officeDocument/2006/relationships/hyperlink" Target="https://www.loom.com/i/dc6de221e9de4b4ab2203827c60b8f64" TargetMode="External"/><Relationship Id="rId28" Type="http://schemas.openxmlformats.org/officeDocument/2006/relationships/hyperlink" Target="https://www.loom.com/i/599f2b5dc9e74f87935f235b6b5dec33" TargetMode="External"/><Relationship Id="rId49" Type="http://schemas.openxmlformats.org/officeDocument/2006/relationships/hyperlink" Target="https://www.loom.com/share/759746e86a104fba85527fb7ac263806" TargetMode="External"/><Relationship Id="rId114" Type="http://schemas.openxmlformats.org/officeDocument/2006/relationships/hyperlink" Target="https://www.loom.com/i/e2f8cea5da1d4a7ab8bb84518f635a12"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sbi-devsit1.sbicard.com/html/en/personal/credit-cards/phonepe-sbi-card-select-black.html" TargetMode="External"/><Relationship Id="rId21" Type="http://schemas.openxmlformats.org/officeDocument/2006/relationships/hyperlink" Target="https://www.loom.com/i/a7e93358b65d402ba4a25ed8d607f0a4" TargetMode="External"/><Relationship Id="rId42" Type="http://schemas.openxmlformats.org/officeDocument/2006/relationships/hyperlink" Target="https://www.loom.com/i/3b69d15a78f3450d87a10ed8796fa993" TargetMode="External"/><Relationship Id="rId47" Type="http://schemas.openxmlformats.org/officeDocument/2006/relationships/hyperlink" Target="https://www.loom.com/i/4f078a37557e4e4f96e661195bbd6a2e" TargetMode="External"/><Relationship Id="rId63" Type="http://schemas.openxmlformats.org/officeDocument/2006/relationships/hyperlink" Target="https://www.loom.com/i/88c39dcfebbc43d7bdc5a9677f35eedd" TargetMode="External"/><Relationship Id="rId68" Type="http://schemas.openxmlformats.org/officeDocument/2006/relationships/hyperlink" Target="https://www.loom.com/share/d4bdc6ca99b747328426dafbaf71026c" TargetMode="External"/><Relationship Id="rId2" Type="http://schemas.openxmlformats.org/officeDocument/2006/relationships/hyperlink" Target="https://www.loom.com/i/d4f321de18a14f72924208c066145add" TargetMode="External"/><Relationship Id="rId16" Type="http://schemas.openxmlformats.org/officeDocument/2006/relationships/hyperlink" Target="https://www.loom.com/share/1f657ea4933f4df88ac807e895e964db" TargetMode="External"/><Relationship Id="rId29" Type="http://schemas.openxmlformats.org/officeDocument/2006/relationships/hyperlink" Target="https://sbi-devsit1.sbicard.com/en/personal/benefits.page" TargetMode="External"/><Relationship Id="rId11" Type="http://schemas.openxmlformats.org/officeDocument/2006/relationships/hyperlink" Target="https://www.loom.com/i/ff2f114bf7a448a5a3ff14c1e4277a28" TargetMode="External"/><Relationship Id="rId24" Type="http://schemas.openxmlformats.org/officeDocument/2006/relationships/hyperlink" Target="https://www.loom.com/i/51acabb27a034ffcbe713e4248313956" TargetMode="External"/><Relationship Id="rId32" Type="http://schemas.openxmlformats.org/officeDocument/2006/relationships/hyperlink" Target="https://www.loom.com/i/e0f4607538534ddca1aff1f1243f8ab6" TargetMode="External"/><Relationship Id="rId37" Type="http://schemas.openxmlformats.org/officeDocument/2006/relationships/hyperlink" Target="https://sbi-devsit1.sbicard.com/en/who-we-are/about-us.page" TargetMode="External"/><Relationship Id="rId40" Type="http://schemas.openxmlformats.org/officeDocument/2006/relationships/hyperlink" Target="https://www.loom.com/i/ef1319fd97c242cbae064cfbbec32da4" TargetMode="External"/><Relationship Id="rId45" Type="http://schemas.openxmlformats.org/officeDocument/2006/relationships/hyperlink" Target="https://www.loom.com/share/789bf132cca64b699aac9824398b6a53" TargetMode="External"/><Relationship Id="rId53" Type="http://schemas.openxmlformats.org/officeDocument/2006/relationships/hyperlink" Target="https://www.loom.com/i/ab0fb94a0cd945d88dacbc8c63505c71" TargetMode="External"/><Relationship Id="rId58" Type="http://schemas.openxmlformats.org/officeDocument/2006/relationships/hyperlink" Target="https://www.loom.com/share/56e0738d66ac4d9bbaf5bbbf0f9b9200" TargetMode="External"/><Relationship Id="rId66" Type="http://schemas.openxmlformats.org/officeDocument/2006/relationships/hyperlink" Target="https://www.loom.com/i/124161e8f6a445fdbefc19dcbd5f8903" TargetMode="External"/><Relationship Id="rId74" Type="http://schemas.openxmlformats.org/officeDocument/2006/relationships/hyperlink" Target="https://www.loom.com/share/6c00f2c3e2694858a560e58db7ccdb81" TargetMode="External"/><Relationship Id="rId5" Type="http://schemas.openxmlformats.org/officeDocument/2006/relationships/hyperlink" Target="https://www.loom.com/i/1a1c18fd03064c63a9f333f028ddd399" TargetMode="External"/><Relationship Id="rId61" Type="http://schemas.openxmlformats.org/officeDocument/2006/relationships/hyperlink" Target="https://www.loom.com/i/afb9cbba9df24c08825f1746129f2ccd" TargetMode="External"/><Relationship Id="rId19" Type="http://schemas.openxmlformats.org/officeDocument/2006/relationships/hyperlink" Target="https://www.loom.com/i/cfadde0fa47943dc84c5ee9f43cbf15b" TargetMode="External"/><Relationship Id="rId14" Type="http://schemas.openxmlformats.org/officeDocument/2006/relationships/hyperlink" Target="https://www.loom.com/i/7a8267c9357d42b69461fa3b2061eac7" TargetMode="External"/><Relationship Id="rId22" Type="http://schemas.openxmlformats.org/officeDocument/2006/relationships/hyperlink" Target="https://www.loom.com/i/4d735842f8dd4262bbdc3a65808f02d6" TargetMode="External"/><Relationship Id="rId27" Type="http://schemas.openxmlformats.org/officeDocument/2006/relationships/hyperlink" Target="https://www.loom.com/share/69288b6753cb4b739221fefa046a80c5" TargetMode="External"/><Relationship Id="rId30" Type="http://schemas.openxmlformats.org/officeDocument/2006/relationships/hyperlink" Target="https://www.loom.com/i/267ce1b979ef4721ac4af875fc323470" TargetMode="External"/><Relationship Id="rId35" Type="http://schemas.openxmlformats.org/officeDocument/2006/relationships/hyperlink" Target="https://www.loom.com/i/8f583dd8578e4f21a39a9f4c234eec22" TargetMode="External"/><Relationship Id="rId43" Type="http://schemas.openxmlformats.org/officeDocument/2006/relationships/hyperlink" Target="https://www.loom.com/i/41b0727a81294f05bef292fca4bf424d" TargetMode="External"/><Relationship Id="rId48" Type="http://schemas.openxmlformats.org/officeDocument/2006/relationships/hyperlink" Target="https://sbifo-pvt.sbicard.com/html/en/personal/credit-cards/sbi-card-miles-elite.html" TargetMode="External"/><Relationship Id="rId56" Type="http://schemas.openxmlformats.org/officeDocument/2006/relationships/hyperlink" Target="https://www.loom.com/share/13b5f4b248c741cd8e741454b2584999" TargetMode="External"/><Relationship Id="rId64" Type="http://schemas.openxmlformats.org/officeDocument/2006/relationships/hyperlink" Target="https://www.loom.com/i/f240b1d1842745bd947bd9a42b3cd978" TargetMode="External"/><Relationship Id="rId69" Type="http://schemas.openxmlformats.org/officeDocument/2006/relationships/hyperlink" Target="https://www.loom.com/i/cff38c6cde1f490eb6ea2578ee215a1b" TargetMode="External"/><Relationship Id="rId8" Type="http://schemas.openxmlformats.org/officeDocument/2006/relationships/hyperlink" Target="https://www.loom.com/i/7dbc1e00d0904745a3f99c6c237083eb" TargetMode="External"/><Relationship Id="rId51" Type="http://schemas.openxmlformats.org/officeDocument/2006/relationships/hyperlink" Target="https://www.loom.com/i/f695f83842cc4a3c80c01f157c77ffb6" TargetMode="External"/><Relationship Id="rId72" Type="http://schemas.openxmlformats.org/officeDocument/2006/relationships/hyperlink" Target="https://loom.com/i/78724836de00473d91d1f5c46ecdb7f5" TargetMode="External"/><Relationship Id="rId3" Type="http://schemas.openxmlformats.org/officeDocument/2006/relationships/hyperlink" Target="https://www.loom.com/i/276d855d371f42b08bf5ccb2b3e2eec8" TargetMode="External"/><Relationship Id="rId12" Type="http://schemas.openxmlformats.org/officeDocument/2006/relationships/hyperlink" Target="https://www.loom.com/i/cf551ea294ee4b55a8d18cf8edf42b81" TargetMode="External"/><Relationship Id="rId17" Type="http://schemas.openxmlformats.org/officeDocument/2006/relationships/hyperlink" Target="https://www.loom.com/i/a7e93358b65d402ba4a25ed8d607f0a4" TargetMode="External"/><Relationship Id="rId25" Type="http://schemas.openxmlformats.org/officeDocument/2006/relationships/hyperlink" Target="https://www.loom.com/i/3b26990df0824d078a1794931f01d640" TargetMode="External"/><Relationship Id="rId33" Type="http://schemas.openxmlformats.org/officeDocument/2006/relationships/hyperlink" Target="https://sbi-devsit1.sbicard.com/en/do-not-disturb.page" TargetMode="External"/><Relationship Id="rId38" Type="http://schemas.openxmlformats.org/officeDocument/2006/relationships/hyperlink" Target="https://sbi-devsit1.sbicard.com/en/do-not-disturb.page" TargetMode="External"/><Relationship Id="rId46" Type="http://schemas.openxmlformats.org/officeDocument/2006/relationships/hyperlink" Target="https://www.loom.com/i/5d340fb647d34cbbbcf8a3fbbd50782b" TargetMode="External"/><Relationship Id="rId59" Type="http://schemas.openxmlformats.org/officeDocument/2006/relationships/hyperlink" Target="https://www.loom.com/i/5ca346dc8a024507859ffd07a62a91c0" TargetMode="External"/><Relationship Id="rId67" Type="http://schemas.openxmlformats.org/officeDocument/2006/relationships/hyperlink" Target="https://www.loom.com/i/cefab591e0e74a93945127286bd2eb01" TargetMode="External"/><Relationship Id="rId20" Type="http://schemas.openxmlformats.org/officeDocument/2006/relationships/hyperlink" Target="https://www.loom.com/share/10df6176adf4477f8acfda1f30a3c7cf" TargetMode="External"/><Relationship Id="rId41" Type="http://schemas.openxmlformats.org/officeDocument/2006/relationships/hyperlink" Target="https://www.loom.com/share/14be5ec52cf54bfc9be17212a7023fc5" TargetMode="External"/><Relationship Id="rId54" Type="http://schemas.openxmlformats.org/officeDocument/2006/relationships/hyperlink" Target="https://www.loom.com/i/a33cfebc7a8c4e5aba0d11b6629b821a" TargetMode="External"/><Relationship Id="rId62" Type="http://schemas.openxmlformats.org/officeDocument/2006/relationships/hyperlink" Target="https://www.loom.com/i/4bf691c6ef8d491eaa076bebf6f2a04f" TargetMode="External"/><Relationship Id="rId70" Type="http://schemas.openxmlformats.org/officeDocument/2006/relationships/hyperlink" Target="https://loom.com/i/30de800ab12041888506e1501cfb1878" TargetMode="External"/><Relationship Id="rId1" Type="http://schemas.openxmlformats.org/officeDocument/2006/relationships/hyperlink" Target="https://www.loom.com/i/60b70e4e176f4e7dbb763a5a1e43e48a" TargetMode="External"/><Relationship Id="rId6" Type="http://schemas.openxmlformats.org/officeDocument/2006/relationships/hyperlink" Target="https://www.loom.com/i/1ddd8cdc199c4883a3111e69175dc38a" TargetMode="External"/><Relationship Id="rId15" Type="http://schemas.openxmlformats.org/officeDocument/2006/relationships/hyperlink" Target="https://www.loom.com/i/e2384a97a31c4687aacdc393c9b0a1c0" TargetMode="External"/><Relationship Id="rId23" Type="http://schemas.openxmlformats.org/officeDocument/2006/relationships/hyperlink" Target="https://www.loom.com/i/aa84c333aaa04b559ccd572223ed60d8" TargetMode="External"/><Relationship Id="rId28" Type="http://schemas.openxmlformats.org/officeDocument/2006/relationships/hyperlink" Target="https://www.loom.com/share/a59b44bd18f14461b7d5402946fa0620" TargetMode="External"/><Relationship Id="rId36" Type="http://schemas.openxmlformats.org/officeDocument/2006/relationships/hyperlink" Target="https://sbi-devsit1.sbicard.com/en/personal/benefits.page" TargetMode="External"/><Relationship Id="rId49" Type="http://schemas.openxmlformats.org/officeDocument/2006/relationships/hyperlink" Target="https://www.loom.com/share/ff46c7a3f0d94c06b269ae43cb6d8409" TargetMode="External"/><Relationship Id="rId57" Type="http://schemas.openxmlformats.org/officeDocument/2006/relationships/hyperlink" Target="https://www.loom.com/i/2e9f12149ba041b783fd677fb6957fa2" TargetMode="External"/><Relationship Id="rId10" Type="http://schemas.openxmlformats.org/officeDocument/2006/relationships/hyperlink" Target="https://www.loom.com/share/e8ced555ab5340859d3aff68e1839cb4" TargetMode="External"/><Relationship Id="rId31" Type="http://schemas.openxmlformats.org/officeDocument/2006/relationships/hyperlink" Target="https://sbi-devsit1.sbicard.com/en/who-we-are/about-us.page" TargetMode="External"/><Relationship Id="rId44" Type="http://schemas.openxmlformats.org/officeDocument/2006/relationships/hyperlink" Target="https://www.loom.com/i/81ddb2f3f5524e6c98d37981b5c59d91" TargetMode="External"/><Relationship Id="rId52" Type="http://schemas.openxmlformats.org/officeDocument/2006/relationships/hyperlink" Target="https://loom.com/i/0cf8ba51849046e8bfab679f8ff84709" TargetMode="External"/><Relationship Id="rId60" Type="http://schemas.openxmlformats.org/officeDocument/2006/relationships/hyperlink" Target="https://www.loom.com/i/877fc2038f9f4d37888649b94f757eaf" TargetMode="External"/><Relationship Id="rId65" Type="http://schemas.openxmlformats.org/officeDocument/2006/relationships/hyperlink" Target="https://www.loom.com/i/402c8e17377c4727918438aa3cc3e6da" TargetMode="External"/><Relationship Id="rId73" Type="http://schemas.openxmlformats.org/officeDocument/2006/relationships/hyperlink" Target="https://www.loom.com/i/4d47f7e150f04be7997076f702647feb" TargetMode="External"/><Relationship Id="rId4" Type="http://schemas.openxmlformats.org/officeDocument/2006/relationships/hyperlink" Target="https://www.loom.com/i/8c05d3abdee74e8e890ee0fb7a4ff921" TargetMode="External"/><Relationship Id="rId9" Type="http://schemas.openxmlformats.org/officeDocument/2006/relationships/hyperlink" Target="https://www.loom.com/i/1916aaa00f2843b6ac38f012d311ce99" TargetMode="External"/><Relationship Id="rId13" Type="http://schemas.openxmlformats.org/officeDocument/2006/relationships/hyperlink" Target="https://www.loom.com/share/2bb66231480847228aa6b2f8feb80dfb" TargetMode="External"/><Relationship Id="rId18" Type="http://schemas.openxmlformats.org/officeDocument/2006/relationships/hyperlink" Target="https://www.loom.com/i/4d735842f8dd4262bbdc3a65808f02d6" TargetMode="External"/><Relationship Id="rId39" Type="http://schemas.openxmlformats.org/officeDocument/2006/relationships/hyperlink" Target="https://www.loom.com/i/871d8a6002714fba92dbcfe97d881988" TargetMode="External"/><Relationship Id="rId34" Type="http://schemas.openxmlformats.org/officeDocument/2006/relationships/hyperlink" Target="https://www.loom.com/i/91b619a6cb2342c6ad3a33f2b1e0c81d" TargetMode="External"/><Relationship Id="rId50" Type="http://schemas.openxmlformats.org/officeDocument/2006/relationships/hyperlink" Target="https://www.loom.com/i/e9561f0aeaa048fc8f6d37baf05f2224" TargetMode="External"/><Relationship Id="rId55" Type="http://schemas.openxmlformats.org/officeDocument/2006/relationships/hyperlink" Target="https://www.loom.com/i/4b1ba9b07aa64595982197a62c2cff38" TargetMode="External"/><Relationship Id="rId7" Type="http://schemas.openxmlformats.org/officeDocument/2006/relationships/hyperlink" Target="https://www.loom.com/i/be2e637ee1e04b64ac5212cdfa4f2bd4" TargetMode="External"/><Relationship Id="rId71" Type="http://schemas.openxmlformats.org/officeDocument/2006/relationships/hyperlink" Target="https://www.loom.com/i/b159601dc02e4bc59f7d5f72deb8108a"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www.loom.com/i/58ce17e5c5634a01a3f33c8f2458b32d" TargetMode="External"/><Relationship Id="rId299" Type="http://schemas.openxmlformats.org/officeDocument/2006/relationships/hyperlink" Target="https://www.loom.com/i/df0788edf60d440b89026c6f253866cc" TargetMode="External"/><Relationship Id="rId21" Type="http://schemas.openxmlformats.org/officeDocument/2006/relationships/hyperlink" Target="https://www.loom.com/i/ec147138115248e0acf54c5a31746744" TargetMode="External"/><Relationship Id="rId63" Type="http://schemas.openxmlformats.org/officeDocument/2006/relationships/hyperlink" Target="https://www.loom.com/i/c297013ccccf49529bf070a408552cef" TargetMode="External"/><Relationship Id="rId159" Type="http://schemas.openxmlformats.org/officeDocument/2006/relationships/hyperlink" Target="https://www.loom.com/i/ac98c95f5d8d4a298eb40a63f3344220" TargetMode="External"/><Relationship Id="rId324" Type="http://schemas.openxmlformats.org/officeDocument/2006/relationships/hyperlink" Target="https://sbi-devsit1.sbicard.com/html/en/personal/credit-cards/apollo-sbi-card-select.html" TargetMode="External"/><Relationship Id="rId366" Type="http://schemas.openxmlformats.org/officeDocument/2006/relationships/hyperlink" Target="https://www.loom.com/i/06611fb8b5c2449f87ac29bea13a72a9" TargetMode="External"/><Relationship Id="rId170" Type="http://schemas.openxmlformats.org/officeDocument/2006/relationships/hyperlink" Target="https://www.loom.com/i/bbdb613ef75e4c1ab2001b48d438de85" TargetMode="External"/><Relationship Id="rId226" Type="http://schemas.openxmlformats.org/officeDocument/2006/relationships/hyperlink" Target="https://www.loom.com/i/90a4647021bb4d7c873f447fa8377dab" TargetMode="External"/><Relationship Id="rId433" Type="http://schemas.openxmlformats.org/officeDocument/2006/relationships/hyperlink" Target="https://www.loom.com/i/1a499222c3034e60b7b449b06a35e861" TargetMode="External"/><Relationship Id="rId268" Type="http://schemas.openxmlformats.org/officeDocument/2006/relationships/hyperlink" Target="https://www.loom.com/i/d0240298db6d44ea8c81b134d2b3b8b9" TargetMode="External"/><Relationship Id="rId475" Type="http://schemas.openxmlformats.org/officeDocument/2006/relationships/hyperlink" Target="https://www.loom.com/i/c6a7e68b25df43f59920429cbb005b35" TargetMode="External"/><Relationship Id="rId32" Type="http://schemas.openxmlformats.org/officeDocument/2006/relationships/hyperlink" Target="https://www.loom.com/i/4f24ea6162044b75b015f279eef77af2" TargetMode="External"/><Relationship Id="rId74" Type="http://schemas.openxmlformats.org/officeDocument/2006/relationships/hyperlink" Target="https://www.loom.com/i/29a3d6758b8d4c40b87a3471f8c429d4" TargetMode="External"/><Relationship Id="rId128" Type="http://schemas.openxmlformats.org/officeDocument/2006/relationships/hyperlink" Target="https://www.loom.com/i/cd725397177048f99d405496d52a201e" TargetMode="External"/><Relationship Id="rId335" Type="http://schemas.openxmlformats.org/officeDocument/2006/relationships/hyperlink" Target="https://sbi-devsit1.sbicard.com/html/en/personal/credit-cards/etihad-guest-sbi-premier-card.html" TargetMode="External"/><Relationship Id="rId377" Type="http://schemas.openxmlformats.org/officeDocument/2006/relationships/hyperlink" Target="https://sbi-devsit1.sbicard.com/html/en/personal/credit-cards/krisflyer-sbi-card-apex.html" TargetMode="External"/><Relationship Id="rId5" Type="http://schemas.openxmlformats.org/officeDocument/2006/relationships/hyperlink" Target="https://www.loom.com/i/6751bf92fd224b7095c5183860f3f245" TargetMode="External"/><Relationship Id="rId181" Type="http://schemas.openxmlformats.org/officeDocument/2006/relationships/hyperlink" Target="https://www.loom.com/i/3409d02ac3e24537914e5e01814ce5fd" TargetMode="External"/><Relationship Id="rId237" Type="http://schemas.openxmlformats.org/officeDocument/2006/relationships/hyperlink" Target="https://www.loom.com/i/85cd3a1e198447e9867eeb5fe2c4b7df" TargetMode="External"/><Relationship Id="rId402" Type="http://schemas.openxmlformats.org/officeDocument/2006/relationships/hyperlink" Target="https://sbi-devsit1.sbicard.com/html/en/personal/credit-cards/sbi-card-elite.html" TargetMode="External"/><Relationship Id="rId279" Type="http://schemas.openxmlformats.org/officeDocument/2006/relationships/hyperlink" Target="https://www.loom.com/i/55d0616e7c274de7bb52e701fc7fa54d" TargetMode="External"/><Relationship Id="rId444" Type="http://schemas.openxmlformats.org/officeDocument/2006/relationships/hyperlink" Target="https://www.loom.com/i/958e3606a8d64cfa88f2122a50fb3b4e" TargetMode="External"/><Relationship Id="rId43" Type="http://schemas.openxmlformats.org/officeDocument/2006/relationships/hyperlink" Target="https://www.loom.com/i/94ed24df991d4497b14fc43e33bbd6f4" TargetMode="External"/><Relationship Id="rId139" Type="http://schemas.openxmlformats.org/officeDocument/2006/relationships/hyperlink" Target="https://www.loom.com/i/3f0913cb8efb4be59d2e46a1d0066c52" TargetMode="External"/><Relationship Id="rId290" Type="http://schemas.openxmlformats.org/officeDocument/2006/relationships/hyperlink" Target="https://www.loom.com/i/f6871f09c277426481b01c29e0e638b7" TargetMode="External"/><Relationship Id="rId304" Type="http://schemas.openxmlformats.org/officeDocument/2006/relationships/hyperlink" Target="https://www.loom.com/i/53bf4430ead84696b197b44f625d44f1" TargetMode="External"/><Relationship Id="rId346" Type="http://schemas.openxmlformats.org/officeDocument/2006/relationships/hyperlink" Target="https://sbi-devsit1.sbicard.com/html/en/personal/credit-cards/club-vistara-sbi-card-prime.html" TargetMode="External"/><Relationship Id="rId388" Type="http://schemas.openxmlformats.org/officeDocument/2006/relationships/hyperlink" Target="https://sbi-devsit1.sbicard.com/html/en/personal/credit-cards/doctors-sbi-card.html" TargetMode="External"/><Relationship Id="rId85" Type="http://schemas.openxmlformats.org/officeDocument/2006/relationships/hyperlink" Target="https://www.loom.com/i/c4a23fb0fdee42179d397ca793533cee" TargetMode="External"/><Relationship Id="rId150" Type="http://schemas.openxmlformats.org/officeDocument/2006/relationships/hyperlink" Target="https://www.loom.com/i/0390a2ff0ea741a0b1d84a9e3a6946be" TargetMode="External"/><Relationship Id="rId192" Type="http://schemas.openxmlformats.org/officeDocument/2006/relationships/hyperlink" Target="https://www.loom.com/i/31fd70c864654a98b04428de5905d7d1%60" TargetMode="External"/><Relationship Id="rId206" Type="http://schemas.openxmlformats.org/officeDocument/2006/relationships/hyperlink" Target="https://www.loom.com/i/afd68fa9698340cd9d9f632f52f358cf" TargetMode="External"/><Relationship Id="rId413" Type="http://schemas.openxmlformats.org/officeDocument/2006/relationships/hyperlink" Target="https://sbi-devsit1.sbicard.com/html/en/personal/credit-cards/sbi-card-prime.html" TargetMode="External"/><Relationship Id="rId248" Type="http://schemas.openxmlformats.org/officeDocument/2006/relationships/hyperlink" Target="https://www.loom.com/i/91e2c52e198249c98603b31302292c8f" TargetMode="External"/><Relationship Id="rId455" Type="http://schemas.openxmlformats.org/officeDocument/2006/relationships/hyperlink" Target="https://www.loom.com/i/e5dc6dac332d402bbae45b2e16dc6844" TargetMode="External"/><Relationship Id="rId12" Type="http://schemas.openxmlformats.org/officeDocument/2006/relationships/hyperlink" Target="https://www.loom.com/i/a71eb70f74ae44748f5143cf6eb3f477" TargetMode="External"/><Relationship Id="rId108" Type="http://schemas.openxmlformats.org/officeDocument/2006/relationships/hyperlink" Target="https://www.loom.com/i/69b996d333de4cf5ae7e17dcc50ccfed" TargetMode="External"/><Relationship Id="rId315" Type="http://schemas.openxmlformats.org/officeDocument/2006/relationships/hyperlink" Target="https://sbi-devsit1.sbicard.com/html/en/personal/credit-cards/sbi-card-elite.html" TargetMode="External"/><Relationship Id="rId357" Type="http://schemas.openxmlformats.org/officeDocument/2006/relationships/hyperlink" Target="https://www.loom.com/i/21486ccb818649bfad32f33a9e1a9ce2" TargetMode="External"/><Relationship Id="rId54" Type="http://schemas.openxmlformats.org/officeDocument/2006/relationships/hyperlink" Target="https://www.loom.com/i/a3645c10ac3c485bb25fbd438fdf439d" TargetMode="External"/><Relationship Id="rId96" Type="http://schemas.openxmlformats.org/officeDocument/2006/relationships/hyperlink" Target="https://www.loom.com/i/d6e4b711059f43abb2f03112444b1d56" TargetMode="External"/><Relationship Id="rId161" Type="http://schemas.openxmlformats.org/officeDocument/2006/relationships/hyperlink" Target="https://www.loom.com/i/30a71894eac245d196925ecf0562940f" TargetMode="External"/><Relationship Id="rId217" Type="http://schemas.openxmlformats.org/officeDocument/2006/relationships/hyperlink" Target="https://www.loom.com/i/122f45ec960148658890353fd33baecf" TargetMode="External"/><Relationship Id="rId399" Type="http://schemas.openxmlformats.org/officeDocument/2006/relationships/hyperlink" Target="https://sbi-devsit1.sbicard.com/html/en/personal/credit-cards/phonepe-sbi-card-select-black.html" TargetMode="External"/><Relationship Id="rId259" Type="http://schemas.openxmlformats.org/officeDocument/2006/relationships/hyperlink" Target="https://www.loom.com/i/f5fd35603956484aab55b98fd82c05cf" TargetMode="External"/><Relationship Id="rId424" Type="http://schemas.openxmlformats.org/officeDocument/2006/relationships/hyperlink" Target="https://sbi-devsit1.sbicard.com/html/en/personal/credit-cards/tata-neu-infinity-sbi-card.html" TargetMode="External"/><Relationship Id="rId466" Type="http://schemas.openxmlformats.org/officeDocument/2006/relationships/hyperlink" Target="https://www.loom.com/i/18c237a848664e9da13fcfa7202d0a24" TargetMode="External"/><Relationship Id="rId23" Type="http://schemas.openxmlformats.org/officeDocument/2006/relationships/hyperlink" Target="https://www.loom.com/i/288f54ff7ee24f9bbbb6eae190554af3" TargetMode="External"/><Relationship Id="rId119" Type="http://schemas.openxmlformats.org/officeDocument/2006/relationships/hyperlink" Target="https://www.loom.com/i/8f73853fe391447da211aa06b40c5b63" TargetMode="External"/><Relationship Id="rId270" Type="http://schemas.openxmlformats.org/officeDocument/2006/relationships/hyperlink" Target="https://www.loom.com/i/0ea088638d5b426aacf6ced4efb7991e" TargetMode="External"/><Relationship Id="rId326" Type="http://schemas.openxmlformats.org/officeDocument/2006/relationships/hyperlink" Target="https://sbi-devsit1.sbicard.com/html/en/personal/credit-cards/landmark-sbi-card-select.html" TargetMode="External"/><Relationship Id="rId65" Type="http://schemas.openxmlformats.org/officeDocument/2006/relationships/hyperlink" Target="https://www.loom.com/i/43795b2b055b41618ac4ec991a2690cb" TargetMode="External"/><Relationship Id="rId130" Type="http://schemas.openxmlformats.org/officeDocument/2006/relationships/hyperlink" Target="https://www.loom.com/i/a067b5ad1abc43a495284afbba1030b8" TargetMode="External"/><Relationship Id="rId368" Type="http://schemas.openxmlformats.org/officeDocument/2006/relationships/hyperlink" Target="https://www.loom.com/i/6278b43926c74b3ab8ef87c542dc12d9" TargetMode="External"/><Relationship Id="rId172" Type="http://schemas.openxmlformats.org/officeDocument/2006/relationships/hyperlink" Target="https://www.loom.com/i/2b6f26284e8c455a872eaf0207c392f5" TargetMode="External"/><Relationship Id="rId228" Type="http://schemas.openxmlformats.org/officeDocument/2006/relationships/hyperlink" Target="https://www.loom.com/i/045c5964877f45fea472c902f2103bc2" TargetMode="External"/><Relationship Id="rId435" Type="http://schemas.openxmlformats.org/officeDocument/2006/relationships/hyperlink" Target="https://www.loom.com/i/1f9ee89c0cb9402ab06a65f3442e42c5" TargetMode="External"/><Relationship Id="rId477" Type="http://schemas.openxmlformats.org/officeDocument/2006/relationships/hyperlink" Target="https://www.loom.com/share/b36e824267b04154b480c4f55f0e9b85" TargetMode="External"/><Relationship Id="rId281" Type="http://schemas.openxmlformats.org/officeDocument/2006/relationships/hyperlink" Target="https://www.loom.com/i/18897e5fe0914e7e9f98529ae7b595d7" TargetMode="External"/><Relationship Id="rId337" Type="http://schemas.openxmlformats.org/officeDocument/2006/relationships/hyperlink" Target="https://loom.com/i/73bf2203a39348128e143d400e0289e8" TargetMode="External"/><Relationship Id="rId34" Type="http://schemas.openxmlformats.org/officeDocument/2006/relationships/hyperlink" Target="https://www.loom.com/i/52255049238b463eac04cca6bbdd7e8d" TargetMode="External"/><Relationship Id="rId76" Type="http://schemas.openxmlformats.org/officeDocument/2006/relationships/hyperlink" Target="https://www.loom.com/i/16221f518dd44e2fa13f99f4ba08828c" TargetMode="External"/><Relationship Id="rId141" Type="http://schemas.openxmlformats.org/officeDocument/2006/relationships/hyperlink" Target="https://www.loom.com/i/01f32dd3e9b14ab1af20b4b2e88eed40" TargetMode="External"/><Relationship Id="rId379" Type="http://schemas.openxmlformats.org/officeDocument/2006/relationships/hyperlink" Target="https://www.loom.com/i/db914844b35845d192834973058b6a79" TargetMode="External"/><Relationship Id="rId7" Type="http://schemas.openxmlformats.org/officeDocument/2006/relationships/hyperlink" Target="https://www.loom.com/i/f030d23976d941be9e412ac35b3b6794" TargetMode="External"/><Relationship Id="rId183" Type="http://schemas.openxmlformats.org/officeDocument/2006/relationships/hyperlink" Target="https://www.loom.com/i/fe719a2deb784beaa0aa868774b99a65" TargetMode="External"/><Relationship Id="rId239" Type="http://schemas.openxmlformats.org/officeDocument/2006/relationships/hyperlink" Target="https://www.loom.com/i/23a6b56d4ee24ef4ba18f49c40efae00" TargetMode="External"/><Relationship Id="rId390" Type="http://schemas.openxmlformats.org/officeDocument/2006/relationships/hyperlink" Target="https://sbi-devsit1.sbicard.com/html/en/personal/credit-cards/doctors-with-ima-sbi-card.html" TargetMode="External"/><Relationship Id="rId404" Type="http://schemas.openxmlformats.org/officeDocument/2006/relationships/hyperlink" Target="https://sbi-devsit1.sbicard.com/html/en/personal/credit-cards/sbi-card-elite.html" TargetMode="External"/><Relationship Id="rId446" Type="http://schemas.openxmlformats.org/officeDocument/2006/relationships/hyperlink" Target="https://loom.com/i/1ec7b39065b34346b8160f7f150a994a" TargetMode="External"/><Relationship Id="rId250" Type="http://schemas.openxmlformats.org/officeDocument/2006/relationships/hyperlink" Target="https://www.loom.com/i/91bbdb9f2c03457297bd9111979bb0ea" TargetMode="External"/><Relationship Id="rId292" Type="http://schemas.openxmlformats.org/officeDocument/2006/relationships/hyperlink" Target="https://www.loom.com/i/8befe6bff5ff43f388f4d44952e4bd64" TargetMode="External"/><Relationship Id="rId306" Type="http://schemas.openxmlformats.org/officeDocument/2006/relationships/hyperlink" Target="https://www.loom.com/i/90c7ddf284d347329bfc150ef8bc9c49" TargetMode="External"/><Relationship Id="rId45" Type="http://schemas.openxmlformats.org/officeDocument/2006/relationships/hyperlink" Target="https://www.loom.com/i/c617398232e64925886d8bb90664d8ed" TargetMode="External"/><Relationship Id="rId87" Type="http://schemas.openxmlformats.org/officeDocument/2006/relationships/hyperlink" Target="https://www.loom.com/i/1c3a1776de3a495290b1b3d5299e49c4" TargetMode="External"/><Relationship Id="rId110" Type="http://schemas.openxmlformats.org/officeDocument/2006/relationships/hyperlink" Target="https://www.loom.com/i/66d3d7195165409bb57ee15317a398bd" TargetMode="External"/><Relationship Id="rId348" Type="http://schemas.openxmlformats.org/officeDocument/2006/relationships/hyperlink" Target="https://www.loom.com/i/830255571527446ab9855ed476dc4d7c" TargetMode="External"/><Relationship Id="rId152" Type="http://schemas.openxmlformats.org/officeDocument/2006/relationships/hyperlink" Target="https://www.loom.com/i/5f1af53178d94058a9f5439211449e02" TargetMode="External"/><Relationship Id="rId194" Type="http://schemas.openxmlformats.org/officeDocument/2006/relationships/hyperlink" Target="https://www.loom.com/i/4e748316d3d74f948d9b57648760bbf6" TargetMode="External"/><Relationship Id="rId208" Type="http://schemas.openxmlformats.org/officeDocument/2006/relationships/hyperlink" Target="https://www.loom.com/i/b5e037d03c7e476c9b30fe497e7c1c58" TargetMode="External"/><Relationship Id="rId415" Type="http://schemas.openxmlformats.org/officeDocument/2006/relationships/hyperlink" Target="https://sbi-devsit1.sbicard.com/html/en/personal/credit-cards/sbi-card-prime.html" TargetMode="External"/><Relationship Id="rId457" Type="http://schemas.openxmlformats.org/officeDocument/2006/relationships/hyperlink" Target="https://www.loom.com/i/ea8c423a1eb841c49c4bb0aa15a886f5" TargetMode="External"/><Relationship Id="rId261" Type="http://schemas.openxmlformats.org/officeDocument/2006/relationships/hyperlink" Target="https://www.loom.com/i/3a21c6c1364e44fb87143e3613d8470a" TargetMode="External"/><Relationship Id="rId14" Type="http://schemas.openxmlformats.org/officeDocument/2006/relationships/hyperlink" Target="https://www.loom.com/i/e779dab1820143d28438af4ca04d0fb4" TargetMode="External"/><Relationship Id="rId56" Type="http://schemas.openxmlformats.org/officeDocument/2006/relationships/hyperlink" Target="https://www.loom.com/i/0bf2d764dac9413b859809909c6d329d" TargetMode="External"/><Relationship Id="rId317" Type="http://schemas.openxmlformats.org/officeDocument/2006/relationships/hyperlink" Target="https://sbi-devsit1.sbicard.com/html/en/personal/credit-cards/sbi-card-miles-elite.html" TargetMode="External"/><Relationship Id="rId359" Type="http://schemas.openxmlformats.org/officeDocument/2006/relationships/hyperlink" Target="https://www.loom.com/i/e20fcd89883b45febcd8cca2b64e4df2" TargetMode="External"/><Relationship Id="rId98" Type="http://schemas.openxmlformats.org/officeDocument/2006/relationships/hyperlink" Target="https://loom.com/i/dc56f7bc5efc4c9c9882902debbf1e2c" TargetMode="External"/><Relationship Id="rId121" Type="http://schemas.openxmlformats.org/officeDocument/2006/relationships/hyperlink" Target="https://www.loom.com/i/bc571ad8c48049969ce3727872008d0d" TargetMode="External"/><Relationship Id="rId163" Type="http://schemas.openxmlformats.org/officeDocument/2006/relationships/hyperlink" Target="https://www.loom.com/i/c5383f90888940769a0fa0c8656c4e17" TargetMode="External"/><Relationship Id="rId219" Type="http://schemas.openxmlformats.org/officeDocument/2006/relationships/hyperlink" Target="https://www.loom.com/i/e31b7adfb13a475fabd565b8b8913c52" TargetMode="External"/><Relationship Id="rId370" Type="http://schemas.openxmlformats.org/officeDocument/2006/relationships/hyperlink" Target="https://www.loom.com/i/854098eaef124193b2af23dc723d3308" TargetMode="External"/><Relationship Id="rId426" Type="http://schemas.openxmlformats.org/officeDocument/2006/relationships/hyperlink" Target="https://sbi-sit1.sbicard.com/html/en/personal/credit-cards/tata-neu-infinity-sbi-card.html" TargetMode="External"/><Relationship Id="rId230" Type="http://schemas.openxmlformats.org/officeDocument/2006/relationships/hyperlink" Target="https://www.loom.com/i/1c3b4443261b438a8721135abf66332d" TargetMode="External"/><Relationship Id="rId468" Type="http://schemas.openxmlformats.org/officeDocument/2006/relationships/hyperlink" Target="https://www.loom.com/i/ca82b16029674a5b92ce7f48a3ad4f6c" TargetMode="External"/><Relationship Id="rId25" Type="http://schemas.openxmlformats.org/officeDocument/2006/relationships/hyperlink" Target="https://www.loom.com/i/4c5e050eae824c2ca11016ec3b5c3746" TargetMode="External"/><Relationship Id="rId67" Type="http://schemas.openxmlformats.org/officeDocument/2006/relationships/hyperlink" Target="https://www.loom.com/i/9d304da990314f08b0bbabe4d80b85fc" TargetMode="External"/><Relationship Id="rId272" Type="http://schemas.openxmlformats.org/officeDocument/2006/relationships/hyperlink" Target="https://www.loom.com/i/27efca44dffd4d73a7a8c2d626aef705" TargetMode="External"/><Relationship Id="rId328" Type="http://schemas.openxmlformats.org/officeDocument/2006/relationships/hyperlink" Target="https://sbi-devsit1.sbicard.com/html/en/personal/credit-cards/etihad-guest-sbi-card.html" TargetMode="External"/><Relationship Id="rId132" Type="http://schemas.openxmlformats.org/officeDocument/2006/relationships/hyperlink" Target="https://www.loom.com/i/a491a83c1ae14ab59f6b918340b90c27" TargetMode="External"/><Relationship Id="rId174" Type="http://schemas.openxmlformats.org/officeDocument/2006/relationships/hyperlink" Target="https://www.loom.com/i/c2a2609e09364afc9dbb4182ec5783c9" TargetMode="External"/><Relationship Id="rId381" Type="http://schemas.openxmlformats.org/officeDocument/2006/relationships/hyperlink" Target="https://sbi-devsit1.sbicard.com/html/en/personal/credit-cards/paytm-sbi-card.html" TargetMode="External"/><Relationship Id="rId241" Type="http://schemas.openxmlformats.org/officeDocument/2006/relationships/hyperlink" Target="https://www.loom.com/i/57efb2d0848e424baf29c1f516026ae8" TargetMode="External"/><Relationship Id="rId437" Type="http://schemas.openxmlformats.org/officeDocument/2006/relationships/hyperlink" Target="https://loom.com/i/d837ddaac0d8409381b53291313c81f5" TargetMode="External"/><Relationship Id="rId479" Type="http://schemas.openxmlformats.org/officeDocument/2006/relationships/hyperlink" Target="https://loom.com/i/f603c4b6d6074f479f5e1d081604d2a3" TargetMode="External"/><Relationship Id="rId36" Type="http://schemas.openxmlformats.org/officeDocument/2006/relationships/hyperlink" Target="https://www.loom.com/i/e6b49662f18446c4987c1aa6bfd62a73" TargetMode="External"/><Relationship Id="rId283" Type="http://schemas.openxmlformats.org/officeDocument/2006/relationships/hyperlink" Target="https://www.loom.com/i/70fee7c7b5584279bb14e68d70ad3e61" TargetMode="External"/><Relationship Id="rId339" Type="http://schemas.openxmlformats.org/officeDocument/2006/relationships/hyperlink" Target="https://www.loom.com/i/7b3599d79a6c426eb63d5d5b66bed197" TargetMode="External"/><Relationship Id="rId78" Type="http://schemas.openxmlformats.org/officeDocument/2006/relationships/hyperlink" Target="https://www.loom.com/i/5b603116c88249f8933693cdd6915560" TargetMode="External"/><Relationship Id="rId101" Type="http://schemas.openxmlformats.org/officeDocument/2006/relationships/hyperlink" Target="https://www.loom.com/i/720e59e66e2d4e769ee120f618f5e5bc" TargetMode="External"/><Relationship Id="rId143" Type="http://schemas.openxmlformats.org/officeDocument/2006/relationships/hyperlink" Target="https://www.loom.com/i/5f32e936c493457798dfcf2655ba5055" TargetMode="External"/><Relationship Id="rId185" Type="http://schemas.openxmlformats.org/officeDocument/2006/relationships/hyperlink" Target="https://www.loom.com/i/d0519249f14b4401ada267a5fa96628c" TargetMode="External"/><Relationship Id="rId350" Type="http://schemas.openxmlformats.org/officeDocument/2006/relationships/hyperlink" Target="https://www.loom.com/i/cd903bada5514f019f4876cc55cce7e2" TargetMode="External"/><Relationship Id="rId406" Type="http://schemas.openxmlformats.org/officeDocument/2006/relationships/hyperlink" Target="https://sbi-devsit1.sbicard.com/html/en/personal/credit-cards/sbi-card-miles.html" TargetMode="External"/><Relationship Id="rId9" Type="http://schemas.openxmlformats.org/officeDocument/2006/relationships/hyperlink" Target="https://www.loom.com/i/d729703155714891b3713795ee49da2e" TargetMode="External"/><Relationship Id="rId210" Type="http://schemas.openxmlformats.org/officeDocument/2006/relationships/hyperlink" Target="https://www.loom.com/i/5568866abcff41be997db8498a125fcc" TargetMode="External"/><Relationship Id="rId392" Type="http://schemas.openxmlformats.org/officeDocument/2006/relationships/hyperlink" Target="https://sbi-devsit1.sbicard.com/html/en/personal/credit-cards/flipkart-sbi-card.html" TargetMode="External"/><Relationship Id="rId448" Type="http://schemas.openxmlformats.org/officeDocument/2006/relationships/hyperlink" Target="https://www.loom.com/i/1d143d1826054f11810e8fb1b8095659" TargetMode="External"/><Relationship Id="rId252" Type="http://schemas.openxmlformats.org/officeDocument/2006/relationships/hyperlink" Target="https://www.loom.com/i/c6103de0685645efa6a8d4ae4f01bd44" TargetMode="External"/><Relationship Id="rId294" Type="http://schemas.openxmlformats.org/officeDocument/2006/relationships/hyperlink" Target="https://www.loom.com/i/cf2390b8ae0e4005a13ab5ec1e2143af" TargetMode="External"/><Relationship Id="rId308" Type="http://schemas.openxmlformats.org/officeDocument/2006/relationships/hyperlink" Target="https://sbi-devsit1.sbicard.com/html/en/personal/credit-cards/doctors-sbi-card.html" TargetMode="External"/><Relationship Id="rId47" Type="http://schemas.openxmlformats.org/officeDocument/2006/relationships/hyperlink" Target="https://www.loom.com/i/0182ac624ab64dda80dfeac298bb7d34" TargetMode="External"/><Relationship Id="rId89" Type="http://schemas.openxmlformats.org/officeDocument/2006/relationships/hyperlink" Target="https://www.loom.com/i/4da57fcd0f1948c88d51843748a76ad8" TargetMode="External"/><Relationship Id="rId112" Type="http://schemas.openxmlformats.org/officeDocument/2006/relationships/hyperlink" Target="https://www.loom.com/i/0e4cc9810f7e419dbd07366a8ce83139" TargetMode="External"/><Relationship Id="rId154" Type="http://schemas.openxmlformats.org/officeDocument/2006/relationships/hyperlink" Target="https://www.loom.com/i/7dd4bfc778764b6da8299667b205c844" TargetMode="External"/><Relationship Id="rId361" Type="http://schemas.openxmlformats.org/officeDocument/2006/relationships/hyperlink" Target="https://www.loom.com/i/1e32b1e72a384724bd3cf976d3b30193" TargetMode="External"/><Relationship Id="rId196" Type="http://schemas.openxmlformats.org/officeDocument/2006/relationships/hyperlink" Target="https://www.loom.com/i/4e5f6886ee1e4626878ff4049f158853" TargetMode="External"/><Relationship Id="rId417" Type="http://schemas.openxmlformats.org/officeDocument/2006/relationships/hyperlink" Target="https://sbi-devsit1.sbicard.com/html/en/personal/credit-cards/sbi-card-prime.html" TargetMode="External"/><Relationship Id="rId459" Type="http://schemas.openxmlformats.org/officeDocument/2006/relationships/hyperlink" Target="https://www.loom.com/i/c22fa40f2c08486fb0f4a5ec5bfc6799" TargetMode="External"/><Relationship Id="rId16" Type="http://schemas.openxmlformats.org/officeDocument/2006/relationships/hyperlink" Target="https://www.loom.com/i/f69ca5a0b1c840ce8d22ec978928ed51" TargetMode="External"/><Relationship Id="rId221" Type="http://schemas.openxmlformats.org/officeDocument/2006/relationships/hyperlink" Target="https://www.loom.com/i/6d5bb28b9b6b49608f066c7893f7419b" TargetMode="External"/><Relationship Id="rId263" Type="http://schemas.openxmlformats.org/officeDocument/2006/relationships/hyperlink" Target="https://www.loom.com/i/46bf133089e5464b9f828551d169dc94" TargetMode="External"/><Relationship Id="rId319" Type="http://schemas.openxmlformats.org/officeDocument/2006/relationships/hyperlink" Target="https://sbi-devsit1.sbicard.com/html/en/personal/credit-cards/sbi-card-pulse.html" TargetMode="External"/><Relationship Id="rId470" Type="http://schemas.openxmlformats.org/officeDocument/2006/relationships/hyperlink" Target="https://www.loom.com/i/f9d9b3de04aa4ccd9e2fe5c8044c5fbc" TargetMode="External"/><Relationship Id="rId58" Type="http://schemas.openxmlformats.org/officeDocument/2006/relationships/hyperlink" Target="https://www.loom.com/i/a862282b3a5c47e6be45a0c9eb77457d" TargetMode="External"/><Relationship Id="rId123" Type="http://schemas.openxmlformats.org/officeDocument/2006/relationships/hyperlink" Target="https://www.loom.com/i/92cdbf228c704508b3087dd03be95e37" TargetMode="External"/><Relationship Id="rId330" Type="http://schemas.openxmlformats.org/officeDocument/2006/relationships/hyperlink" Target="https://sbi-devsit1.sbicard.com/html/en/personal/credit-cards/bpcl-sbi-card.html" TargetMode="External"/><Relationship Id="rId165" Type="http://schemas.openxmlformats.org/officeDocument/2006/relationships/hyperlink" Target="https://www.loom.com/i/866c65de27024845b02593f3f052b888" TargetMode="External"/><Relationship Id="rId372" Type="http://schemas.openxmlformats.org/officeDocument/2006/relationships/hyperlink" Target="https://www.loom.com/i/9a2e0f41530b45809dc962021bb4bc97" TargetMode="External"/><Relationship Id="rId428" Type="http://schemas.openxmlformats.org/officeDocument/2006/relationships/hyperlink" Target="https://sbi-devsit1.sbicard.com/html/en/personal/credit-cards/tata-neu-plus-sbi-card.html" TargetMode="External"/><Relationship Id="rId232" Type="http://schemas.openxmlformats.org/officeDocument/2006/relationships/hyperlink" Target="https://www.loom.com/i/dd4805c0c3dd44c58f2d54be8f60bd80" TargetMode="External"/><Relationship Id="rId274" Type="http://schemas.openxmlformats.org/officeDocument/2006/relationships/hyperlink" Target="https://www.loom.com/i/53ed3b0e7fcb4e74a4f7b336eba1c544" TargetMode="External"/><Relationship Id="rId481" Type="http://schemas.openxmlformats.org/officeDocument/2006/relationships/hyperlink" Target="https://www.loom.com/i/bb03412f169c4f048ff057b293919125" TargetMode="External"/><Relationship Id="rId27" Type="http://schemas.openxmlformats.org/officeDocument/2006/relationships/hyperlink" Target="https://www.loom.com/i/6db2c02a62d54f2198f53875fbcd1c41" TargetMode="External"/><Relationship Id="rId69" Type="http://schemas.openxmlformats.org/officeDocument/2006/relationships/hyperlink" Target="https://www.loom.com/i/fd6122bbe9c7477295f2e3ffbd37e47e" TargetMode="External"/><Relationship Id="rId134" Type="http://schemas.openxmlformats.org/officeDocument/2006/relationships/hyperlink" Target="https://www.loom.com/i/1e6139f1c6f44567ba9ecb11061be441" TargetMode="External"/><Relationship Id="rId80" Type="http://schemas.openxmlformats.org/officeDocument/2006/relationships/hyperlink" Target="https://www.loom.com/i/8639d35fb970411abc3c2c34125dc6f5" TargetMode="External"/><Relationship Id="rId176" Type="http://schemas.openxmlformats.org/officeDocument/2006/relationships/hyperlink" Target="https://www.loom.com/i/e4a7415f01344450b36b5f2586dcd90f" TargetMode="External"/><Relationship Id="rId341" Type="http://schemas.openxmlformats.org/officeDocument/2006/relationships/hyperlink" Target="https://www.loom.com/i/f75c8e032f5246f6b703361e97859c4a" TargetMode="External"/><Relationship Id="rId383" Type="http://schemas.openxmlformats.org/officeDocument/2006/relationships/hyperlink" Target="https://www.loom.com/i/05f684dc40e2419db2043c9a6fae1158" TargetMode="External"/><Relationship Id="rId439" Type="http://schemas.openxmlformats.org/officeDocument/2006/relationships/hyperlink" Target="https://www.loom.com/i/7f046b31401e4a34909a186d5479452f" TargetMode="External"/><Relationship Id="rId201" Type="http://schemas.openxmlformats.org/officeDocument/2006/relationships/hyperlink" Target="https://www.loom.com/i/871af47834a84b91accbd03fe4105dfc" TargetMode="External"/><Relationship Id="rId243" Type="http://schemas.openxmlformats.org/officeDocument/2006/relationships/hyperlink" Target="https://www.loom.com/i/883c98fc0b85469a99382ee4a1a1aeea" TargetMode="External"/><Relationship Id="rId285" Type="http://schemas.openxmlformats.org/officeDocument/2006/relationships/hyperlink" Target="https://www.loom.com/i/a1f49007dc3b4c4eb7a2358e38381283" TargetMode="External"/><Relationship Id="rId450" Type="http://schemas.openxmlformats.org/officeDocument/2006/relationships/hyperlink" Target="https://sbi-devsit1.sbicard.com/html/en/personal/credit-cards/doctors-ima-sbi-card.html" TargetMode="External"/><Relationship Id="rId38" Type="http://schemas.openxmlformats.org/officeDocument/2006/relationships/hyperlink" Target="https://www.loom.com/i/5fd0cea97ffb4bb6b018cd6b6803df41" TargetMode="External"/><Relationship Id="rId103" Type="http://schemas.openxmlformats.org/officeDocument/2006/relationships/hyperlink" Target="https://www.loom.com/i/3b931b287f0a475cb2fea121222f347c" TargetMode="External"/><Relationship Id="rId310" Type="http://schemas.openxmlformats.org/officeDocument/2006/relationships/hyperlink" Target="https://sbi-devsit1.sbicard.com/html/en/personal/credit-cards/flipkart-sbi-card.html" TargetMode="External"/><Relationship Id="rId91" Type="http://schemas.openxmlformats.org/officeDocument/2006/relationships/hyperlink" Target="https://www.loom.com/i/84232708c662410da49a54c90a39d8e1" TargetMode="External"/><Relationship Id="rId145" Type="http://schemas.openxmlformats.org/officeDocument/2006/relationships/hyperlink" Target="https://www.loom.com/i/78c611a8911843b2b0f593acf2f17f73" TargetMode="External"/><Relationship Id="rId187" Type="http://schemas.openxmlformats.org/officeDocument/2006/relationships/hyperlink" Target="https://www.loom.com/i/ab857c3fd5df4049accb272724a1aef5" TargetMode="External"/><Relationship Id="rId352" Type="http://schemas.openxmlformats.org/officeDocument/2006/relationships/hyperlink" Target="https://www.loom.com/i/f8a1d7d3f8dd438ca62cec80cd73e4ea" TargetMode="External"/><Relationship Id="rId394" Type="http://schemas.openxmlformats.org/officeDocument/2006/relationships/hyperlink" Target="https://sbi-devsit1.sbicard.com/html/en/personal/credit-cards/irctc-premier-card.html" TargetMode="External"/><Relationship Id="rId408" Type="http://schemas.openxmlformats.org/officeDocument/2006/relationships/hyperlink" Target="https://sbi-devsit1.sbicard.com/html/en/personal/credit-cards/sbi-card-miles.html" TargetMode="External"/><Relationship Id="rId212" Type="http://schemas.openxmlformats.org/officeDocument/2006/relationships/hyperlink" Target="https://www.loom.com/i/542d62144eec456cb955e353024b2919" TargetMode="External"/><Relationship Id="rId254" Type="http://schemas.openxmlformats.org/officeDocument/2006/relationships/hyperlink" Target="https://www.loom.com/i/bb73be98a6274f11bd46af9dec1a7aa8" TargetMode="External"/><Relationship Id="rId49" Type="http://schemas.openxmlformats.org/officeDocument/2006/relationships/hyperlink" Target="https://www.loom.com/i/51add941ab554d9bbacdef1dcbddb9e2" TargetMode="External"/><Relationship Id="rId114" Type="http://schemas.openxmlformats.org/officeDocument/2006/relationships/hyperlink" Target="https://www.loom.com/i/895040f7df834440ac46b16d18d50a40" TargetMode="External"/><Relationship Id="rId296" Type="http://schemas.openxmlformats.org/officeDocument/2006/relationships/hyperlink" Target="https://www.loom.com/i/cd88c6785d004ee4a3127ad84330a665" TargetMode="External"/><Relationship Id="rId461" Type="http://schemas.openxmlformats.org/officeDocument/2006/relationships/hyperlink" Target="https://www.loom.com/i/994b645b817c4e82872c88d12070e9db" TargetMode="External"/><Relationship Id="rId60" Type="http://schemas.openxmlformats.org/officeDocument/2006/relationships/hyperlink" Target="https://www.loom.com/i/78a969c02ba5405e994aafde832d2ad8" TargetMode="External"/><Relationship Id="rId156" Type="http://schemas.openxmlformats.org/officeDocument/2006/relationships/hyperlink" Target="https://www.loom.com/i/fe10ba9a329b48c7abb0c76a46a0a3cc" TargetMode="External"/><Relationship Id="rId198" Type="http://schemas.openxmlformats.org/officeDocument/2006/relationships/hyperlink" Target="https://www.loom.com/i/6ca429628f7242eabcb19e7cf41701c4" TargetMode="External"/><Relationship Id="rId321" Type="http://schemas.openxmlformats.org/officeDocument/2006/relationships/hyperlink" Target="https://sbi-sit1.sbicard.com/html/en/personal/credit-cards/tata-neu-infinity-sbi-card.html" TargetMode="External"/><Relationship Id="rId363" Type="http://schemas.openxmlformats.org/officeDocument/2006/relationships/hyperlink" Target="https://www.loom.com/i/a773a3165c4e42e1803283ba3b0f8b05" TargetMode="External"/><Relationship Id="rId419" Type="http://schemas.openxmlformats.org/officeDocument/2006/relationships/hyperlink" Target="https://sbi-devsit1.sbicard.com/html/en/personal/credit-cards/sbi-card-pulse.html" TargetMode="External"/><Relationship Id="rId223" Type="http://schemas.openxmlformats.org/officeDocument/2006/relationships/hyperlink" Target="https://www.loom.com/i/ad57d24456b44c2d85186ae70c68b398" TargetMode="External"/><Relationship Id="rId430" Type="http://schemas.openxmlformats.org/officeDocument/2006/relationships/hyperlink" Target="https://www.loom.com/i/b51721dc0a914016a5042a0cb4de97ed" TargetMode="External"/><Relationship Id="rId18" Type="http://schemas.openxmlformats.org/officeDocument/2006/relationships/hyperlink" Target="https://loom.com/i/f72391bdcf20474aba970845ac0967ec" TargetMode="External"/><Relationship Id="rId265" Type="http://schemas.openxmlformats.org/officeDocument/2006/relationships/hyperlink" Target="https://www.loom.com/i/74619c88c0b84a82a1e4c9cf3ed237b1" TargetMode="External"/><Relationship Id="rId472" Type="http://schemas.openxmlformats.org/officeDocument/2006/relationships/hyperlink" Target="https://loom.com/i/bdd7db005c2d4a8b87a69f298e81333c" TargetMode="External"/><Relationship Id="rId125" Type="http://schemas.openxmlformats.org/officeDocument/2006/relationships/hyperlink" Target="https://www.loom.com/i/fb9b9a313f1d414c90dfa305523173b3" TargetMode="External"/><Relationship Id="rId167" Type="http://schemas.openxmlformats.org/officeDocument/2006/relationships/hyperlink" Target="https://www.loom.com/i/992fc605aa8147a1b0178bc0343ac523" TargetMode="External"/><Relationship Id="rId332" Type="http://schemas.openxmlformats.org/officeDocument/2006/relationships/hyperlink" Target="https://sbi-devsit1.sbicard.com/html/en/personal/credit-cards/bpcl-sbi-card.html" TargetMode="External"/><Relationship Id="rId374" Type="http://schemas.openxmlformats.org/officeDocument/2006/relationships/hyperlink" Target="https://www.loom.com/i/8c4245cbb1824cd187d66ebed82bb295" TargetMode="External"/><Relationship Id="rId71" Type="http://schemas.openxmlformats.org/officeDocument/2006/relationships/hyperlink" Target="https://www.loom.com/i/c96e89c7f8b64143b8335f65bc484e78" TargetMode="External"/><Relationship Id="rId234" Type="http://schemas.openxmlformats.org/officeDocument/2006/relationships/hyperlink" Target="https://www.loom.com/i/67e7b4e1577543d8b858f290927230fd" TargetMode="External"/><Relationship Id="rId2" Type="http://schemas.openxmlformats.org/officeDocument/2006/relationships/hyperlink" Target="https://www.loom.com/i/89bcf6f456b045d49d85cca533e192c4" TargetMode="External"/><Relationship Id="rId29" Type="http://schemas.openxmlformats.org/officeDocument/2006/relationships/hyperlink" Target="https://www.loom.com/i/3d7dd662c6b7452c9db5b7e6f730201a" TargetMode="External"/><Relationship Id="rId276" Type="http://schemas.openxmlformats.org/officeDocument/2006/relationships/hyperlink" Target="https://www.loom.com/i/9055c8e9a6454f37986c87ed0f725906" TargetMode="External"/><Relationship Id="rId441" Type="http://schemas.openxmlformats.org/officeDocument/2006/relationships/hyperlink" Target="https://www.loom.com/i/eb095c97e791434ea14e37c02c8f6979" TargetMode="External"/><Relationship Id="rId40" Type="http://schemas.openxmlformats.org/officeDocument/2006/relationships/hyperlink" Target="https://www.loom.com/i/2076ac745e664027aa39316be4b31dcf" TargetMode="External"/><Relationship Id="rId136" Type="http://schemas.openxmlformats.org/officeDocument/2006/relationships/hyperlink" Target="https://www.loom.com/i/e4b0c1aac4af40ce95a976145b0110bf" TargetMode="External"/><Relationship Id="rId178" Type="http://schemas.openxmlformats.org/officeDocument/2006/relationships/hyperlink" Target="https://www.loom.com/i/8553c9421ba8405d89f64f913bde88d4" TargetMode="External"/><Relationship Id="rId301" Type="http://schemas.openxmlformats.org/officeDocument/2006/relationships/hyperlink" Target="https://www.loom.com/i/0f48e34cbc62473fb1b767cce9e1fa8c" TargetMode="External"/><Relationship Id="rId343" Type="http://schemas.openxmlformats.org/officeDocument/2006/relationships/hyperlink" Target="https://www.loom.com/i/2bac8df5d0094e6295f97bb5a8c3896f" TargetMode="External"/><Relationship Id="rId82" Type="http://schemas.openxmlformats.org/officeDocument/2006/relationships/hyperlink" Target="https://www.loom.com/i/09a8d0bfea304019b5eaf326a66d348a" TargetMode="External"/><Relationship Id="rId203" Type="http://schemas.openxmlformats.org/officeDocument/2006/relationships/hyperlink" Target="https://www.loom.com/i/f560b484cfa041379fe94958c5b77049" TargetMode="External"/><Relationship Id="rId385" Type="http://schemas.openxmlformats.org/officeDocument/2006/relationships/hyperlink" Target="https://www.loom.com/i/580ed19f2a4e4426aa31f5e362dbaf76" TargetMode="External"/><Relationship Id="rId245" Type="http://schemas.openxmlformats.org/officeDocument/2006/relationships/hyperlink" Target="https://www.loom.com/i/1268a6f953da4c9ab309758d6c11a723" TargetMode="External"/><Relationship Id="rId287" Type="http://schemas.openxmlformats.org/officeDocument/2006/relationships/hyperlink" Target="https://www.loom.com/share/b46e3a6e49ce4a31a156ea71e357cee0" TargetMode="External"/><Relationship Id="rId410" Type="http://schemas.openxmlformats.org/officeDocument/2006/relationships/hyperlink" Target="https://sbi-devsit1.sbicard.com/html/en/personal/credit-cards/sbi-card-miles-elite.html" TargetMode="External"/><Relationship Id="rId452" Type="http://schemas.openxmlformats.org/officeDocument/2006/relationships/hyperlink" Target="https://www.loom.com/i/787f87bd8fd04d5e81bc31d5e8da43c4" TargetMode="External"/><Relationship Id="rId105" Type="http://schemas.openxmlformats.org/officeDocument/2006/relationships/hyperlink" Target="https://www.loom.com/i/a7c6f50f777b4d1996f7ba7c3c09a295" TargetMode="External"/><Relationship Id="rId147" Type="http://schemas.openxmlformats.org/officeDocument/2006/relationships/hyperlink" Target="https://www.loom.com/i/591368931db54b4ea1d72e39cc63a462" TargetMode="External"/><Relationship Id="rId312" Type="http://schemas.openxmlformats.org/officeDocument/2006/relationships/hyperlink" Target="https://sbi-sit1.sbicard.com/html/en/personal/credit-cards/phonepe-sbi-card-purple.html" TargetMode="External"/><Relationship Id="rId354" Type="http://schemas.openxmlformats.org/officeDocument/2006/relationships/hyperlink" Target="https://www.loom.com/i/abe4e96d68424340aa7bdb1a724814af" TargetMode="External"/><Relationship Id="rId51" Type="http://schemas.openxmlformats.org/officeDocument/2006/relationships/hyperlink" Target="https://www.loom.com/i/a0b18d960f724356a74c3d7cc4facc54" TargetMode="External"/><Relationship Id="rId93" Type="http://schemas.openxmlformats.org/officeDocument/2006/relationships/hyperlink" Target="https://www.loom.com/i/02a7f225684d49be9d124b552a9c70ef" TargetMode="External"/><Relationship Id="rId189" Type="http://schemas.openxmlformats.org/officeDocument/2006/relationships/hyperlink" Target="https://www.loom.com/i/d25a05b60199429196c7a7767111c28b" TargetMode="External"/><Relationship Id="rId396" Type="http://schemas.openxmlformats.org/officeDocument/2006/relationships/hyperlink" Target="https://sbi-devsit1.sbicard.com/html/en/personal/credit-cards/krisflyer-sbi-card.html" TargetMode="External"/><Relationship Id="rId3" Type="http://schemas.openxmlformats.org/officeDocument/2006/relationships/hyperlink" Target="https://www.loom.com/i/fbd047c11cd245b19b23138787e23dd4" TargetMode="External"/><Relationship Id="rId214" Type="http://schemas.openxmlformats.org/officeDocument/2006/relationships/hyperlink" Target="https://www.loom.com/i/9a9d5c5fe3d54b4490a17492fd653fb6" TargetMode="External"/><Relationship Id="rId235" Type="http://schemas.openxmlformats.org/officeDocument/2006/relationships/hyperlink" Target="https://www.loom.com/i/ca3db6cecca34145a1252f813aeac75a" TargetMode="External"/><Relationship Id="rId256" Type="http://schemas.openxmlformats.org/officeDocument/2006/relationships/hyperlink" Target="https://www.loom.com/i/bda96027a2e04544bfcf93b4fc99f16d" TargetMode="External"/><Relationship Id="rId277" Type="http://schemas.openxmlformats.org/officeDocument/2006/relationships/hyperlink" Target="https://www.loom.com/i/e56455163bc14e9b96b175ff4f1650c1" TargetMode="External"/><Relationship Id="rId298" Type="http://schemas.openxmlformats.org/officeDocument/2006/relationships/hyperlink" Target="https://www.loom.com/i/0f8cae3cce00443788cd58ad17b561eb" TargetMode="External"/><Relationship Id="rId400" Type="http://schemas.openxmlformats.org/officeDocument/2006/relationships/hyperlink" Target="https://sbi-devsit1.sbicard.com/html/en/personal/credit-cards/cashback-sbi-card.html" TargetMode="External"/><Relationship Id="rId421" Type="http://schemas.openxmlformats.org/officeDocument/2006/relationships/hyperlink" Target="https://sbi-devsit1.sbicard.com/html/en/personal/credit-cards/sbi-card-pulse.html" TargetMode="External"/><Relationship Id="rId442" Type="http://schemas.openxmlformats.org/officeDocument/2006/relationships/hyperlink" Target="https://www.loom.com/i/4e2a554613d04b5ca2d0e2a9ff97f40d" TargetMode="External"/><Relationship Id="rId463" Type="http://schemas.openxmlformats.org/officeDocument/2006/relationships/hyperlink" Target="https://www.loom.com/share/935ba775e89f45eab397cf48fcc0eca0" TargetMode="External"/><Relationship Id="rId116" Type="http://schemas.openxmlformats.org/officeDocument/2006/relationships/hyperlink" Target="https://www.loom.com/i/9c0afc60c04e42f686e4b4296a7c629d" TargetMode="External"/><Relationship Id="rId137" Type="http://schemas.openxmlformats.org/officeDocument/2006/relationships/hyperlink" Target="https://www.loom.com/i/ada493958fcc40b9a2d24b636cde3bc7" TargetMode="External"/><Relationship Id="rId158" Type="http://schemas.openxmlformats.org/officeDocument/2006/relationships/hyperlink" Target="https://www.loom.com/i/04dae9aa4a6747e7b73c3d2f6e9dab2e" TargetMode="External"/><Relationship Id="rId302" Type="http://schemas.openxmlformats.org/officeDocument/2006/relationships/hyperlink" Target="https://www.loom.com/i/43e14d30fa0f489bbfa8bd65d2452362" TargetMode="External"/><Relationship Id="rId323" Type="http://schemas.openxmlformats.org/officeDocument/2006/relationships/hyperlink" Target="https://www.loom.com/i/845e4e6b5c864401856ca19306075dc9" TargetMode="External"/><Relationship Id="rId344" Type="http://schemas.openxmlformats.org/officeDocument/2006/relationships/hyperlink" Target="https://sbi-devsit1.sbicard.com/html/en/personal/credit-cards/apollo-sbi-card.html" TargetMode="External"/><Relationship Id="rId20" Type="http://schemas.openxmlformats.org/officeDocument/2006/relationships/hyperlink" Target="https://loom.com/i/c98bb5b1ecdd4639854862421a9cf4ad" TargetMode="External"/><Relationship Id="rId41" Type="http://schemas.openxmlformats.org/officeDocument/2006/relationships/hyperlink" Target="https://www.loom.com/i/9c18410fb9cb4c1797772d0aa04e967e" TargetMode="External"/><Relationship Id="rId62" Type="http://schemas.openxmlformats.org/officeDocument/2006/relationships/hyperlink" Target="https://www.loom.com/i/e21f13e7c3aa47ce90b06799115059e4" TargetMode="External"/><Relationship Id="rId83" Type="http://schemas.openxmlformats.org/officeDocument/2006/relationships/hyperlink" Target="https://www.loom.com/i/a9762e19f4bd4824a8063ae8b612c1bb" TargetMode="External"/><Relationship Id="rId179" Type="http://schemas.openxmlformats.org/officeDocument/2006/relationships/hyperlink" Target="https://www.loom.com/i/ad67688854ea4d52a7081f815d18847a" TargetMode="External"/><Relationship Id="rId365" Type="http://schemas.openxmlformats.org/officeDocument/2006/relationships/hyperlink" Target="https://sbi-devsit1.sbicard.com/html/en/personal/credit-cards/landmark-rewards-sbi-card.html" TargetMode="External"/><Relationship Id="rId386" Type="http://schemas.openxmlformats.org/officeDocument/2006/relationships/hyperlink" Target="https://sbi-devsit1.sbicard.com/html/en/personal/credit-cards/doctors-sbi-card.html" TargetMode="External"/><Relationship Id="rId190" Type="http://schemas.openxmlformats.org/officeDocument/2006/relationships/hyperlink" Target="https://www.loom.com/i/1f77644eab65480abda038b9e10f970f" TargetMode="External"/><Relationship Id="rId204" Type="http://schemas.openxmlformats.org/officeDocument/2006/relationships/hyperlink" Target="https://www.loom.com/i/943a31911432400cbef657ae40414f8f" TargetMode="External"/><Relationship Id="rId225" Type="http://schemas.openxmlformats.org/officeDocument/2006/relationships/hyperlink" Target="https://www.loom.com/i/20117722017c4e569d3994476cf53d1a" TargetMode="External"/><Relationship Id="rId246" Type="http://schemas.openxmlformats.org/officeDocument/2006/relationships/hyperlink" Target="https://www.loom.com/i/073c445aee89416ba30a797f25ee27a4" TargetMode="External"/><Relationship Id="rId267" Type="http://schemas.openxmlformats.org/officeDocument/2006/relationships/hyperlink" Target="https://www.loom.com/i/5f862b06c5cc4ffba61019d81f50754d" TargetMode="External"/><Relationship Id="rId288" Type="http://schemas.openxmlformats.org/officeDocument/2006/relationships/hyperlink" Target="https://www.loom.com/i/def342dbd94e4219a7c10b24d6b61e9d" TargetMode="External"/><Relationship Id="rId411" Type="http://schemas.openxmlformats.org/officeDocument/2006/relationships/hyperlink" Target="https://sbi-devsit1.sbicard.com/html/en/personal/credit-cards/sbi-card-miles-elite.html" TargetMode="External"/><Relationship Id="rId432" Type="http://schemas.openxmlformats.org/officeDocument/2006/relationships/hyperlink" Target="https://www.loom.com/i/0b102355215b4f089ce7d9f880079b1f" TargetMode="External"/><Relationship Id="rId453" Type="http://schemas.openxmlformats.org/officeDocument/2006/relationships/hyperlink" Target="https://www.loom.com/i/9c9e07da41134c8ea746613e97735c10" TargetMode="External"/><Relationship Id="rId474" Type="http://schemas.openxmlformats.org/officeDocument/2006/relationships/hyperlink" Target="https://loom.com/i/1093d8e1f08f410c8af5b544cdcd2bd2" TargetMode="External"/><Relationship Id="rId106" Type="http://schemas.openxmlformats.org/officeDocument/2006/relationships/hyperlink" Target="https://www.loom.com/i/a891fe7a9e0f433385a3b206e199048f" TargetMode="External"/><Relationship Id="rId127" Type="http://schemas.openxmlformats.org/officeDocument/2006/relationships/hyperlink" Target="https://www.loom.com/i/9745b5dd0ad142b49bcd4c6b7b19a7db" TargetMode="External"/><Relationship Id="rId313" Type="http://schemas.openxmlformats.org/officeDocument/2006/relationships/hyperlink" Target="https://sbi-devsit1.sbicard.com/html/en/personal/credit-cards/phonepe-sbi-card-select-black.html" TargetMode="External"/><Relationship Id="rId10" Type="http://schemas.openxmlformats.org/officeDocument/2006/relationships/hyperlink" Target="https://www.loom.com/i/856c78bc300641e881d684e2cfd23273" TargetMode="External"/><Relationship Id="rId31" Type="http://schemas.openxmlformats.org/officeDocument/2006/relationships/hyperlink" Target="https://www.loom.com/i/9db5cf9d907a4fe78f63ca3f92cac762" TargetMode="External"/><Relationship Id="rId52" Type="http://schemas.openxmlformats.org/officeDocument/2006/relationships/hyperlink" Target="https://www.loom.com/i/f9acfe851efc414bbdea209e87a1b3b9" TargetMode="External"/><Relationship Id="rId73" Type="http://schemas.openxmlformats.org/officeDocument/2006/relationships/hyperlink" Target="https://www.loom.com/i/ebfac4918b834347833ff07103b44ea2" TargetMode="External"/><Relationship Id="rId94" Type="http://schemas.openxmlformats.org/officeDocument/2006/relationships/hyperlink" Target="https://www.loom.com/i/e194faec69e54db98f0e4fe45f09d9e1" TargetMode="External"/><Relationship Id="rId148" Type="http://schemas.openxmlformats.org/officeDocument/2006/relationships/hyperlink" Target="https://www.loom.com/i/9bc0939ab0224e4aa85e6d90a724a680" TargetMode="External"/><Relationship Id="rId169" Type="http://schemas.openxmlformats.org/officeDocument/2006/relationships/hyperlink" Target="https://www.loom.com/i/22362980bd4e475e89be0dc68f9a40df" TargetMode="External"/><Relationship Id="rId334" Type="http://schemas.openxmlformats.org/officeDocument/2006/relationships/hyperlink" Target="https://www.loom.com/i/c58d89cd40f6402ca14639e806ccfb8b" TargetMode="External"/><Relationship Id="rId355" Type="http://schemas.openxmlformats.org/officeDocument/2006/relationships/hyperlink" Target="https://sbi-devsit1.sbicard.com/html/en/personal/credit-cards/indigo-sbi-card.html" TargetMode="External"/><Relationship Id="rId376" Type="http://schemas.openxmlformats.org/officeDocument/2006/relationships/hyperlink" Target="https://www.loom.com/i/3cbe6117a137476d9606592b9b304de5" TargetMode="External"/><Relationship Id="rId397" Type="http://schemas.openxmlformats.org/officeDocument/2006/relationships/hyperlink" Target="https://sbi-sit1.sbicard.com/html/en/personal/credit-cards/phonepe-sbi-card-purple.html" TargetMode="External"/><Relationship Id="rId4" Type="http://schemas.openxmlformats.org/officeDocument/2006/relationships/hyperlink" Target="https://www.loom.com/i/241bc7cea51d4111b878cdc109659584" TargetMode="External"/><Relationship Id="rId180" Type="http://schemas.openxmlformats.org/officeDocument/2006/relationships/hyperlink" Target="https://www.loom.com/i/bc3dcaae290746eda1ed21456fd073f0" TargetMode="External"/><Relationship Id="rId215" Type="http://schemas.openxmlformats.org/officeDocument/2006/relationships/hyperlink" Target="https://www.loom.com/i/a107035ddd0f48299a764b54682df3c3" TargetMode="External"/><Relationship Id="rId236" Type="http://schemas.openxmlformats.org/officeDocument/2006/relationships/hyperlink" Target="https://www.loom.com/i/ad67688854ea4d52a7081f815d18847a" TargetMode="External"/><Relationship Id="rId257" Type="http://schemas.openxmlformats.org/officeDocument/2006/relationships/hyperlink" Target="https://www.loom.com/i/32f1d055d8064a2c98d8f53ab4fd796b" TargetMode="External"/><Relationship Id="rId278" Type="http://schemas.openxmlformats.org/officeDocument/2006/relationships/hyperlink" Target="https://www.loom.com/i/ce18e01a8c1b4fdb94eb26d73176756b" TargetMode="External"/><Relationship Id="rId401" Type="http://schemas.openxmlformats.org/officeDocument/2006/relationships/hyperlink" Target="https://sbi-devsit1.sbicard.com/html/en/personal/credit-cards/sbi-card-elite.html" TargetMode="External"/><Relationship Id="rId422" Type="http://schemas.openxmlformats.org/officeDocument/2006/relationships/hyperlink" Target="https://sbi-devsit1.sbicard.com/html/en/personal/credit-cards/sbi-card-pulse.html" TargetMode="External"/><Relationship Id="rId443" Type="http://schemas.openxmlformats.org/officeDocument/2006/relationships/hyperlink" Target="https://www.loom.com/i/0dde967ca36d4faeaa4a991e49e30482" TargetMode="External"/><Relationship Id="rId464" Type="http://schemas.openxmlformats.org/officeDocument/2006/relationships/hyperlink" Target="https://www.loom.com/share/643f8c089526416ca8917e6efccab2ef" TargetMode="External"/><Relationship Id="rId303" Type="http://schemas.openxmlformats.org/officeDocument/2006/relationships/hyperlink" Target="https://www.loom.com/i/52a684d6551347c6a47f2356d5b802bd" TargetMode="External"/><Relationship Id="rId42" Type="http://schemas.openxmlformats.org/officeDocument/2006/relationships/hyperlink" Target="https://www.loom.com/i/43543f1d0c3246a3be901423c2a2aa78" TargetMode="External"/><Relationship Id="rId84" Type="http://schemas.openxmlformats.org/officeDocument/2006/relationships/hyperlink" Target="https://www.loom.com/i/fde2f788187443c4a0600daf15ad9cf9" TargetMode="External"/><Relationship Id="rId138" Type="http://schemas.openxmlformats.org/officeDocument/2006/relationships/hyperlink" Target="https://www.loom.com/i/1c8af9de03e84293bb37bb83b5cbfd7d" TargetMode="External"/><Relationship Id="rId345" Type="http://schemas.openxmlformats.org/officeDocument/2006/relationships/hyperlink" Target="https://www.loom.com/i/333e5f190e014d2c92ed79705229d247" TargetMode="External"/><Relationship Id="rId387" Type="http://schemas.openxmlformats.org/officeDocument/2006/relationships/hyperlink" Target="https://sbi-devsit1.sbicard.com/html/en/personal/credit-cards/doctors-sbi-card.html" TargetMode="External"/><Relationship Id="rId191" Type="http://schemas.openxmlformats.org/officeDocument/2006/relationships/hyperlink" Target="https://www.loom.com/i/b18f7548681f4af19a8d11698d39d08f" TargetMode="External"/><Relationship Id="rId205" Type="http://schemas.openxmlformats.org/officeDocument/2006/relationships/hyperlink" Target="https://www.loom.com/i/7c168baf2e6246c18e8c325e5b1af158" TargetMode="External"/><Relationship Id="rId247" Type="http://schemas.openxmlformats.org/officeDocument/2006/relationships/hyperlink" Target="https://www.loom.com/i/c94e2e1fe4d74817962e8a1a08bb8670" TargetMode="External"/><Relationship Id="rId412" Type="http://schemas.openxmlformats.org/officeDocument/2006/relationships/hyperlink" Target="https://sbi-devsit1.sbicard.com/html/en/personal/credit-cards/sbi-card-prime.html" TargetMode="External"/><Relationship Id="rId107" Type="http://schemas.openxmlformats.org/officeDocument/2006/relationships/hyperlink" Target="https://www.loom.com/i/ff2c777cc2884375bb0ec217aa9073b8" TargetMode="External"/><Relationship Id="rId289" Type="http://schemas.openxmlformats.org/officeDocument/2006/relationships/hyperlink" Target="https://www.loom.com/i/454a81daa24646478fc4f2e2001a7a93" TargetMode="External"/><Relationship Id="rId454" Type="http://schemas.openxmlformats.org/officeDocument/2006/relationships/hyperlink" Target="https://www.loom.com/i/51ea24900bf54ef686b3f78f0a0f49a7" TargetMode="External"/><Relationship Id="rId11" Type="http://schemas.openxmlformats.org/officeDocument/2006/relationships/hyperlink" Target="https://www.loom.com/i/8e26b32ca7774251922bf5c1baf01466" TargetMode="External"/><Relationship Id="rId53" Type="http://schemas.openxmlformats.org/officeDocument/2006/relationships/hyperlink" Target="https://www.loom.com/i/114e092a8cd84f4c96247fbd5d28bc56" TargetMode="External"/><Relationship Id="rId149" Type="http://schemas.openxmlformats.org/officeDocument/2006/relationships/hyperlink" Target="https://www.loom.com/i/5b4fe79b5bf541808f0667f1cdd41804" TargetMode="External"/><Relationship Id="rId314" Type="http://schemas.openxmlformats.org/officeDocument/2006/relationships/hyperlink" Target="https://sbi-devsit1.sbicard.com/html/en/personal/credit-cards/cashback-sbi-card.html" TargetMode="External"/><Relationship Id="rId356" Type="http://schemas.openxmlformats.org/officeDocument/2006/relationships/hyperlink" Target="https://sbi-devsit1.sbicard.com/html/en/personal/credit-cards/reliance-sbi-card-prime.html" TargetMode="External"/><Relationship Id="rId398" Type="http://schemas.openxmlformats.org/officeDocument/2006/relationships/hyperlink" Target="https://sbi-devsit1.sbicard.com/html/en/personal/credit-cards/phonepe-sbi-card-select-black.html" TargetMode="External"/><Relationship Id="rId95" Type="http://schemas.openxmlformats.org/officeDocument/2006/relationships/hyperlink" Target="https://www.loom.com/i/186913c3d91343eaa9bb68e179035606" TargetMode="External"/><Relationship Id="rId160" Type="http://schemas.openxmlformats.org/officeDocument/2006/relationships/hyperlink" Target="https://www.loom.com/i/efbb3d2a725b4935a5a8a5636d99263a" TargetMode="External"/><Relationship Id="rId216" Type="http://schemas.openxmlformats.org/officeDocument/2006/relationships/hyperlink" Target="https://www.loom.com/i/2a0d29f334794e1fb837078bee21eb5c" TargetMode="External"/><Relationship Id="rId423" Type="http://schemas.openxmlformats.org/officeDocument/2006/relationships/hyperlink" Target="https://sbi-devsit1.sbicard.com/html/en/personal/credit-cards/sbi-card-pulse.html" TargetMode="External"/><Relationship Id="rId258" Type="http://schemas.openxmlformats.org/officeDocument/2006/relationships/hyperlink" Target="https://www.loom.com/i/51bce9bf93de4ffaa0e6af262fba09ea" TargetMode="External"/><Relationship Id="rId465" Type="http://schemas.openxmlformats.org/officeDocument/2006/relationships/hyperlink" Target="https://www.loom.com/i/1017a48d628e48b5ab85870c8ff048ab" TargetMode="External"/><Relationship Id="rId22" Type="http://schemas.openxmlformats.org/officeDocument/2006/relationships/hyperlink" Target="https://loom.com/i/22eff35d30b8438dace8b835ea4e2d97" TargetMode="External"/><Relationship Id="rId64" Type="http://schemas.openxmlformats.org/officeDocument/2006/relationships/hyperlink" Target="https://www.loom.com/i/6442a03ded404301adb22bd6053a0496" TargetMode="External"/><Relationship Id="rId118" Type="http://schemas.openxmlformats.org/officeDocument/2006/relationships/hyperlink" Target="https://www.loom.com/i/768f68a2a3e541dda516e76c1b252a6f" TargetMode="External"/><Relationship Id="rId325" Type="http://schemas.openxmlformats.org/officeDocument/2006/relationships/hyperlink" Target="https://www.loom.com/i/9c336b8ec1ba4b69ab8ee977bc30f7cc" TargetMode="External"/><Relationship Id="rId367" Type="http://schemas.openxmlformats.org/officeDocument/2006/relationships/hyperlink" Target="https://sbi-devsit1.sbicard.com/html/en/personal/credit-cards/landmark-sbi-card-prime.html" TargetMode="External"/><Relationship Id="rId171" Type="http://schemas.openxmlformats.org/officeDocument/2006/relationships/hyperlink" Target="https://www.loom.com/i/90ed0efe953c482ebd83b5a305973fba" TargetMode="External"/><Relationship Id="rId227" Type="http://schemas.openxmlformats.org/officeDocument/2006/relationships/hyperlink" Target="https://www.loom.com/i/5a5f90848ea14527874b827fb6cf5860" TargetMode="External"/><Relationship Id="rId269" Type="http://schemas.openxmlformats.org/officeDocument/2006/relationships/hyperlink" Target="https://www.loom.com/i/6809a6214730494eb4f424155d981946" TargetMode="External"/><Relationship Id="rId434" Type="http://schemas.openxmlformats.org/officeDocument/2006/relationships/hyperlink" Target="https://www.loom.com/i/c79c0bd2a0b54a3f92ebe5442f9fd03b" TargetMode="External"/><Relationship Id="rId476" Type="http://schemas.openxmlformats.org/officeDocument/2006/relationships/hyperlink" Target="https://www.loom.com/i/2c984bfe189141d8b66b416bab52dda2" TargetMode="External"/><Relationship Id="rId33" Type="http://schemas.openxmlformats.org/officeDocument/2006/relationships/hyperlink" Target="https://www.loom.com/i/e75720eb3f2b4acfa9be6bc37aef7c37" TargetMode="External"/><Relationship Id="rId129" Type="http://schemas.openxmlformats.org/officeDocument/2006/relationships/hyperlink" Target="https://www.loom.com/i/86465d42ed5a467f8dd0093e85682842" TargetMode="External"/><Relationship Id="rId280" Type="http://schemas.openxmlformats.org/officeDocument/2006/relationships/hyperlink" Target="https://www.loom.com/i/69bf5022614d4b7db46306f0f658bbcb" TargetMode="External"/><Relationship Id="rId336" Type="http://schemas.openxmlformats.org/officeDocument/2006/relationships/hyperlink" Target="https://loom.com/i/2ecffda2331f4e399754e3092cab57c7" TargetMode="External"/><Relationship Id="rId75" Type="http://schemas.openxmlformats.org/officeDocument/2006/relationships/hyperlink" Target="https://www.loom.com/i/9a48147ba88e45c882730286eac0387a" TargetMode="External"/><Relationship Id="rId140" Type="http://schemas.openxmlformats.org/officeDocument/2006/relationships/hyperlink" Target="https://www.loom.com/i/f200b28b7b124eb5922ceba7cd80eb06" TargetMode="External"/><Relationship Id="rId182" Type="http://schemas.openxmlformats.org/officeDocument/2006/relationships/hyperlink" Target="https://www.loom.com/i/2383007d3fc9467cb7d8a8f36fad881b" TargetMode="External"/><Relationship Id="rId378" Type="http://schemas.openxmlformats.org/officeDocument/2006/relationships/hyperlink" Target="https://www.loom.com/i/ce7b48105b7344dfb2bc917b901bef67" TargetMode="External"/><Relationship Id="rId403" Type="http://schemas.openxmlformats.org/officeDocument/2006/relationships/hyperlink" Target="https://sbi-devsit1.sbicard.com/html/en/personal/credit-cards/sbi-card-elite.html" TargetMode="External"/><Relationship Id="rId6" Type="http://schemas.openxmlformats.org/officeDocument/2006/relationships/hyperlink" Target="https://loom.com/i/fea470f061dc494da572fed5b68344e5" TargetMode="External"/><Relationship Id="rId238" Type="http://schemas.openxmlformats.org/officeDocument/2006/relationships/hyperlink" Target="https://www.loom.com/i/99e6be4024774a0d85040de013d540ae" TargetMode="External"/><Relationship Id="rId445" Type="http://schemas.openxmlformats.org/officeDocument/2006/relationships/hyperlink" Target="https://www.loom.com/i/ca465be3ab7840ecb69cc5aafff39f94" TargetMode="External"/><Relationship Id="rId291" Type="http://schemas.openxmlformats.org/officeDocument/2006/relationships/hyperlink" Target="https://www.loom.com/i/b0811f9ba08d4079ace021e42aac0d89" TargetMode="External"/><Relationship Id="rId305" Type="http://schemas.openxmlformats.org/officeDocument/2006/relationships/hyperlink" Target="https://www.loom.com/i/d6b79eb2355741c28f1f2f9991827f5f" TargetMode="External"/><Relationship Id="rId347" Type="http://schemas.openxmlformats.org/officeDocument/2006/relationships/hyperlink" Target="https://www.loom.com/i/e352494a26aa47758fb722dcda216f2c" TargetMode="External"/><Relationship Id="rId44" Type="http://schemas.openxmlformats.org/officeDocument/2006/relationships/hyperlink" Target="https://www.loom.com/i/f21763bc96f249eabae5beebbdcae735" TargetMode="External"/><Relationship Id="rId86" Type="http://schemas.openxmlformats.org/officeDocument/2006/relationships/hyperlink" Target="https://www.loom.com/i/988a5f6fbaf54744b230271afe75e708" TargetMode="External"/><Relationship Id="rId151" Type="http://schemas.openxmlformats.org/officeDocument/2006/relationships/hyperlink" Target="https://www.loom.com/i/be1df9149d1944fcbf4d28a31dcbc05f" TargetMode="External"/><Relationship Id="rId389" Type="http://schemas.openxmlformats.org/officeDocument/2006/relationships/hyperlink" Target="https://sbi-devsit1.sbicard.com/html/en/personal/credit-cards/doctors-with-ima-sbi-card.html" TargetMode="External"/><Relationship Id="rId193" Type="http://schemas.openxmlformats.org/officeDocument/2006/relationships/hyperlink" Target="https://www.loom.com/i/3bebba6f1dcf473e8f05af468aa237e9" TargetMode="External"/><Relationship Id="rId207" Type="http://schemas.openxmlformats.org/officeDocument/2006/relationships/hyperlink" Target="https://www.loom.com/i/d0519249f14b4401ada267a5fa96628c" TargetMode="External"/><Relationship Id="rId249" Type="http://schemas.openxmlformats.org/officeDocument/2006/relationships/hyperlink" Target="https://www.loom.com/i/b6750f6e45bb47c2aefac506d5c411f4" TargetMode="External"/><Relationship Id="rId414" Type="http://schemas.openxmlformats.org/officeDocument/2006/relationships/hyperlink" Target="https://sbi-devsit1.sbicard.com/html/en/personal/credit-cards/sbi-card-prime.html" TargetMode="External"/><Relationship Id="rId456" Type="http://schemas.openxmlformats.org/officeDocument/2006/relationships/hyperlink" Target="https://www.loom.com/i/fa7ad2fa2a6f45bbb577e3eec6d61dc7" TargetMode="External"/><Relationship Id="rId13" Type="http://schemas.openxmlformats.org/officeDocument/2006/relationships/hyperlink" Target="https://www.loom.com/i/0aa02ccf79ac4b419fe2adfefbf9596f" TargetMode="External"/><Relationship Id="rId109" Type="http://schemas.openxmlformats.org/officeDocument/2006/relationships/hyperlink" Target="https://www.loom.com/i/488773225307469d9f5bd5ad9e488d12" TargetMode="External"/><Relationship Id="rId260" Type="http://schemas.openxmlformats.org/officeDocument/2006/relationships/hyperlink" Target="https://www.loom.com/i/760d0bed6bc740c0b85263c0ed67847e" TargetMode="External"/><Relationship Id="rId316" Type="http://schemas.openxmlformats.org/officeDocument/2006/relationships/hyperlink" Target="https://sbi-devsit1.sbicard.com/html/en/personal/credit-cards/sbi-card-miles.html" TargetMode="External"/><Relationship Id="rId55" Type="http://schemas.openxmlformats.org/officeDocument/2006/relationships/hyperlink" Target="https://www.loom.com/i/1297ba3b0aba4d9a8c6ee22bc1832e8f" TargetMode="External"/><Relationship Id="rId97" Type="http://schemas.openxmlformats.org/officeDocument/2006/relationships/hyperlink" Target="https://www.loom.com/i/9d304da990314f08b0bbabe4d80b85fc" TargetMode="External"/><Relationship Id="rId120" Type="http://schemas.openxmlformats.org/officeDocument/2006/relationships/hyperlink" Target="https://www.loom.com/i/a6fbdf3079be4a85a69cf548da72a9b6" TargetMode="External"/><Relationship Id="rId358" Type="http://schemas.openxmlformats.org/officeDocument/2006/relationships/hyperlink" Target="https://loom.com/i/b6e0810a9f474576a00af294f820e0ef" TargetMode="External"/><Relationship Id="rId162" Type="http://schemas.openxmlformats.org/officeDocument/2006/relationships/hyperlink" Target="https://www.loom.com/i/a522df5259494f21b820f6390d7b54e3" TargetMode="External"/><Relationship Id="rId218" Type="http://schemas.openxmlformats.org/officeDocument/2006/relationships/hyperlink" Target="https://www.loom.com/i/cbb9bfa406c647b0aea7665b66bc7fca" TargetMode="External"/><Relationship Id="rId425" Type="http://schemas.openxmlformats.org/officeDocument/2006/relationships/hyperlink" Target="https://sbi-sit1.sbicard.com/html/en/personal/credit-cards/tata-neu-infinity-sbi-card.html" TargetMode="External"/><Relationship Id="rId467" Type="http://schemas.openxmlformats.org/officeDocument/2006/relationships/hyperlink" Target="https://www.loom.com/i/5571d31c46b44c039b289f0148ddb095" TargetMode="External"/><Relationship Id="rId271" Type="http://schemas.openxmlformats.org/officeDocument/2006/relationships/hyperlink" Target="https://www.loom.com/i/71c87ed6cc0844b9b36925c89889c4cf" TargetMode="External"/><Relationship Id="rId24" Type="http://schemas.openxmlformats.org/officeDocument/2006/relationships/hyperlink" Target="https://www.loom.com/i/a5c3f477acee43bb96c8ceaca58438b2" TargetMode="External"/><Relationship Id="rId66" Type="http://schemas.openxmlformats.org/officeDocument/2006/relationships/hyperlink" Target="https://www.loom.com/i/28422c1973a6489c829baf86471554c6" TargetMode="External"/><Relationship Id="rId131" Type="http://schemas.openxmlformats.org/officeDocument/2006/relationships/hyperlink" Target="https://www.loom.com/i/6abda8072cd44360a947508f23bedaa0" TargetMode="External"/><Relationship Id="rId327" Type="http://schemas.openxmlformats.org/officeDocument/2006/relationships/hyperlink" Target="https://www.loom.com/i/bebb259b14064cbbbfd8a787e9e2cb0b" TargetMode="External"/><Relationship Id="rId369" Type="http://schemas.openxmlformats.org/officeDocument/2006/relationships/hyperlink" Target="https://sbi-devsit1.sbicard.com/html/en/personal/credit-cards/irctc-sbi-platinum-card.html" TargetMode="External"/><Relationship Id="rId173" Type="http://schemas.openxmlformats.org/officeDocument/2006/relationships/hyperlink" Target="https://www.loom.com/i/69be1737972d46b8be0366e50312a5eb" TargetMode="External"/><Relationship Id="rId229" Type="http://schemas.openxmlformats.org/officeDocument/2006/relationships/hyperlink" Target="https://www.loom.com/i/6a70acfa1afa40f0908a3643efdd2517" TargetMode="External"/><Relationship Id="rId380" Type="http://schemas.openxmlformats.org/officeDocument/2006/relationships/hyperlink" Target="https://www.loom.com/i/cea774152789409089a30e3561e73b4e" TargetMode="External"/><Relationship Id="rId436" Type="http://schemas.openxmlformats.org/officeDocument/2006/relationships/hyperlink" Target="https://loom.com/i/fc54eba201534b0e88e35d0dd691adde" TargetMode="External"/><Relationship Id="rId240" Type="http://schemas.openxmlformats.org/officeDocument/2006/relationships/hyperlink" Target="https://www.loom.com/i/c7a99a82ab8b4633a25c3d35677beacd" TargetMode="External"/><Relationship Id="rId478" Type="http://schemas.openxmlformats.org/officeDocument/2006/relationships/hyperlink" Target="https://www.loom.com/i/26d276fb3cad47a297709e514ff96fa7" TargetMode="External"/><Relationship Id="rId35" Type="http://schemas.openxmlformats.org/officeDocument/2006/relationships/hyperlink" Target="https://www.loom.com/i/2a1a51749b6f4ddc996bc4bc108ef3ce" TargetMode="External"/><Relationship Id="rId77" Type="http://schemas.openxmlformats.org/officeDocument/2006/relationships/hyperlink" Target="https://www.loom.com/i/1496f38524954fe4b77db21e44207c7b" TargetMode="External"/><Relationship Id="rId100" Type="http://schemas.openxmlformats.org/officeDocument/2006/relationships/hyperlink" Target="https://www.loom.com/i/10256f5deb5348ba9abee2dce1c248af" TargetMode="External"/><Relationship Id="rId282" Type="http://schemas.openxmlformats.org/officeDocument/2006/relationships/hyperlink" Target="https://www.loom.com/i/88ae1ae5572546ec925c7abe77248f2f" TargetMode="External"/><Relationship Id="rId338" Type="http://schemas.openxmlformats.org/officeDocument/2006/relationships/hyperlink" Target="https://sbi-devsit1.sbicard.com/html/en/personal/credit-cards/bpcl-sbi-card-octane.html" TargetMode="External"/><Relationship Id="rId8" Type="http://schemas.openxmlformats.org/officeDocument/2006/relationships/hyperlink" Target="https://www.loom.com/i/0b9c2b10d15449279bc29bb8ec4137cd" TargetMode="External"/><Relationship Id="rId142" Type="http://schemas.openxmlformats.org/officeDocument/2006/relationships/hyperlink" Target="https://www.loom.com/i/cd7a50c9e6274c98b39235e6bad14b53" TargetMode="External"/><Relationship Id="rId184" Type="http://schemas.openxmlformats.org/officeDocument/2006/relationships/hyperlink" Target="https://www.loom.com/i/575947c5f8124910ae8728bbe7d5f724" TargetMode="External"/><Relationship Id="rId391" Type="http://schemas.openxmlformats.org/officeDocument/2006/relationships/hyperlink" Target="https://sbi-devsit1.sbicard.com/html/en/personal/credit-cards/doctors-with-ima-sbi-card.html" TargetMode="External"/><Relationship Id="rId405" Type="http://schemas.openxmlformats.org/officeDocument/2006/relationships/hyperlink" Target="https://sbi-devsit1.sbicard.com/html/en/personal/credit-cards/sbi-card-elite.html" TargetMode="External"/><Relationship Id="rId447" Type="http://schemas.openxmlformats.org/officeDocument/2006/relationships/hyperlink" Target="https://www.loom.com/i/34ba63e164cc40d9a7a399a7778e6bd4" TargetMode="External"/><Relationship Id="rId251" Type="http://schemas.openxmlformats.org/officeDocument/2006/relationships/hyperlink" Target="https://www.loom.com/i/f6d03e12268c49c7bfe55b35b6ec2f9f" TargetMode="External"/><Relationship Id="rId46" Type="http://schemas.openxmlformats.org/officeDocument/2006/relationships/hyperlink" Target="https://www.loom.com/i/28efaaf5e19e41fabff50cfa786b4093" TargetMode="External"/><Relationship Id="rId293" Type="http://schemas.openxmlformats.org/officeDocument/2006/relationships/hyperlink" Target="https://www.loom.com/i/a1b1f0ff62d247d6831981700ba2d366" TargetMode="External"/><Relationship Id="rId307" Type="http://schemas.openxmlformats.org/officeDocument/2006/relationships/hyperlink" Target="https://loom.com/i/c3d460a4f52a4c148b592bb8ccae0a06" TargetMode="External"/><Relationship Id="rId349" Type="http://schemas.openxmlformats.org/officeDocument/2006/relationships/hyperlink" Target="https://www.loom.com/i/cdd4472af1df4a339d7c5aa07c894d81" TargetMode="External"/><Relationship Id="rId88" Type="http://schemas.openxmlformats.org/officeDocument/2006/relationships/hyperlink" Target="https://www.loom.com/i/171eb1dae3e740e5b23d983a98eeefe0" TargetMode="External"/><Relationship Id="rId111" Type="http://schemas.openxmlformats.org/officeDocument/2006/relationships/hyperlink" Target="https://www.loom.com/i/765cdf18065c4f79952e27faace01896" TargetMode="External"/><Relationship Id="rId153" Type="http://schemas.openxmlformats.org/officeDocument/2006/relationships/hyperlink" Target="https://www.loom.com/i/852576844ace429a9f7cddd586c28399" TargetMode="External"/><Relationship Id="rId195" Type="http://schemas.openxmlformats.org/officeDocument/2006/relationships/hyperlink" Target="https://www.loom.com/i/e9a82053b1e8493a9c3daa1781adb81f" TargetMode="External"/><Relationship Id="rId209" Type="http://schemas.openxmlformats.org/officeDocument/2006/relationships/hyperlink" Target="https://www.loom.com/i/151d7cb3698e4eefb48fa759f0b3c48b" TargetMode="External"/><Relationship Id="rId360" Type="http://schemas.openxmlformats.org/officeDocument/2006/relationships/hyperlink" Target="https://sbi-devsit1.sbicard.com/html/en/personal/credit-cards/sbi-card-unnati.html" TargetMode="External"/><Relationship Id="rId416" Type="http://schemas.openxmlformats.org/officeDocument/2006/relationships/hyperlink" Target="https://sbi-devsit1.sbicard.com/html/en/personal/credit-cards/sbi-card-prime.html" TargetMode="External"/><Relationship Id="rId220" Type="http://schemas.openxmlformats.org/officeDocument/2006/relationships/hyperlink" Target="https://www.loom.com/i/bce9d88cca2c4b59b594e19f68021a74" TargetMode="External"/><Relationship Id="rId458" Type="http://schemas.openxmlformats.org/officeDocument/2006/relationships/hyperlink" Target="https://loom.com/i/fd4c189bffd14ed4a90a5b612fac45b4" TargetMode="External"/><Relationship Id="rId15" Type="http://schemas.openxmlformats.org/officeDocument/2006/relationships/hyperlink" Target="https://www.loom.com/i/147b28ffe90b435b87bb299177225405" TargetMode="External"/><Relationship Id="rId57" Type="http://schemas.openxmlformats.org/officeDocument/2006/relationships/hyperlink" Target="https://www.loom.com/i/2129ce6bb8f5481e9f6fe272a9a9668e" TargetMode="External"/><Relationship Id="rId262" Type="http://schemas.openxmlformats.org/officeDocument/2006/relationships/hyperlink" Target="https://www.loom.com/i/fea2475112454db68cfcea3a385fb1a3" TargetMode="External"/><Relationship Id="rId318" Type="http://schemas.openxmlformats.org/officeDocument/2006/relationships/hyperlink" Target="https://sbi-devsit1.sbicard.com/html/en/personal/credit-cards/sbi-card-prime.html" TargetMode="External"/><Relationship Id="rId99" Type="http://schemas.openxmlformats.org/officeDocument/2006/relationships/hyperlink" Target="https://www.loom.com/i/28342108ca4e48509060eaa0073aa7f6" TargetMode="External"/><Relationship Id="rId122" Type="http://schemas.openxmlformats.org/officeDocument/2006/relationships/hyperlink" Target="https://www.loom.com/i/c071618b6c194e12954efb2e27ec5fd4" TargetMode="External"/><Relationship Id="rId164" Type="http://schemas.openxmlformats.org/officeDocument/2006/relationships/hyperlink" Target="https://www.loom.com/i/34aff10bd4764f8a8aedb0b3cfbd8270" TargetMode="External"/><Relationship Id="rId371" Type="http://schemas.openxmlformats.org/officeDocument/2006/relationships/hyperlink" Target="https://sbi-devsit1.sbicard.com/html/en/personal/credit-cards/ola-money-sbi-card.html" TargetMode="External"/><Relationship Id="rId427" Type="http://schemas.openxmlformats.org/officeDocument/2006/relationships/hyperlink" Target="https://sbi-sit1.sbicard.com/html/en/personal/credit-cards/tata-neu-infinity-sbi-card.html" TargetMode="External"/><Relationship Id="rId469" Type="http://schemas.openxmlformats.org/officeDocument/2006/relationships/hyperlink" Target="https://www.loom.com/i/f54122bf6c1044c9bd2579fde44cc472" TargetMode="External"/><Relationship Id="rId26" Type="http://schemas.openxmlformats.org/officeDocument/2006/relationships/hyperlink" Target="https://www.loom.com/i/4c5e050eae824c2ca11016ec3b5c3746" TargetMode="External"/><Relationship Id="rId231" Type="http://schemas.openxmlformats.org/officeDocument/2006/relationships/hyperlink" Target="https://www.loom.com/i/9511df6db9e745cfa48a1f8ec98e79ee" TargetMode="External"/><Relationship Id="rId273" Type="http://schemas.openxmlformats.org/officeDocument/2006/relationships/hyperlink" Target="https://www.loom.com/i/3f6bae8ffdd14c4a898d28a947764981" TargetMode="External"/><Relationship Id="rId329" Type="http://schemas.openxmlformats.org/officeDocument/2006/relationships/hyperlink" Target="https://www.loom.com/i/e0c92bafc5524202a2fe13eaa848fc7c" TargetMode="External"/><Relationship Id="rId480" Type="http://schemas.openxmlformats.org/officeDocument/2006/relationships/hyperlink" Target="https://www.loom.com/i/2c76cdc7775844419d304381a636b017" TargetMode="External"/><Relationship Id="rId68" Type="http://schemas.openxmlformats.org/officeDocument/2006/relationships/hyperlink" Target="https://loom.com/i/dc56f7bc5efc4c9c9882902debbf1e2c" TargetMode="External"/><Relationship Id="rId133" Type="http://schemas.openxmlformats.org/officeDocument/2006/relationships/hyperlink" Target="https://www.loom.com/i/ceca21fbd74a4aa081dce1a41b1a28e4" TargetMode="External"/><Relationship Id="rId175" Type="http://schemas.openxmlformats.org/officeDocument/2006/relationships/hyperlink" Target="https://www.loom.com/i/f274996ae7d944fdafb91b31c1f96f03" TargetMode="External"/><Relationship Id="rId340" Type="http://schemas.openxmlformats.org/officeDocument/2006/relationships/hyperlink" Target="https://sbi-devsit1.sbicard.com/html/en/personal/credit-cards/bpcl-sbi-card-octane.html" TargetMode="External"/><Relationship Id="rId200" Type="http://schemas.openxmlformats.org/officeDocument/2006/relationships/hyperlink" Target="https://www.loom.com/i/41b1059ca95e44538b4d327ec989bd31" TargetMode="External"/><Relationship Id="rId382" Type="http://schemas.openxmlformats.org/officeDocument/2006/relationships/hyperlink" Target="https://www.loom.com/i/4bf0dc0c418242e6b3e4306a697cf67b" TargetMode="External"/><Relationship Id="rId438" Type="http://schemas.openxmlformats.org/officeDocument/2006/relationships/hyperlink" Target="https://loom.com/i/331a311dae0a4f35969a4509a441a338" TargetMode="External"/><Relationship Id="rId242" Type="http://schemas.openxmlformats.org/officeDocument/2006/relationships/hyperlink" Target="https://www.loom.com/i/9fac12dfd9944b81b5013896ef83d58e" TargetMode="External"/><Relationship Id="rId284" Type="http://schemas.openxmlformats.org/officeDocument/2006/relationships/hyperlink" Target="https://www.loom.com/i/c1a18573d20f400e8c3e55618e57127f" TargetMode="External"/><Relationship Id="rId37" Type="http://schemas.openxmlformats.org/officeDocument/2006/relationships/hyperlink" Target="https://www.loom.com/i/f7dd0f79690347cdb9e7360b5c55dba1" TargetMode="External"/><Relationship Id="rId79" Type="http://schemas.openxmlformats.org/officeDocument/2006/relationships/hyperlink" Target="https://www.loom.com/i/f885c3f2eccc4b3dbca86855aea50914" TargetMode="External"/><Relationship Id="rId102" Type="http://schemas.openxmlformats.org/officeDocument/2006/relationships/hyperlink" Target="https://www.loom.com/i/f45c4539ac73491ea847c085226913bd" TargetMode="External"/><Relationship Id="rId144" Type="http://schemas.openxmlformats.org/officeDocument/2006/relationships/hyperlink" Target="https://www.loom.com/i/cf32ad38036347009d04977c63ad22b6" TargetMode="External"/><Relationship Id="rId90" Type="http://schemas.openxmlformats.org/officeDocument/2006/relationships/hyperlink" Target="https://www.loom.com/i/78ace2db7b7d49058e26f5eafc36e2b4" TargetMode="External"/><Relationship Id="rId186" Type="http://schemas.openxmlformats.org/officeDocument/2006/relationships/hyperlink" Target="https://www.loom.com/i/a41646ce221941889968a233dbce21c2" TargetMode="External"/><Relationship Id="rId351" Type="http://schemas.openxmlformats.org/officeDocument/2006/relationships/hyperlink" Target="https://sbi-devsit1.sbicard.com/html/en/personal/credit-cards/indigo-sbi-card-elite.html" TargetMode="External"/><Relationship Id="rId393" Type="http://schemas.openxmlformats.org/officeDocument/2006/relationships/hyperlink" Target="https://sbi-devsit1.sbicard.com/html/en/personal/credit-cards/flipkart-sbi-card.html" TargetMode="External"/><Relationship Id="rId407" Type="http://schemas.openxmlformats.org/officeDocument/2006/relationships/hyperlink" Target="https://sbi-devsit1.sbicard.com/html/en/personal/credit-cards/sbi-card-miles.html" TargetMode="External"/><Relationship Id="rId449" Type="http://schemas.openxmlformats.org/officeDocument/2006/relationships/hyperlink" Target="https://sbi-devsit1.sbicard.com/html/en/personal/credit-cards/tata-neu-infinity-sbi-card.html" TargetMode="External"/><Relationship Id="rId211" Type="http://schemas.openxmlformats.org/officeDocument/2006/relationships/hyperlink" Target="https://www.loom.com/i/2e9d0f912b2a49dfae91fd0bb613d7a5" TargetMode="External"/><Relationship Id="rId253" Type="http://schemas.openxmlformats.org/officeDocument/2006/relationships/hyperlink" Target="https://www.loom.com/i/059ffaa087a748799f80982b4c1c7b2c" TargetMode="External"/><Relationship Id="rId295" Type="http://schemas.openxmlformats.org/officeDocument/2006/relationships/hyperlink" Target="https://www.loom.com/i/98ba76c3fd0045bf88f81d274c87a92a" TargetMode="External"/><Relationship Id="rId309" Type="http://schemas.openxmlformats.org/officeDocument/2006/relationships/hyperlink" Target="https://sbi-devsit1.sbicard.com/html/en/personal/credit-cards/doctors-with-ima-sbi-card.html" TargetMode="External"/><Relationship Id="rId460" Type="http://schemas.openxmlformats.org/officeDocument/2006/relationships/hyperlink" Target="https://www.loom.com/i/ca1e8691a8eb4c43aa313176dddf3938" TargetMode="External"/><Relationship Id="rId48" Type="http://schemas.openxmlformats.org/officeDocument/2006/relationships/hyperlink" Target="https://www.loom.com/i/f27553d6edd848599526b405386a21f9" TargetMode="External"/><Relationship Id="rId113" Type="http://schemas.openxmlformats.org/officeDocument/2006/relationships/hyperlink" Target="https://www.loom.com/i/f2d596f994274beeb2eccce42b446358" TargetMode="External"/><Relationship Id="rId320" Type="http://schemas.openxmlformats.org/officeDocument/2006/relationships/hyperlink" Target="https://sbi-sit1.sbicard.com/html/en/personal/credit-cards/tata-neu-infinity-sbi-card.html" TargetMode="External"/><Relationship Id="rId155" Type="http://schemas.openxmlformats.org/officeDocument/2006/relationships/hyperlink" Target="https://www.loom.com/i/6b8d517755384ec38998d241287a29e5" TargetMode="External"/><Relationship Id="rId197" Type="http://schemas.openxmlformats.org/officeDocument/2006/relationships/hyperlink" Target="https://www.loom.com/i/2d454e9ab0d24a9887c4cb91f39aa7ab" TargetMode="External"/><Relationship Id="rId362" Type="http://schemas.openxmlformats.org/officeDocument/2006/relationships/hyperlink" Target="https://sbi-devsit1.sbicard.com/html/en/personal/credit-cards/sbi-card-miles-prime.html" TargetMode="External"/><Relationship Id="rId418" Type="http://schemas.openxmlformats.org/officeDocument/2006/relationships/hyperlink" Target="https://sbi-devsit1.sbicard.com/html/en/personal/credit-cards/sbi-card-pulse.html" TargetMode="External"/><Relationship Id="rId222" Type="http://schemas.openxmlformats.org/officeDocument/2006/relationships/hyperlink" Target="https://www.loom.com/i/2c4adae353f747698e7a336e64ff7896" TargetMode="External"/><Relationship Id="rId264" Type="http://schemas.openxmlformats.org/officeDocument/2006/relationships/hyperlink" Target="https://www.loom.com/i/bb66ac7a38504cd78010dc5faf0e3af4" TargetMode="External"/><Relationship Id="rId471" Type="http://schemas.openxmlformats.org/officeDocument/2006/relationships/hyperlink" Target="https://loom.com/i/6f8acd44ed524434a9e4e74b02db9534" TargetMode="External"/><Relationship Id="rId17" Type="http://schemas.openxmlformats.org/officeDocument/2006/relationships/hyperlink" Target="https://www.loom.com/i/8d585bd763694e24bf8d6d5adf23fb0d" TargetMode="External"/><Relationship Id="rId59" Type="http://schemas.openxmlformats.org/officeDocument/2006/relationships/hyperlink" Target="https://www.loom.com/i/f438b325fd5a43058e670e6c5a93baf1" TargetMode="External"/><Relationship Id="rId124" Type="http://schemas.openxmlformats.org/officeDocument/2006/relationships/hyperlink" Target="https://www.loom.com/i/2d2ab5473bbe44468f0fb97f55508675" TargetMode="External"/><Relationship Id="rId70" Type="http://schemas.openxmlformats.org/officeDocument/2006/relationships/hyperlink" Target="https://www.loom.com/i/22ccbce210a941bd99dc9187b5a5c4bc" TargetMode="External"/><Relationship Id="rId166" Type="http://schemas.openxmlformats.org/officeDocument/2006/relationships/hyperlink" Target="https://www.loom.com/i/5550a13345fd409a89583e09d4d792a7" TargetMode="External"/><Relationship Id="rId331" Type="http://schemas.openxmlformats.org/officeDocument/2006/relationships/hyperlink" Target="https://loom.com/i/6f4884d3fd4648488080a45acd115559" TargetMode="External"/><Relationship Id="rId373" Type="http://schemas.openxmlformats.org/officeDocument/2006/relationships/hyperlink" Target="https://sbi-devsit1.sbicard.com/html/en/personal/credit-cards/krisflyer-sbi-card.html" TargetMode="External"/><Relationship Id="rId429" Type="http://schemas.openxmlformats.org/officeDocument/2006/relationships/hyperlink" Target="https://sbi-devsit1.sbicard.com/html/en/personal/credit-cards/tata-neu-plus-sbi-card.html" TargetMode="External"/><Relationship Id="rId1" Type="http://schemas.openxmlformats.org/officeDocument/2006/relationships/hyperlink" Target="https://www.loom.com/i/3aea1cead9284fbb9bd70d12096c0094" TargetMode="External"/><Relationship Id="rId233" Type="http://schemas.openxmlformats.org/officeDocument/2006/relationships/hyperlink" Target="https://www.loom.com/i/32fc065e3128428fa00d15a96a37e2cf" TargetMode="External"/><Relationship Id="rId440" Type="http://schemas.openxmlformats.org/officeDocument/2006/relationships/hyperlink" Target="https://loom.com/i/17e0209838aa47ec8350868eba7ad895" TargetMode="External"/><Relationship Id="rId28" Type="http://schemas.openxmlformats.org/officeDocument/2006/relationships/hyperlink" Target="https://www.loom.com/i/0283f9aef00b4200b81ceb0b3c57bff2" TargetMode="External"/><Relationship Id="rId275" Type="http://schemas.openxmlformats.org/officeDocument/2006/relationships/hyperlink" Target="https://www.loom.com/i/33e12aa3eb2d41c9a3c2469589bc8b70" TargetMode="External"/><Relationship Id="rId300" Type="http://schemas.openxmlformats.org/officeDocument/2006/relationships/hyperlink" Target="https://www.loom.com/i/67128e9dc7b542cc90eecec3ce2405f5" TargetMode="External"/><Relationship Id="rId81" Type="http://schemas.openxmlformats.org/officeDocument/2006/relationships/hyperlink" Target="https://www.loom.com/i/fb960cbdfc7145dcbbdaa146488fc3a7" TargetMode="External"/><Relationship Id="rId135" Type="http://schemas.openxmlformats.org/officeDocument/2006/relationships/hyperlink" Target="https://www.loom.com/i/53df38ff0bf84a9fbf40df54b261ee59" TargetMode="External"/><Relationship Id="rId177" Type="http://schemas.openxmlformats.org/officeDocument/2006/relationships/hyperlink" Target="https://www.loom.com/i/ab0aed8084234f79889c22396a507dfa" TargetMode="External"/><Relationship Id="rId342" Type="http://schemas.openxmlformats.org/officeDocument/2006/relationships/hyperlink" Target="https://sbi-devsit1.sbicard.com/html/en/personal/credit-cards/club-vistara-sbi-card.html" TargetMode="External"/><Relationship Id="rId384" Type="http://schemas.openxmlformats.org/officeDocument/2006/relationships/hyperlink" Target="https://www.loom.com/i/4f0c3905833a4d66954e4e76da0d9af9" TargetMode="External"/><Relationship Id="rId202" Type="http://schemas.openxmlformats.org/officeDocument/2006/relationships/hyperlink" Target="https://www.loom.com/i/0bdaf97e04454c2c85481287e65a3568" TargetMode="External"/><Relationship Id="rId244" Type="http://schemas.openxmlformats.org/officeDocument/2006/relationships/hyperlink" Target="https://www.loom.com/i/46e7b602077a4bc39f8de45c9685c57e" TargetMode="External"/><Relationship Id="rId39" Type="http://schemas.openxmlformats.org/officeDocument/2006/relationships/hyperlink" Target="https://www.loom.com/i/a3cc7605d6ef4799825b7f416af803df" TargetMode="External"/><Relationship Id="rId286" Type="http://schemas.openxmlformats.org/officeDocument/2006/relationships/hyperlink" Target="https://www.loom.com/i/c63944611b0a4eb3a410f5308f6f0299" TargetMode="External"/><Relationship Id="rId451" Type="http://schemas.openxmlformats.org/officeDocument/2006/relationships/hyperlink" Target="https://sbi-pvt.sbicard.com/html/en/personal/credit-cards/tata-neu-infinity-sbi-card.html" TargetMode="External"/><Relationship Id="rId50" Type="http://schemas.openxmlformats.org/officeDocument/2006/relationships/hyperlink" Target="https://www.loom.com/i/22521583dcf646c8b30d2b7becd606fe" TargetMode="External"/><Relationship Id="rId104" Type="http://schemas.openxmlformats.org/officeDocument/2006/relationships/hyperlink" Target="https://www.loom.com/i/140bb9a345d442d985e7d9341272f455" TargetMode="External"/><Relationship Id="rId146" Type="http://schemas.openxmlformats.org/officeDocument/2006/relationships/hyperlink" Target="https://www.loom.com/i/8c2de6591ba94ebfa5ba89e22b5ff37c" TargetMode="External"/><Relationship Id="rId188" Type="http://schemas.openxmlformats.org/officeDocument/2006/relationships/hyperlink" Target="https://www.loom.com/i/562910e1d5fa4859b109c587c23ca099" TargetMode="External"/><Relationship Id="rId311" Type="http://schemas.openxmlformats.org/officeDocument/2006/relationships/hyperlink" Target="https://sbi-devsit1.sbicard.com/html/en/personal/credit-cards/irctc-premier-card.html" TargetMode="External"/><Relationship Id="rId353" Type="http://schemas.openxmlformats.org/officeDocument/2006/relationships/hyperlink" Target="https://sbi-devsit1.sbicard.com/html/en/personal/credit-cards/reliance-sbi-card.html" TargetMode="External"/><Relationship Id="rId395" Type="http://schemas.openxmlformats.org/officeDocument/2006/relationships/hyperlink" Target="https://sbi-devsit1.sbicard.com/html/en/personal/credit-cards/irctc-premier-card.html" TargetMode="External"/><Relationship Id="rId409" Type="http://schemas.openxmlformats.org/officeDocument/2006/relationships/hyperlink" Target="https://sbi-devsit1.sbicard.com/html/en/personal/credit-cards/sbi-card-miles.html" TargetMode="External"/><Relationship Id="rId92" Type="http://schemas.openxmlformats.org/officeDocument/2006/relationships/hyperlink" Target="https://www.loom.com/i/8f30c6c2f1e348c0a5101f3169d66d8b" TargetMode="External"/><Relationship Id="rId213" Type="http://schemas.openxmlformats.org/officeDocument/2006/relationships/hyperlink" Target="https://www.loom.com/i/9a9d5c5fe3d54b4490a17492fd653fb6" TargetMode="External"/><Relationship Id="rId420" Type="http://schemas.openxmlformats.org/officeDocument/2006/relationships/hyperlink" Target="https://sbi-devsit1.sbicard.com/html/en/personal/credit-cards/sbi-card-pulse.html" TargetMode="External"/><Relationship Id="rId255" Type="http://schemas.openxmlformats.org/officeDocument/2006/relationships/hyperlink" Target="https://www.loom.com/i/892118fc72584bfdaee5c731f6dc327d" TargetMode="External"/><Relationship Id="rId297" Type="http://schemas.openxmlformats.org/officeDocument/2006/relationships/hyperlink" Target="https://www.loom.com/i/ed2bdb65388f4ed8a81a68c3c9b17baa" TargetMode="External"/><Relationship Id="rId462" Type="http://schemas.openxmlformats.org/officeDocument/2006/relationships/hyperlink" Target="https://www.loom.com/i/7f0b3bb7c7d94904bbfe02f543b111b5" TargetMode="External"/><Relationship Id="rId115" Type="http://schemas.openxmlformats.org/officeDocument/2006/relationships/hyperlink" Target="https://www.loom.com/i/027749196e1d42758399265f252c547c" TargetMode="External"/><Relationship Id="rId157" Type="http://schemas.openxmlformats.org/officeDocument/2006/relationships/hyperlink" Target="https://www.loom.com/i/f5de89629419411eb34428fabef2576d" TargetMode="External"/><Relationship Id="rId322" Type="http://schemas.openxmlformats.org/officeDocument/2006/relationships/hyperlink" Target="https://sbi-devsit1.sbicard.com/html/en/personal/credit-cards/tata-neu-plus-sbi-card.html" TargetMode="External"/><Relationship Id="rId364" Type="http://schemas.openxmlformats.org/officeDocument/2006/relationships/hyperlink" Target="https://www.loom.com/i/e1e1fc51527a48f7b4b876722ef5e605" TargetMode="External"/><Relationship Id="rId61" Type="http://schemas.openxmlformats.org/officeDocument/2006/relationships/hyperlink" Target="https://www.loom.com/i/3100379b7845431eb74bc357e88db11c" TargetMode="External"/><Relationship Id="rId199" Type="http://schemas.openxmlformats.org/officeDocument/2006/relationships/hyperlink" Target="https://www.loom.com/i/848358d5b1c2478d9280e112327d4cc0" TargetMode="External"/><Relationship Id="rId19" Type="http://schemas.openxmlformats.org/officeDocument/2006/relationships/hyperlink" Target="https://www.loom.com/i/51c4be234fba4b878282541aadc85eaa" TargetMode="External"/><Relationship Id="rId224" Type="http://schemas.openxmlformats.org/officeDocument/2006/relationships/hyperlink" Target="https://www.loom.com/i/d8dca39d16c24631834c651e1bd2dffa" TargetMode="External"/><Relationship Id="rId266" Type="http://schemas.openxmlformats.org/officeDocument/2006/relationships/hyperlink" Target="https://www.loom.com/i/68bcd424fa714fc0b4b6bd1057e960d9" TargetMode="External"/><Relationship Id="rId431" Type="http://schemas.openxmlformats.org/officeDocument/2006/relationships/hyperlink" Target="https://www.loom.com/i/b44c47656b1f42089514d6a0911291bd" TargetMode="External"/><Relationship Id="rId473" Type="http://schemas.openxmlformats.org/officeDocument/2006/relationships/hyperlink" Target="https://loom.com/i/51686056e2cc47dea365a43b1b80bea7" TargetMode="External"/><Relationship Id="rId30" Type="http://schemas.openxmlformats.org/officeDocument/2006/relationships/hyperlink" Target="https://www.loom.com/i/606a9e9ee8294644b56c06cd0a4730a8" TargetMode="External"/><Relationship Id="rId126" Type="http://schemas.openxmlformats.org/officeDocument/2006/relationships/hyperlink" Target="https://www.loom.com/i/423b690b37c54c0d90a7f7940b6b1a0b" TargetMode="External"/><Relationship Id="rId168" Type="http://schemas.openxmlformats.org/officeDocument/2006/relationships/hyperlink" Target="https://www.loom.com/i/8a6c51c0e64340139990907fc2f8dfe1" TargetMode="External"/><Relationship Id="rId333" Type="http://schemas.openxmlformats.org/officeDocument/2006/relationships/hyperlink" Target="https://www.loom.com/i/7039bcd90ac44793a385c7d9ff64c504" TargetMode="External"/><Relationship Id="rId72" Type="http://schemas.openxmlformats.org/officeDocument/2006/relationships/hyperlink" Target="https://www.loom.com/i/c36fbec3c7cb4fa0ab2aa5dd342c1d6f" TargetMode="External"/><Relationship Id="rId375" Type="http://schemas.openxmlformats.org/officeDocument/2006/relationships/hyperlink" Target="https://www.loom.com/i/59128d7a7b0f49d2ab379c4d40d5dfc0"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sbi-devsit1.sbicard.com/html/en/personal/credit-cards/sbi-card-prime.html" TargetMode="External"/><Relationship Id="rId7" Type="http://schemas.openxmlformats.org/officeDocument/2006/relationships/hyperlink" Target="https://www.loom.com/i/994b645b817c4e82872c88d12070e9db" TargetMode="External"/><Relationship Id="rId2" Type="http://schemas.openxmlformats.org/officeDocument/2006/relationships/hyperlink" Target="https://www.loom.com/i/efbb3d2a725b4935a5a8a5636d99263a" TargetMode="External"/><Relationship Id="rId1" Type="http://schemas.openxmlformats.org/officeDocument/2006/relationships/hyperlink" Target="https://www.loom.com/i/aa84c333aaa04b559ccd572223ed60d8" TargetMode="External"/><Relationship Id="rId6" Type="http://schemas.openxmlformats.org/officeDocument/2006/relationships/hyperlink" Target="https://www.loom.com/i/bce9bfe66cb04b1f9f3a7be980809c6b" TargetMode="External"/><Relationship Id="rId5" Type="http://schemas.openxmlformats.org/officeDocument/2006/relationships/hyperlink" Target="https://www.loom.com/i/cdd4472af1df4a339d7c5aa07c894d81" TargetMode="External"/><Relationship Id="rId4" Type="http://schemas.openxmlformats.org/officeDocument/2006/relationships/hyperlink" Target="https://www.loom.com/i/830255571527446ab9855ed476dc4d7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B0AA1-2A5C-4B95-8FC1-C40F981075D5}">
  <dimension ref="B1:AE23"/>
  <sheetViews>
    <sheetView topLeftCell="B1" workbookViewId="0">
      <selection activeCell="K7" sqref="K7"/>
    </sheetView>
  </sheetViews>
  <sheetFormatPr defaultRowHeight="15"/>
  <cols>
    <col min="2" max="2" width="10.7109375" customWidth="1"/>
    <col min="3" max="3" width="17.42578125" customWidth="1"/>
    <col min="4" max="4" width="16.5703125" customWidth="1"/>
    <col min="5" max="5" width="19.140625" customWidth="1"/>
    <col min="6" max="6" width="20.7109375" customWidth="1"/>
    <col min="7" max="7" width="14.5703125" customWidth="1"/>
    <col min="8" max="8" width="14.28515625" customWidth="1"/>
    <col min="9" max="9" width="16.42578125" customWidth="1"/>
    <col min="10" max="10" width="21.85546875" customWidth="1"/>
    <col min="11" max="11" width="30.28515625" customWidth="1"/>
  </cols>
  <sheetData>
    <row r="1" spans="2:31">
      <c r="C1" s="18"/>
    </row>
    <row r="2" spans="2:31">
      <c r="D2" s="8"/>
      <c r="E2" s="26" t="s">
        <v>0</v>
      </c>
      <c r="F2" s="8"/>
      <c r="G2" s="8"/>
      <c r="AA2" s="18"/>
      <c r="AB2" s="8"/>
      <c r="AC2" s="8"/>
      <c r="AD2" s="8"/>
      <c r="AE2" s="8"/>
    </row>
    <row r="3" spans="2:31">
      <c r="C3" s="18"/>
      <c r="D3" s="8"/>
      <c r="E3" s="8"/>
      <c r="F3" s="8"/>
      <c r="G3" s="8"/>
      <c r="AA3" s="8"/>
      <c r="AB3" s="8"/>
      <c r="AC3" s="8"/>
      <c r="AD3" s="8"/>
      <c r="AE3" s="8"/>
    </row>
    <row r="4" spans="2:31">
      <c r="C4" s="133" t="s">
        <v>1</v>
      </c>
      <c r="D4" s="10" t="s">
        <v>2</v>
      </c>
      <c r="E4" s="10" t="s">
        <v>3</v>
      </c>
      <c r="F4" s="10" t="s">
        <v>4</v>
      </c>
      <c r="G4" s="10" t="s">
        <v>5</v>
      </c>
    </row>
    <row r="5" spans="2:31">
      <c r="B5" s="434" t="s">
        <v>6</v>
      </c>
      <c r="C5" s="7" t="s">
        <v>7</v>
      </c>
      <c r="D5" s="7" cm="1">
        <f t="array" ref="D5">SUMPRODUCT(('Home Page'!$G$2:$G$799="PVT") * ('Home Page'!$A$2:$A$799&lt;&gt;"") * (ISNUMBER(SEARCH('Home Page'!$C$2:$C$799, $E$2))))</f>
        <v>49</v>
      </c>
      <c r="E5" s="7" cm="1">
        <f t="array" ref="E5">SUMPRODUCT(('Home Page'!$G$2:$G$799="PVT") * ('Home Page'!$Q$2:$Q$799="Resolved") * (ISNUMBER(SEARCH('Home Page'!$C$2:$C$799, $E$2))))</f>
        <v>20</v>
      </c>
      <c r="F5" s="7" cm="1">
        <f t="array" ref="F5">SUMPRODUCT(('Home Page'!$G$2:$G$799="PVT") * (('Home Page'!$Q$2:$Q$799="Open") + ('Home Page'!$Q$2:$Q$799="Reopened")) * (ISNUMBER(SEARCH('Home Page'!$C$2:$C$799, $E$2))))</f>
        <v>28</v>
      </c>
      <c r="G5" s="7" cm="1">
        <f t="array" ref="G5">SUMPRODUCT(('Home Page'!$G$2:$G$799="PVT") * ('Home Page'!$Q$2:$Q$799="Hold") * (ISNUMBER(SEARCH('Home Page'!$C$2:$C$799, $E$2))))</f>
        <v>1</v>
      </c>
    </row>
    <row r="6" spans="2:31">
      <c r="B6" s="434"/>
      <c r="C6" s="7" t="s">
        <v>8</v>
      </c>
      <c r="D6" s="7" cm="1">
        <f t="array" ref="D6">SUMPRODUCT(('Product Details Page'!$G$2:$G$800="PVT") * ('Product Details Page'!$A$2:$A$800&lt;&gt;"") * (ISNUMBER(SEARCH('Product Details Page'!$C$2:$C$800, $E$2))))
+
SUMPRODUCT(('Credit Card Pages'!$F$2:$F$800="PVT") * ('Credit Card Pages'!$A$2:$A$800&lt;&gt;"") * (ISNUMBER(SEARCH('Credit Card Pages'!$C$2:$C$800, $E$2))))</f>
        <v>57</v>
      </c>
      <c r="E6" s="7" cm="1">
        <f t="array" ref="E6">SUMPRODUCT(('Product Details Page'!$G$2:$G$800="PVT") * ('Product Details Page'!$Q$2:$Q$800="Resolved") * (ISNUMBER(SEARCH('Product Details Page'!$C$2:$C$800, $E$2))))
+
SUMPRODUCT(('Credit Card Pages'!$F$2:$F$800="PVT") * ('Credit Card Pages'!$R$2:$R$800="Resolved") * (ISNUMBER(SEARCH('Credit Card Pages'!$C$2:$C$800, $E$2))))</f>
        <v>34</v>
      </c>
      <c r="F6" s="7" cm="1">
        <f t="array" ref="F6">SUMPRODUCT(('Product Details Page'!$G$2:$G$800="PVT") * (('Product Details Page'!$Q$2:$Q$800="Open") + ('Product Details Page'!$Q$2:$Q$800="Reopened")) * (ISNUMBER(SEARCH('Product Details Page'!$C$2:$C$800, $E$2))))
+
SUMPRODUCT(('Credit Card Pages'!$F$2:$F$800="PVT") * (('Credit Card Pages'!$R$2:$R$800="Open") + ('Credit Card Pages'!$R$2:$R$800="Reopened")) * (ISNUMBER(SEARCH('Credit Card Pages'!$C$2:$C$800, $E$2))))</f>
        <v>23</v>
      </c>
      <c r="G6" s="7" cm="1">
        <f t="array" ref="G6">SUMPRODUCT(('Product Details Page'!$G$2:$G$800="PVT") * ('Product Details Page'!$Q$2:$Q$800="Hold") * (ISNUMBER(SEARCH('Product Details Page'!$C$2:$C$800, $E$2))))
+
SUMPRODUCT(('Credit Card Pages'!$F$2:$F$800="PVT") * ('Credit Card Pages'!$R$2:$R$800="Hold") * (ISNUMBER(SEARCH('Credit Card Pages'!$C$2:$C$800, $E$2))))</f>
        <v>0</v>
      </c>
    </row>
    <row r="7" spans="2:31">
      <c r="B7" s="434"/>
      <c r="C7" s="7" t="s">
        <v>9</v>
      </c>
      <c r="D7" s="7" cm="1">
        <f t="array" ref="D7">SUMPRODUCT(('Catalogue Page'!$G$2:$G$800="PVT") * ('Catalogue Page'!$A$2:$A$800&lt;&gt;"") * (ISNUMBER(SEARCH('Catalogue Page'!$C$2:$C$800, $E$2))))</f>
        <v>69</v>
      </c>
      <c r="E7" s="7" cm="1">
        <f t="array" ref="E7">SUMPRODUCT(('Catalogue Page'!$G$2:$G$800="PVT") * ('Catalogue Page'!$Q$2:$Q$800="Resolved") * (ISNUMBER(SEARCH('Catalogue Page'!$C$2:$C$800, $E$2))))</f>
        <v>30</v>
      </c>
      <c r="F7" s="7" cm="1">
        <f t="array" ref="F7">SUMPRODUCT(('Catalogue Page'!$G$2:$G$800="PVT") * (('Catalogue Page'!$Q$2:$Q$800="Open") + ('Catalogue Page'!$Q$2:$Q$800="Reopened")) * (ISNUMBER(SEARCH('Catalogue Page'!$C$2:$C$800, $E$2))))</f>
        <v>39</v>
      </c>
      <c r="G7" s="7" cm="1">
        <f t="array" ref="G7">SUMPRODUCT(('Catalogue Page'!$G$2:$G$800="PVT") * ('Catalogue Page'!$Q$2:$Q$800="Hold") * (ISNUMBER(SEARCH('Catalogue Page'!$C$2:$C$800, $E$2))))</f>
        <v>0</v>
      </c>
    </row>
    <row r="8" spans="2:31">
      <c r="B8" s="434"/>
      <c r="C8" s="7" t="s">
        <v>10</v>
      </c>
      <c r="D8" s="7" cm="1">
        <f t="array" ref="D8">SUMPRODUCT(('Header &amp; Footer'!$F$2:$F$800="PVT") * ('Header &amp; Footer'!$A$2:$A$800&lt;&gt;"") * (ISNUMBER(SEARCH('Header &amp; Footer'!$C$2:$C$800, $E$2))))</f>
        <v>16</v>
      </c>
      <c r="E8" s="7" cm="1">
        <f t="array" ref="E8">SUMPRODUCT(('Header &amp; Footer'!$F$2:$F$799="PVT") * ('Header &amp; Footer'!$R$2:$R$799="Resolved") * (ISNUMBER(SEARCH('Header &amp; Footer'!$C$2:$C$799, $E$2))))</f>
        <v>11</v>
      </c>
      <c r="F8" s="7" cm="1">
        <f t="array" ref="F8">SUMPRODUCT(('Header &amp; Footer'!$F$2:$F$799="PVT") * (('Header &amp; Footer'!$R$2:$R$799="Open") + ('Header &amp; Footer'!$R$2:$R$799="Reopened")) * (ISNUMBER(SEARCH('Header &amp; Footer'!$C$2:$C$799, $E$2))))</f>
        <v>5</v>
      </c>
      <c r="G8" s="7" cm="1">
        <f t="array" ref="G8">SUMPRODUCT(('Header &amp; Footer'!$F$2:$F$799="PVT") * ('Header &amp; Footer'!$R$2:$R$799="Hold") * (ISNUMBER(SEARCH('Header &amp; Footer'!$C$2:$C$799, $E$2))))</f>
        <v>0</v>
      </c>
    </row>
    <row r="9" spans="2:31">
      <c r="B9" s="434"/>
      <c r="C9" s="20" t="s">
        <v>11</v>
      </c>
      <c r="D9" s="20">
        <f>SUM(D5:D8)</f>
        <v>191</v>
      </c>
      <c r="E9" s="20">
        <f>SUM(E5:E8)</f>
        <v>95</v>
      </c>
      <c r="F9" s="20">
        <f>SUM(F5:F8)</f>
        <v>95</v>
      </c>
      <c r="G9" s="20">
        <f>SUM(G5:G8)</f>
        <v>1</v>
      </c>
    </row>
    <row r="10" spans="2:31">
      <c r="C10" s="8"/>
      <c r="D10" s="8"/>
      <c r="E10" s="8"/>
      <c r="F10" s="8"/>
      <c r="G10" s="8"/>
    </row>
    <row r="11" spans="2:31">
      <c r="B11" s="433" t="s">
        <v>12</v>
      </c>
      <c r="C11" s="7" t="s">
        <v>7</v>
      </c>
      <c r="D11" s="7" cm="1">
        <f t="array" ref="D11">SUMPRODUCT(('Home Page'!$G$2:$G$799="UAT") * ('Home Page'!$A$2:$A$799&lt;&gt;"") * (ISNUMBER(SEARCH('Home Page'!$C$2:$C$799, $E$2))))</f>
        <v>51</v>
      </c>
      <c r="E11" s="7" cm="1">
        <f t="array" ref="E11">SUMPRODUCT(('Home Page'!$G$2:$G$799="UAT") * ('Home Page'!$Q$2:$Q$799="Resolved") * (ISNUMBER(SEARCH('Home Page'!$C$2:$C$799, $E$2))))</f>
        <v>25</v>
      </c>
      <c r="F11" s="7" cm="1">
        <f t="array" ref="F11">SUMPRODUCT(('Home Page'!$G$2:$G$799="UAT") * (('Home Page'!$Q$2:$Q$799="Open") + ('Home Page'!$Q$2:$Q$799="Reopened")) * (ISNUMBER(SEARCH('Home Page'!$C$2:$C$799, $E$2))))</f>
        <v>5</v>
      </c>
      <c r="G11" s="7" cm="1">
        <f t="array" ref="G11">SUMPRODUCT(('Home Page'!$G$2:$G$799="UAT") * ('Home Page'!$Q$2:$Q$799="Hold") * (ISNUMBER(SEARCH('Home Page'!$C$2:$C$799, $E$2))))</f>
        <v>21</v>
      </c>
    </row>
    <row r="12" spans="2:31">
      <c r="B12" s="433"/>
      <c r="C12" s="7" t="s">
        <v>8</v>
      </c>
      <c r="D12" s="7" cm="1">
        <f t="array" ref="D12">SUMPRODUCT(('Product Details Page'!$G$2:$G$800="UAT") * ('Product Details Page'!$A$2:$A$800&lt;&gt;"") * (ISNUMBER(SEARCH('Product Details Page'!$C$2:$C$800, $E$2))))
+
SUMPRODUCT(('Credit Card Pages'!$F$2:$F$800="UAT") * ('Credit Card Pages'!$A$2:$A$800&lt;&gt;"") * (ISNUMBER(SEARCH('Credit Card Pages'!$C$2:$C$800, $E$2))))</f>
        <v>281</v>
      </c>
      <c r="E12" s="7" cm="1">
        <f t="array" ref="E12">SUMPRODUCT(('Product Details Page'!$G$2:$G$800="UAT") * ('Product Details Page'!$Q$2:$Q$800="Resolved") * (ISNUMBER(SEARCH('Product Details Page'!$C$2:$C$800, $E$2))))
+
SUMPRODUCT(('Credit Card Pages'!$F$2:$F$800="UAT") * ('Credit Card Pages'!$R$2:$R$800="Resolved") * (ISNUMBER(SEARCH('Credit Card Pages'!$C$2:$C$800, $E$2))))</f>
        <v>239</v>
      </c>
      <c r="F12" s="7" cm="1">
        <f t="array" ref="F12">SUMPRODUCT(('Product Details Page'!$G$2:$G$800="UAT") * (('Product Details Page'!$Q$2:$Q$800="Open") + ('Product Details Page'!$Q$2:$Q$800="Reopened")) * (ISNUMBER(SEARCH('Product Details Page'!$C$2:$C$800, $E$2))))
+
SUMPRODUCT(('Credit Card Pages'!$F$2:$F$800="UAT") * (('Credit Card Pages'!$R$2:$R$800="Open") + ('Credit Card Pages'!$R$2:$R$800="Reopened")) * (ISNUMBER(SEARCH('Credit Card Pages'!$C$2:$C$800, $E$2))))</f>
        <v>27</v>
      </c>
      <c r="G12" s="7" cm="1">
        <f t="array" ref="G12">SUMPRODUCT(('Product Details Page'!$G$2:$G$800="UAT") * ('Product Details Page'!$Q$2:$Q$800="Hold") * (ISNUMBER(SEARCH('Product Details Page'!$C$2:$C$800, $E$2))))
+
SUMPRODUCT(('Credit Card Pages'!$F$2:$F$800="UAT") * ('Credit Card Pages'!$R$2:$R$800="Hold") * (ISNUMBER(SEARCH('Credit Card Pages'!$C$2:$C$800, $E$2))))</f>
        <v>15</v>
      </c>
    </row>
    <row r="13" spans="2:31">
      <c r="B13" s="433"/>
      <c r="C13" s="7" t="s">
        <v>9</v>
      </c>
      <c r="D13" s="7" cm="1">
        <f t="array" ref="D13">SUMPRODUCT(('Catalogue Page'!$G$2:$G$800="UAT") * ('Catalogue Page'!$A$2:$A$800&lt;&gt;"") * (ISNUMBER(SEARCH('Catalogue Page'!$C$2:$C$800, $E$2))))</f>
        <v>40</v>
      </c>
      <c r="E13" s="7" cm="1">
        <f t="array" ref="E13">SUMPRODUCT(('Catalogue Page'!$G$2:$G$800="UAT") * ('Catalogue Page'!$Q$2:$Q$800="Resolved") * (ISNUMBER(SEARCH('Catalogue Page'!$C$2:$C$800, $E$2))))</f>
        <v>19</v>
      </c>
      <c r="F13" s="7" cm="1">
        <f t="array" ref="F13">SUMPRODUCT(('Catalogue Page'!$G$2:$G$800="UAT") * (('Catalogue Page'!$Q$2:$Q$800="Open") + ('Catalogue Page'!$Q$2:$Q$800="Reopened")) * (ISNUMBER(SEARCH('Catalogue Page'!$C$2:$C$800, $E$2))))</f>
        <v>3</v>
      </c>
      <c r="G13" s="7" cm="1">
        <f t="array" ref="G13">SUMPRODUCT(('Catalogue Page'!$G$2:$G$800="UAT") * ('Catalogue Page'!$Q$2:$Q$800="Hold") * (ISNUMBER(SEARCH('Catalogue Page'!$C$2:$C$800, $E$2))))</f>
        <v>18</v>
      </c>
    </row>
    <row r="14" spans="2:31">
      <c r="B14" s="433"/>
      <c r="C14" s="7" t="s">
        <v>10</v>
      </c>
      <c r="D14" s="7" cm="1">
        <f t="array" ref="D14">SUMPRODUCT(('Header &amp; Footer'!$F$2:$F$800="UAT") * ('Header &amp; Footer'!$A$2:$A$800&lt;&gt;"") * (ISNUMBER(SEARCH('Header &amp; Footer'!$C$2:$C$800, $E$2))))</f>
        <v>25</v>
      </c>
      <c r="E14" s="7" cm="1">
        <f t="array" ref="E14">SUMPRODUCT(('Header &amp; Footer'!$F$2:$F$799="UAT") * ('Header &amp; Footer'!$R$2:$R$799="Resolved") * (ISNUMBER(SEARCH('Header &amp; Footer'!$C$2:$C$799, $E$2))))</f>
        <v>17</v>
      </c>
      <c r="F14" s="7" cm="1">
        <f t="array" ref="F14">SUMPRODUCT(('Header &amp; Footer'!$F$2:$F$799="UAT") * (('Header &amp; Footer'!$R$2:$R$799="Open") + ('Header &amp; Footer'!$R$2:$R$799="Reopened")) * (ISNUMBER(SEARCH('Header &amp; Footer'!$C$2:$C$799, $E$2))))</f>
        <v>1</v>
      </c>
      <c r="G14" s="7" cm="1">
        <f t="array" ref="G14">SUMPRODUCT(('Header &amp; Footer'!$F$2:$F$799="UAT") * ('Header &amp; Footer'!$R$2:$R$799="Hold") * (ISNUMBER(SEARCH('Header &amp; Footer'!$C$2:$C$799, $E$2))))</f>
        <v>7</v>
      </c>
    </row>
    <row r="15" spans="2:31">
      <c r="B15" s="433"/>
      <c r="C15" s="20" t="s">
        <v>11</v>
      </c>
      <c r="D15" s="20">
        <f>SUM(D11:D14)</f>
        <v>397</v>
      </c>
      <c r="E15" s="20">
        <f>SUM(E11:E14)</f>
        <v>300</v>
      </c>
      <c r="F15" s="20">
        <f>SUM(F11:F14)</f>
        <v>36</v>
      </c>
      <c r="G15" s="20">
        <f>SUM(G11:G14)</f>
        <v>61</v>
      </c>
    </row>
    <row r="16" spans="2:31">
      <c r="I16" s="7" t="s">
        <v>13</v>
      </c>
      <c r="J16" s="160" t="s">
        <v>14</v>
      </c>
      <c r="K16" s="128" t="s">
        <v>15</v>
      </c>
    </row>
    <row r="17" spans="2:11">
      <c r="B17" s="433" t="s">
        <v>16</v>
      </c>
      <c r="C17" s="21" t="s">
        <v>7</v>
      </c>
      <c r="D17" s="7" cm="1">
        <f t="array" ref="D17">SUMPRODUCT(('Home Page'!$G$2:$G$799="HTML/CSS") * ('Home Page'!$A$2:$A$799&lt;&gt;"") * (ISNUMBER(SEARCH('Home Page'!$C$2:$C$799, $E$2))))</f>
        <v>12</v>
      </c>
      <c r="E17" s="7" cm="1">
        <f t="array" ref="E17">SUMPRODUCT(('Home Page'!$G$2:$G$799="HTML/CSS") * ('Home Page'!$Q$2:$Q$799="Resolved") * (ISNUMBER(SEARCH('Home Page'!$C$2:$C$799, $E$2))))</f>
        <v>7</v>
      </c>
      <c r="F17" s="9" cm="1">
        <f t="array" ref="F17">SUMPRODUCT(('Home Page'!$G$2:$G$799="HTML/CSS") * (('Home Page'!$Q$2:$Q$799="Open") + ('Home Page'!$Q$2:$Q$799="Reopened")) * (ISNUMBER(SEARCH('Home Page'!$C$2:$C$799, $E$2))))</f>
        <v>4</v>
      </c>
      <c r="G17" s="7" cm="1">
        <f t="array" ref="G17">SUMPRODUCT(('Home Page'!$G$2:$G$799="HTML/CSS") * ('Home Page'!$Q$2:$Q$799="Hold") * (ISNUMBER(SEARCH('Home Page'!$C$2:$C$799, $E$2))))</f>
        <v>1</v>
      </c>
      <c r="I17" s="128" cm="1">
        <f t="array" ref="I17">SUMPRODUCT(('Home Page'!$G$2:$G$800="HTML/CSS") * (('Home Page'!$Q$2:$Q$800="Open") + ('Home Page'!$Q$2:$Q$800="Reopened")) * ('Home Page'!$T$2:$T$800="Fixed") * (ISNUMBER(SEARCH('Home Page'!$C$2:$C$800, $E$2))))</f>
        <v>2</v>
      </c>
      <c r="J17" s="160" cm="1">
        <f t="array" ref="J17">SUMPRODUCT(('Home Page'!$G$2:$G$800="HTML/CSS") * (('Home Page'!$Q$2:$Q$800="Open") + ('Home Page'!$Q$2:$Q$800="Reopened")) * (('Home Page'!$T$2:$T$800="Reopen") + ('Home Page'!$T$2:$T$800="Pending")) * (ISNUMBER(SEARCH('Home Page'!$C$2:$C$800, $E$2))))</f>
        <v>0</v>
      </c>
      <c r="K17" s="161" t="s">
        <v>17</v>
      </c>
    </row>
    <row r="18" spans="2:11">
      <c r="B18" s="433"/>
      <c r="C18" s="21" t="s">
        <v>8</v>
      </c>
      <c r="D18" s="7" cm="1">
        <f t="array" ref="D18">SUMPRODUCT(('Product Details Page'!$G$2:$G$800="HTML/CSS") * ('Product Details Page'!$A$2:$A$800&lt;&gt;"") * (ISNUMBER(SEARCH('Product Details Page'!$C$2:$C$800, $E$2))))
+
SUMPRODUCT(('Credit Card Pages'!$F$2:$F$800="HTML/CSS") * ('Credit Card Pages'!$A$2:$A$800&lt;&gt;"") * (ISNUMBER(SEARCH('Credit Card Pages'!$C$2:$C$800, $E$2))))</f>
        <v>54</v>
      </c>
      <c r="E18" s="7" cm="1">
        <f t="array" ref="E18">SUMPRODUCT(('Product Details Page'!$G$2:$G$800="HTML/CSS") * ('Product Details Page'!$Q$2:$Q$800="Resolved") * (ISNUMBER(SEARCH('Product Details Page'!$C$2:$C$800, $E$2))))
+
SUMPRODUCT(('Credit Card Pages'!$F$2:$F$800="HTML/CSS") * ('Credit Card Pages'!$R$2:$R$800="Resolved") * (ISNUMBER(SEARCH('Credit Card Pages'!$C$2:$C$800, $E$2))))</f>
        <v>38</v>
      </c>
      <c r="F18" s="9" cm="1">
        <f t="array" ref="F18">SUMPRODUCT(('Product Details Page'!$G$2:$G$800="HTML/CSS") * (('Product Details Page'!$Q$2:$Q$800="Open") + ('Product Details Page'!$Q$2:$Q$800="Reopened")) * (ISNUMBER(SEARCH('Product Details Page'!$C$2:$C$800, $E$2))))
+
SUMPRODUCT(('Credit Card Pages'!$F$2:$F$800="HTML/CSS") * (('Credit Card Pages'!$R$2:$R$800="Open") + ('Credit Card Pages'!$R$2:$R$800="Reopened")) * (ISNUMBER(SEARCH('Credit Card Pages'!$C$2:$C$800, $E$2))))</f>
        <v>16</v>
      </c>
      <c r="G18" s="7" cm="1">
        <f t="array" ref="G18">SUMPRODUCT(('Product Details Page'!$G$2:$G$800="HTML/CSS") * ('Product Details Page'!$Q$2:$Q$800="Hold") * (ISNUMBER(SEARCH('Product Details Page'!$C$2:$C$800, $E$2))))
+
SUMPRODUCT(('Credit Card Pages'!$F$2:$F$800="HTML/CSS") * ('Credit Card Pages'!$R$2:$R$800="Hold") * (ISNUMBER(SEARCH('Credit Card Pages'!$C$2:$C$800, $E$2))))</f>
        <v>0</v>
      </c>
      <c r="I18" s="128" cm="1">
        <f t="array" ref="I18">SUMPRODUCT(('Product Details Page'!$G$2:$G$800="HTML/CSS") * (('Product Details Page'!$Q$2:$Q$800="Open") + ('Product Details Page'!$Q$2:$Q$800="Reopened")) * ('Product Details Page'!$T$2:$T$800="Fixed") * (ISNUMBER(SEARCH('Product Details Page'!$C$2:$C$800, $E$2))))
+
SUMPRODUCT(('Credit Card Pages'!$F$2:$F$800="HTML/CSS") * (('Credit Card Pages'!$R$2:$R$800="Open") + ('Credit Card Pages'!$R$2:$R$800="Reopened")) * ('Credit Card Pages'!$U$2:$U$800="Fixed") * (ISNUMBER(SEARCH('Credit Card Pages'!$C$2:$C$800, $E$2))))</f>
        <v>0</v>
      </c>
      <c r="J18" s="160" cm="1">
        <f t="array" ref="J18">SUMPRODUCT(('Product Details Page'!$G$2:$G$800="HTML/CSS") * (('Product Details Page'!$Q$2:$Q$800="Open") + ('Product Details Page'!$Q$2:$Q$800="Reopened")) * (('Product Details Page'!$T$2:$T$800="Reopen") + ('Product Details Page'!$T$2:$T$800="Pending")) * (ISNUMBER(SEARCH('Product Details Page'!$C$2:$C$800, $E$2))))
+
SUMPRODUCT(('Credit Card Pages'!$F$2:$F$800="HTML/CSS") * (('Credit Card Pages'!$R$2:$R$800="Open") + ('Credit Card Pages'!$R$2:$R$800="Reopened")) * (('Credit Card Pages'!$U$2:$U$800="Reopen") + ('Credit Card Pages'!$U$2:$U$800="Pending")) * (ISNUMBER(SEARCH('Credit Card Pages'!$C$2:$C$800, $E$2))))</f>
        <v>4</v>
      </c>
      <c r="K18" s="161" t="s">
        <v>18</v>
      </c>
    </row>
    <row r="19" spans="2:11">
      <c r="B19" s="433"/>
      <c r="C19" s="21" t="s">
        <v>9</v>
      </c>
      <c r="D19" s="7" cm="1">
        <f t="array" ref="D19">SUMPRODUCT(('Catalogue Page'!$G$2:$G$800="HTML/CSS") * ('Catalogue Page'!$A$2:$A$800&lt;&gt;"") * (ISNUMBER(SEARCH('Catalogue Page'!$C$2:$C$800, $E$2))))</f>
        <v>50</v>
      </c>
      <c r="E19" s="7" cm="1">
        <f t="array" ref="E19">SUMPRODUCT(('Catalogue Page'!$G$2:$G$800="HTML/CSS") * ('Catalogue Page'!$Q$2:$Q$800="Resolved") * (ISNUMBER(SEARCH('Catalogue Page'!$C$2:$C$800, $E$2))))</f>
        <v>26</v>
      </c>
      <c r="F19" s="9" cm="1">
        <f t="array" ref="F19">SUMPRODUCT(('Catalogue Page'!$G$2:$G$800="HTML/CSS") * (('Catalogue Page'!$Q$2:$Q$800="Open") + ('Catalogue Page'!$Q$2:$Q$800="Reopened")) * (ISNUMBER(SEARCH('Catalogue Page'!$C$2:$C$800, $E$2))))</f>
        <v>24</v>
      </c>
      <c r="G19" s="7" cm="1">
        <f t="array" ref="G19">SUMPRODUCT(('Catalogue Page'!$G$2:$G$800="HTML/CSS") * ('Catalogue Page'!$Q$2:$Q$800="Hold") * (ISNUMBER(SEARCH('Catalogue Page'!$C$2:$C$800, $E$2))))</f>
        <v>0</v>
      </c>
      <c r="I19" s="128" cm="1">
        <f t="array" ref="I19">SUMPRODUCT(('Catalogue Page'!$G$2:$G$800="HTML/CSS") * (('Catalogue Page'!$Q$2:$Q$800="Open") + ('Catalogue Page'!$Q$2:$Q$800="Reopened")) * ('Catalogue Page'!$T$2:$T$800="Fixed") * (ISNUMBER(SEARCH('Catalogue Page'!$C$2:$C$800, $E$2))))</f>
        <v>2</v>
      </c>
      <c r="J19" s="160" cm="1">
        <f t="array" ref="J19">SUMPRODUCT(('Catalogue Page'!$G$2:$G$800="HTML/CSS") * (('Catalogue Page'!$Q$2:$Q$800="Open") + ('Catalogue Page'!$Q$2:$Q$800="Reopened")) * (('Catalogue Page'!$T$2:$T$800="Reopen") + ('Catalogue Page'!$T$2:$T$800="Pending")) * (ISNUMBER(SEARCH('Catalogue Page'!$C$2:$C$800, $E$2))))</f>
        <v>12</v>
      </c>
      <c r="K19" s="161" t="s">
        <v>19</v>
      </c>
    </row>
    <row r="20" spans="2:11">
      <c r="B20" s="433"/>
      <c r="C20" s="22" t="s">
        <v>10</v>
      </c>
      <c r="D20" s="7" cm="1">
        <f t="array" ref="D20">SUMPRODUCT(('Header &amp; Footer'!$F$2:$F$800="HTML/CSS") * ('Header &amp; Footer'!$A$2:$A$800&lt;&gt;"") * (ISNUMBER(SEARCH('Header &amp; Footer'!$C$2:$C$800, $E$2))))</f>
        <v>25</v>
      </c>
      <c r="E20" s="7" cm="1">
        <f t="array" ref="E20">SUMPRODUCT(('Header &amp; Footer'!$F$2:$F$799="HTML/CSS") * ('Header &amp; Footer'!$R$2:$R$799="Resolved") * (ISNUMBER(SEARCH('Header &amp; Footer'!$C$2:$C$799, $E$2))))</f>
        <v>10</v>
      </c>
      <c r="F20" s="9" cm="1">
        <f t="array" ref="F20">SUMPRODUCT(('Header &amp; Footer'!$F$2:$F$799="HTML/CSS") * (('Header &amp; Footer'!$R$2:$R$799="Open") + ('Header &amp; Footer'!$R$2:$R$799="Reopened")) * (ISNUMBER(SEARCH('Header &amp; Footer'!$C$2:$C$799, $E$2))))</f>
        <v>15</v>
      </c>
      <c r="G20" s="7" cm="1">
        <f t="array" ref="G20">SUMPRODUCT(('Header &amp; Footer'!$F$2:$F$799="HTML/CSS") * ('Header &amp; Footer'!$R$2:$R$799="Hold") * (ISNUMBER(SEARCH('Header &amp; Footer'!$C$2:$C$799, $E$2))))</f>
        <v>0</v>
      </c>
      <c r="I20" s="7" cm="1">
        <f t="array" ref="I20">SUMPRODUCT(('Header &amp; Footer'!$F$2:$F$799="HTML/CSS") * (('Header &amp; Footer'!$R$2:$R$799="Open") + ('Header &amp; Footer'!$R$2:$R$799="Reopened")) * ('Header &amp; Footer'!$U$2:$U$799="Fixed") * (ISNUMBER(SEARCH('Header &amp; Footer'!$C$2:$C$799, $E$2))))</f>
        <v>0</v>
      </c>
      <c r="J20" s="160" cm="1">
        <f t="array" ref="J20">SUMPRODUCT(('Header &amp; Footer'!$F$2:$F$799="HTML/CSS") * (('Header &amp; Footer'!$R$2:$R$799="Open") + ('Header &amp; Footer'!$R$2:$R$799="Reopened")) * (('Header &amp; Footer'!$U$2:$U$799="Reopen") + ('Header &amp; Footer'!$U$2:$U$799="Pending")) * (ISNUMBER(SEARCH('Header &amp; Footer'!$C$2:$C$799, $E$2))))</f>
        <v>9</v>
      </c>
      <c r="K20" s="161" t="s">
        <v>20</v>
      </c>
    </row>
    <row r="21" spans="2:11">
      <c r="B21" s="433"/>
      <c r="C21" s="24" t="s">
        <v>11</v>
      </c>
      <c r="D21" s="20">
        <f>SUM(D17:D20)</f>
        <v>141</v>
      </c>
      <c r="E21" s="20">
        <f>SUM(E17:E20)</f>
        <v>81</v>
      </c>
      <c r="F21" s="136">
        <f>SUM(F17:F20)</f>
        <v>59</v>
      </c>
      <c r="G21" s="20">
        <f>SUM(G17:G20)</f>
        <v>1</v>
      </c>
      <c r="I21" s="20">
        <f>SUM(I17:I20)</f>
        <v>4</v>
      </c>
      <c r="J21" s="136">
        <f>SUM(J17:J20)</f>
        <v>25</v>
      </c>
      <c r="K21" s="98"/>
    </row>
    <row r="23" spans="2:11">
      <c r="C23" s="23" t="s">
        <v>21</v>
      </c>
      <c r="D23" s="23">
        <f>SUM(D9,D15,D21)</f>
        <v>729</v>
      </c>
      <c r="E23" s="23">
        <f>SUM(E9,E15,E21)</f>
        <v>476</v>
      </c>
      <c r="F23" s="23">
        <f>SUM(F9,F15,F21)</f>
        <v>190</v>
      </c>
      <c r="G23" s="23">
        <f>SUM(G9,G15,G21)</f>
        <v>63</v>
      </c>
    </row>
  </sheetData>
  <mergeCells count="3">
    <mergeCell ref="B11:B15"/>
    <mergeCell ref="B17:B21"/>
    <mergeCell ref="B5:B9"/>
  </mergeCells>
  <pageMargins left="0.7" right="0.7" top="0.75" bottom="0.75" header="0.3" footer="0.3"/>
  <headerFooter>
    <oddFooter>&amp;C_x000D_&amp;1#&amp;"Aptos"&amp;12&amp;K000000 SBI Card Restricted</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FDBD-809B-4B51-BC73-41D6A2B8FFFE}">
  <dimension ref="A1:P112"/>
  <sheetViews>
    <sheetView workbookViewId="0">
      <pane xSplit="2" topLeftCell="C73" activePane="topRight" state="frozen"/>
      <selection pane="topRight" activeCell="C71" sqref="C71"/>
    </sheetView>
  </sheetViews>
  <sheetFormatPr defaultRowHeight="15" customHeight="1"/>
  <cols>
    <col min="1" max="1" width="9.140625" style="8"/>
    <col min="2" max="2" width="37.5703125" style="15" customWidth="1"/>
    <col min="3" max="3" width="101.140625" style="15" customWidth="1"/>
    <col min="4" max="4" width="22.5703125" style="15" customWidth="1"/>
    <col min="5" max="5" width="27.5703125" style="40" customWidth="1"/>
    <col min="6" max="7" width="12.85546875" style="40" customWidth="1"/>
    <col min="8" max="8" width="101.140625" style="15" customWidth="1"/>
    <col min="9" max="9" width="19.28515625" style="8" customWidth="1"/>
    <col min="10" max="14" width="20.42578125" style="8" customWidth="1"/>
    <col min="15" max="15" width="27.5703125" style="27" customWidth="1"/>
    <col min="16" max="16" width="41.28515625" style="5" customWidth="1"/>
  </cols>
  <sheetData>
    <row r="1" spans="1:16" ht="15" customHeight="1">
      <c r="A1" s="10" t="s">
        <v>22</v>
      </c>
      <c r="B1" s="25" t="s">
        <v>1</v>
      </c>
      <c r="C1" s="109" t="s">
        <v>23</v>
      </c>
      <c r="D1" s="41" t="s">
        <v>24</v>
      </c>
      <c r="E1" s="41" t="s">
        <v>25</v>
      </c>
      <c r="F1" s="41" t="s">
        <v>26</v>
      </c>
      <c r="G1" s="41" t="s">
        <v>27</v>
      </c>
      <c r="H1" s="10" t="s">
        <v>28</v>
      </c>
      <c r="I1" s="35" t="s">
        <v>29</v>
      </c>
      <c r="J1" s="11" t="s">
        <v>30</v>
      </c>
      <c r="K1" s="11" t="s">
        <v>31</v>
      </c>
      <c r="L1" s="11" t="s">
        <v>32</v>
      </c>
      <c r="M1" s="11" t="s">
        <v>33</v>
      </c>
      <c r="N1" s="11" t="s">
        <v>34</v>
      </c>
      <c r="O1" s="11" t="s">
        <v>35</v>
      </c>
      <c r="P1" s="10" t="s">
        <v>36</v>
      </c>
    </row>
    <row r="2" spans="1:16" ht="15" customHeight="1">
      <c r="A2" s="7">
        <v>1</v>
      </c>
      <c r="B2" s="77" t="s">
        <v>37</v>
      </c>
      <c r="C2" s="63" t="s">
        <v>38</v>
      </c>
      <c r="D2" s="77" t="s">
        <v>39</v>
      </c>
      <c r="E2" s="32" t="s">
        <v>39</v>
      </c>
      <c r="F2" s="33" t="s">
        <v>39</v>
      </c>
      <c r="G2" s="32"/>
      <c r="H2" s="365" t="s">
        <v>40</v>
      </c>
      <c r="I2" s="31"/>
      <c r="J2" s="9" t="s">
        <v>41</v>
      </c>
      <c r="K2" s="9" t="s">
        <v>41</v>
      </c>
      <c r="L2" s="9" t="s">
        <v>39</v>
      </c>
      <c r="M2" s="9" t="s">
        <v>39</v>
      </c>
      <c r="N2" s="9"/>
      <c r="O2" s="59"/>
      <c r="P2" s="4"/>
    </row>
    <row r="3" spans="1:16" ht="15" customHeight="1">
      <c r="A3" s="7">
        <v>2</v>
      </c>
      <c r="B3" s="77" t="s">
        <v>42</v>
      </c>
      <c r="C3" s="43"/>
      <c r="D3" s="77" t="s">
        <v>39</v>
      </c>
      <c r="E3" s="32" t="s">
        <v>39</v>
      </c>
      <c r="F3" s="33" t="s">
        <v>39</v>
      </c>
      <c r="G3" s="32"/>
      <c r="H3" s="365" t="s">
        <v>43</v>
      </c>
      <c r="I3" s="31" t="s">
        <v>44</v>
      </c>
      <c r="J3" s="9" t="s">
        <v>39</v>
      </c>
      <c r="K3" s="9" t="s">
        <v>39</v>
      </c>
      <c r="L3" s="9" t="s">
        <v>39</v>
      </c>
      <c r="M3" s="9" t="s">
        <v>39</v>
      </c>
      <c r="N3" s="9"/>
      <c r="O3" s="59"/>
      <c r="P3" s="4"/>
    </row>
    <row r="4" spans="1:16" ht="15" customHeight="1">
      <c r="A4" s="7">
        <v>3</v>
      </c>
      <c r="B4" s="77" t="s">
        <v>45</v>
      </c>
      <c r="C4" s="137" t="s">
        <v>46</v>
      </c>
      <c r="D4" s="77" t="s">
        <v>39</v>
      </c>
      <c r="E4" s="57" t="s">
        <v>39</v>
      </c>
      <c r="F4" s="134" t="s">
        <v>39</v>
      </c>
      <c r="G4" s="32"/>
      <c r="H4" s="365" t="s">
        <v>47</v>
      </c>
      <c r="I4" s="31" t="s">
        <v>48</v>
      </c>
      <c r="J4" s="9" t="s">
        <v>41</v>
      </c>
      <c r="K4" s="9" t="s">
        <v>41</v>
      </c>
      <c r="L4" s="9" t="s">
        <v>39</v>
      </c>
      <c r="M4" s="9" t="s">
        <v>39</v>
      </c>
      <c r="N4" s="9"/>
      <c r="O4" s="71"/>
      <c r="P4" s="79" t="s">
        <v>49</v>
      </c>
    </row>
    <row r="5" spans="1:16" ht="15" customHeight="1">
      <c r="A5" s="7">
        <v>4</v>
      </c>
      <c r="B5" s="77" t="s">
        <v>50</v>
      </c>
      <c r="C5" s="137" t="s">
        <v>51</v>
      </c>
      <c r="D5" s="77" t="s">
        <v>52</v>
      </c>
      <c r="E5" s="32" t="s">
        <v>53</v>
      </c>
      <c r="F5" s="33" t="s">
        <v>54</v>
      </c>
      <c r="G5" s="32"/>
      <c r="H5" s="365" t="s">
        <v>55</v>
      </c>
      <c r="I5" s="72" t="s">
        <v>56</v>
      </c>
      <c r="J5" s="9" t="s">
        <v>41</v>
      </c>
      <c r="K5" s="9" t="s">
        <v>41</v>
      </c>
      <c r="L5" s="9" t="s">
        <v>41</v>
      </c>
      <c r="M5" s="9" t="s">
        <v>41</v>
      </c>
      <c r="N5" s="9" t="s">
        <v>41</v>
      </c>
      <c r="O5" s="59"/>
      <c r="P5" s="4" t="s">
        <v>57</v>
      </c>
    </row>
    <row r="6" spans="1:16" ht="15" customHeight="1">
      <c r="A6" s="7">
        <v>5</v>
      </c>
      <c r="B6" s="363" t="s">
        <v>58</v>
      </c>
      <c r="C6" s="137" t="s">
        <v>59</v>
      </c>
      <c r="D6" s="13" t="s">
        <v>52</v>
      </c>
      <c r="E6" s="132" t="s">
        <v>60</v>
      </c>
      <c r="F6" s="135" t="s">
        <v>54</v>
      </c>
      <c r="G6" s="369" t="s">
        <v>61</v>
      </c>
      <c r="H6" s="365" t="s">
        <v>62</v>
      </c>
      <c r="I6" s="72" t="s">
        <v>56</v>
      </c>
      <c r="J6" s="9"/>
      <c r="K6" s="9"/>
      <c r="L6" s="9" t="s">
        <v>41</v>
      </c>
      <c r="M6" s="9"/>
      <c r="N6" s="9" t="s">
        <v>41</v>
      </c>
      <c r="O6" s="59"/>
      <c r="P6" s="4" t="s">
        <v>57</v>
      </c>
    </row>
    <row r="7" spans="1:16" s="42" customFormat="1" ht="15" customHeight="1">
      <c r="A7" s="7">
        <v>6</v>
      </c>
      <c r="B7" s="363" t="s">
        <v>63</v>
      </c>
      <c r="C7" s="137" t="s">
        <v>64</v>
      </c>
      <c r="D7" s="13" t="s">
        <v>65</v>
      </c>
      <c r="E7" s="21" t="s">
        <v>66</v>
      </c>
      <c r="F7" s="36" t="s">
        <v>54</v>
      </c>
      <c r="G7" s="32"/>
      <c r="H7" s="365" t="s">
        <v>67</v>
      </c>
      <c r="I7" s="31" t="s">
        <v>68</v>
      </c>
      <c r="J7" s="9"/>
      <c r="K7" s="9"/>
      <c r="L7" s="9" t="s">
        <v>41</v>
      </c>
      <c r="M7" s="9"/>
      <c r="N7" s="9" t="s">
        <v>41</v>
      </c>
      <c r="O7" s="59"/>
      <c r="P7" s="4" t="s">
        <v>69</v>
      </c>
    </row>
    <row r="8" spans="1:16" ht="15" customHeight="1">
      <c r="A8" s="7">
        <v>7</v>
      </c>
      <c r="B8" s="363" t="s">
        <v>70</v>
      </c>
      <c r="C8" s="137" t="s">
        <v>71</v>
      </c>
      <c r="D8" s="13" t="s">
        <v>52</v>
      </c>
      <c r="E8" s="21" t="s">
        <v>72</v>
      </c>
      <c r="F8" s="36" t="s">
        <v>54</v>
      </c>
      <c r="G8" s="32"/>
      <c r="H8" s="365" t="s">
        <v>73</v>
      </c>
      <c r="I8" s="72" t="s">
        <v>56</v>
      </c>
      <c r="J8" s="9"/>
      <c r="K8" s="9"/>
      <c r="L8" s="9" t="s">
        <v>41</v>
      </c>
      <c r="M8" s="9"/>
      <c r="N8" s="9" t="s">
        <v>41</v>
      </c>
      <c r="O8" s="59"/>
      <c r="P8" s="4" t="s">
        <v>57</v>
      </c>
    </row>
    <row r="9" spans="1:16" ht="15" customHeight="1">
      <c r="A9" s="7">
        <v>8</v>
      </c>
      <c r="B9" s="77" t="s">
        <v>74</v>
      </c>
      <c r="C9" s="137" t="s">
        <v>75</v>
      </c>
      <c r="D9" s="13" t="s">
        <v>76</v>
      </c>
      <c r="E9" s="21" t="s">
        <v>53</v>
      </c>
      <c r="F9" s="31" t="s">
        <v>77</v>
      </c>
      <c r="G9" s="7"/>
      <c r="H9" s="366" t="s">
        <v>78</v>
      </c>
      <c r="I9" s="31" t="s">
        <v>68</v>
      </c>
      <c r="J9" s="9"/>
      <c r="K9" s="9"/>
      <c r="L9" s="9" t="s">
        <v>41</v>
      </c>
      <c r="M9" s="9"/>
      <c r="N9" s="9" t="s">
        <v>41</v>
      </c>
      <c r="O9" s="59"/>
      <c r="P9" s="4" t="s">
        <v>69</v>
      </c>
    </row>
    <row r="10" spans="1:16" ht="15" customHeight="1">
      <c r="A10" s="7">
        <v>9</v>
      </c>
      <c r="B10" s="77" t="s">
        <v>79</v>
      </c>
      <c r="C10" s="137" t="s">
        <v>80</v>
      </c>
      <c r="D10" s="13" t="s">
        <v>76</v>
      </c>
      <c r="E10" s="21" t="s">
        <v>53</v>
      </c>
      <c r="F10" s="31" t="s">
        <v>77</v>
      </c>
      <c r="G10" s="7"/>
      <c r="H10" s="366" t="s">
        <v>81</v>
      </c>
      <c r="I10" s="31" t="s">
        <v>68</v>
      </c>
      <c r="J10" s="9"/>
      <c r="K10" s="9"/>
      <c r="L10" s="9" t="s">
        <v>41</v>
      </c>
      <c r="M10" s="9"/>
      <c r="N10" s="9" t="s">
        <v>41</v>
      </c>
      <c r="O10" s="59"/>
      <c r="P10" s="4" t="s">
        <v>69</v>
      </c>
    </row>
    <row r="11" spans="1:16" ht="15" customHeight="1">
      <c r="A11" s="7">
        <v>10</v>
      </c>
      <c r="B11" s="77" t="s">
        <v>82</v>
      </c>
      <c r="C11" s="137" t="s">
        <v>83</v>
      </c>
      <c r="D11" s="13" t="s">
        <v>65</v>
      </c>
      <c r="E11" s="21" t="s">
        <v>53</v>
      </c>
      <c r="F11" s="36" t="s">
        <v>54</v>
      </c>
      <c r="G11" s="32"/>
      <c r="H11" s="366" t="s">
        <v>84</v>
      </c>
      <c r="I11" s="31" t="s">
        <v>68</v>
      </c>
      <c r="J11" s="9"/>
      <c r="K11" s="9"/>
      <c r="L11" s="9" t="s">
        <v>41</v>
      </c>
      <c r="M11" s="9"/>
      <c r="N11" s="9" t="s">
        <v>41</v>
      </c>
      <c r="O11" s="59"/>
      <c r="P11" s="4" t="s">
        <v>69</v>
      </c>
    </row>
    <row r="12" spans="1:16" ht="15" customHeight="1">
      <c r="A12" s="7">
        <v>11</v>
      </c>
      <c r="B12" s="77" t="s">
        <v>85</v>
      </c>
      <c r="C12" s="137" t="s">
        <v>86</v>
      </c>
      <c r="D12" s="13" t="s">
        <v>65</v>
      </c>
      <c r="E12" s="21" t="s">
        <v>53</v>
      </c>
      <c r="F12" s="36" t="s">
        <v>54</v>
      </c>
      <c r="G12" s="32"/>
      <c r="H12" s="365" t="s">
        <v>87</v>
      </c>
      <c r="I12" s="72" t="s">
        <v>56</v>
      </c>
      <c r="J12" s="9"/>
      <c r="K12" s="9"/>
      <c r="L12" s="9" t="s">
        <v>41</v>
      </c>
      <c r="M12" s="9"/>
      <c r="N12" s="9" t="s">
        <v>41</v>
      </c>
      <c r="O12" s="59"/>
      <c r="P12" s="4" t="s">
        <v>69</v>
      </c>
    </row>
    <row r="13" spans="1:16" ht="15" customHeight="1">
      <c r="A13" s="7">
        <v>12</v>
      </c>
      <c r="B13" s="77" t="s">
        <v>88</v>
      </c>
      <c r="C13" s="137" t="s">
        <v>89</v>
      </c>
      <c r="D13" s="13" t="s">
        <v>90</v>
      </c>
      <c r="E13" s="21" t="s">
        <v>53</v>
      </c>
      <c r="F13" s="36" t="s">
        <v>54</v>
      </c>
      <c r="G13" s="32"/>
      <c r="H13" s="365" t="s">
        <v>91</v>
      </c>
      <c r="I13" s="21" t="s">
        <v>56</v>
      </c>
      <c r="J13" s="9"/>
      <c r="K13" s="9"/>
      <c r="L13" s="9" t="s">
        <v>41</v>
      </c>
      <c r="M13" s="9"/>
      <c r="N13" s="9" t="s">
        <v>41</v>
      </c>
      <c r="O13" s="59"/>
      <c r="P13" s="79" t="s">
        <v>92</v>
      </c>
    </row>
    <row r="14" spans="1:16" ht="15" customHeight="1">
      <c r="A14" s="7">
        <v>13</v>
      </c>
      <c r="B14" s="77" t="s">
        <v>93</v>
      </c>
      <c r="C14" s="137" t="s">
        <v>94</v>
      </c>
      <c r="D14" s="13" t="s">
        <v>90</v>
      </c>
      <c r="E14" s="21" t="s">
        <v>53</v>
      </c>
      <c r="F14" s="36" t="s">
        <v>54</v>
      </c>
      <c r="G14" s="32"/>
      <c r="H14" s="366" t="s">
        <v>95</v>
      </c>
      <c r="I14" s="31"/>
      <c r="J14" s="9"/>
      <c r="K14" s="9"/>
      <c r="L14" s="9" t="s">
        <v>41</v>
      </c>
      <c r="M14" s="9"/>
      <c r="N14" s="9" t="s">
        <v>41</v>
      </c>
      <c r="O14" s="59"/>
      <c r="P14" s="4" t="s">
        <v>96</v>
      </c>
    </row>
    <row r="15" spans="1:16" ht="15" customHeight="1">
      <c r="A15" s="7">
        <v>14</v>
      </c>
      <c r="B15" s="77" t="s">
        <v>97</v>
      </c>
      <c r="C15" s="137" t="s">
        <v>98</v>
      </c>
      <c r="D15" s="13" t="s">
        <v>90</v>
      </c>
      <c r="E15" s="21" t="s">
        <v>53</v>
      </c>
      <c r="F15" s="36" t="s">
        <v>54</v>
      </c>
      <c r="G15" s="32"/>
      <c r="H15" s="365" t="s">
        <v>99</v>
      </c>
      <c r="I15" s="31"/>
      <c r="J15" s="9"/>
      <c r="K15" s="9"/>
      <c r="L15" s="9" t="s">
        <v>41</v>
      </c>
      <c r="M15" s="9"/>
      <c r="N15" s="9" t="s">
        <v>41</v>
      </c>
      <c r="O15" s="59"/>
      <c r="P15" s="79" t="s">
        <v>69</v>
      </c>
    </row>
    <row r="16" spans="1:16" ht="15" customHeight="1">
      <c r="A16" s="7">
        <v>15</v>
      </c>
      <c r="B16" s="77" t="s">
        <v>100</v>
      </c>
      <c r="C16" s="137" t="s">
        <v>101</v>
      </c>
      <c r="D16" s="13" t="s">
        <v>76</v>
      </c>
      <c r="E16" s="21" t="s">
        <v>53</v>
      </c>
      <c r="F16" s="31" t="s">
        <v>77</v>
      </c>
      <c r="G16" s="369" t="s">
        <v>61</v>
      </c>
      <c r="H16" s="365" t="s">
        <v>102</v>
      </c>
      <c r="I16" s="31" t="s">
        <v>68</v>
      </c>
      <c r="J16" s="9"/>
      <c r="K16" s="9"/>
      <c r="L16" s="9" t="s">
        <v>41</v>
      </c>
      <c r="M16" s="9"/>
      <c r="N16" s="9" t="s">
        <v>41</v>
      </c>
      <c r="O16" s="59"/>
      <c r="P16" s="4" t="s">
        <v>69</v>
      </c>
    </row>
    <row r="17" spans="1:16" ht="15" customHeight="1">
      <c r="A17" s="7">
        <v>16</v>
      </c>
      <c r="B17" s="77" t="s">
        <v>103</v>
      </c>
      <c r="C17" s="137" t="s">
        <v>104</v>
      </c>
      <c r="D17" s="13" t="s">
        <v>52</v>
      </c>
      <c r="E17" s="21" t="s">
        <v>53</v>
      </c>
      <c r="F17" s="31" t="s">
        <v>77</v>
      </c>
      <c r="G17" s="7"/>
      <c r="H17" s="365" t="s">
        <v>105</v>
      </c>
      <c r="I17" s="72" t="s">
        <v>56</v>
      </c>
      <c r="J17" s="9"/>
      <c r="K17" s="9"/>
      <c r="L17" s="9" t="s">
        <v>41</v>
      </c>
      <c r="M17" s="9"/>
      <c r="N17" s="9" t="s">
        <v>41</v>
      </c>
      <c r="O17" s="59"/>
      <c r="P17" s="4" t="s">
        <v>57</v>
      </c>
    </row>
    <row r="18" spans="1:16" ht="15" customHeight="1">
      <c r="A18" s="7">
        <v>17</v>
      </c>
      <c r="B18" s="77" t="s">
        <v>106</v>
      </c>
      <c r="C18" s="137" t="s">
        <v>107</v>
      </c>
      <c r="D18" s="13" t="s">
        <v>76</v>
      </c>
      <c r="E18" s="21" t="s">
        <v>108</v>
      </c>
      <c r="F18" s="36" t="s">
        <v>54</v>
      </c>
      <c r="G18" s="32"/>
      <c r="H18" s="366" t="s">
        <v>109</v>
      </c>
      <c r="I18" s="31" t="s">
        <v>68</v>
      </c>
      <c r="J18" s="9"/>
      <c r="K18" s="9"/>
      <c r="L18" s="9" t="s">
        <v>41</v>
      </c>
      <c r="M18" s="9"/>
      <c r="N18" s="9" t="s">
        <v>41</v>
      </c>
      <c r="O18" s="59"/>
      <c r="P18" s="4" t="s">
        <v>69</v>
      </c>
    </row>
    <row r="19" spans="1:16" ht="15" customHeight="1">
      <c r="A19" s="7">
        <v>18</v>
      </c>
      <c r="B19" s="77" t="s">
        <v>110</v>
      </c>
      <c r="C19" s="137" t="s">
        <v>111</v>
      </c>
      <c r="D19" s="13" t="s">
        <v>76</v>
      </c>
      <c r="E19" s="21" t="s">
        <v>108</v>
      </c>
      <c r="F19" s="31" t="s">
        <v>77</v>
      </c>
      <c r="G19" s="369" t="s">
        <v>61</v>
      </c>
      <c r="H19" s="365" t="s">
        <v>112</v>
      </c>
      <c r="I19" s="31" t="s">
        <v>68</v>
      </c>
      <c r="J19" s="9"/>
      <c r="K19" s="9"/>
      <c r="L19" s="9" t="s">
        <v>41</v>
      </c>
      <c r="M19" s="9"/>
      <c r="N19" s="9" t="s">
        <v>41</v>
      </c>
      <c r="O19" s="59"/>
      <c r="P19" s="4" t="s">
        <v>69</v>
      </c>
    </row>
    <row r="20" spans="1:16" ht="15" customHeight="1">
      <c r="A20" s="7">
        <v>19</v>
      </c>
      <c r="B20" s="77" t="s">
        <v>113</v>
      </c>
      <c r="C20" s="137" t="s">
        <v>114</v>
      </c>
      <c r="D20" s="13" t="s">
        <v>52</v>
      </c>
      <c r="E20" s="21" t="s">
        <v>53</v>
      </c>
      <c r="F20" s="31" t="s">
        <v>77</v>
      </c>
      <c r="G20" s="7"/>
      <c r="H20" s="366" t="s">
        <v>115</v>
      </c>
      <c r="I20" s="72" t="s">
        <v>56</v>
      </c>
      <c r="J20" s="9"/>
      <c r="K20" s="9"/>
      <c r="L20" s="9" t="s">
        <v>41</v>
      </c>
      <c r="M20" s="9"/>
      <c r="N20" s="9" t="s">
        <v>41</v>
      </c>
      <c r="O20" s="59"/>
      <c r="P20" s="79" t="s">
        <v>116</v>
      </c>
    </row>
    <row r="21" spans="1:16" ht="15" customHeight="1">
      <c r="A21" s="7">
        <v>20</v>
      </c>
      <c r="B21" s="77" t="s">
        <v>117</v>
      </c>
      <c r="C21" s="137" t="s">
        <v>118</v>
      </c>
      <c r="D21" s="13" t="s">
        <v>76</v>
      </c>
      <c r="E21" s="21" t="s">
        <v>108</v>
      </c>
      <c r="F21" s="36" t="s">
        <v>54</v>
      </c>
      <c r="G21" s="32"/>
      <c r="H21" s="366" t="s">
        <v>119</v>
      </c>
      <c r="I21" s="31" t="s">
        <v>68</v>
      </c>
      <c r="J21" s="9"/>
      <c r="K21" s="9"/>
      <c r="L21" s="9" t="s">
        <v>41</v>
      </c>
      <c r="M21" s="9"/>
      <c r="N21" s="9" t="s">
        <v>41</v>
      </c>
      <c r="O21" s="59"/>
      <c r="P21" s="4" t="s">
        <v>69</v>
      </c>
    </row>
    <row r="22" spans="1:16">
      <c r="A22" s="7">
        <v>21</v>
      </c>
      <c r="B22" s="77" t="s">
        <v>120</v>
      </c>
      <c r="C22" s="137" t="s">
        <v>121</v>
      </c>
      <c r="D22" s="13" t="s">
        <v>76</v>
      </c>
      <c r="E22" s="21" t="s">
        <v>53</v>
      </c>
      <c r="F22" s="31" t="s">
        <v>77</v>
      </c>
      <c r="G22" s="7"/>
      <c r="H22" s="365" t="s">
        <v>122</v>
      </c>
      <c r="I22" s="31" t="s">
        <v>68</v>
      </c>
      <c r="J22" s="9"/>
      <c r="K22" s="9"/>
      <c r="L22" s="9" t="s">
        <v>41</v>
      </c>
      <c r="M22" s="9"/>
      <c r="N22" s="9" t="s">
        <v>41</v>
      </c>
      <c r="O22" s="59"/>
      <c r="P22" s="4" t="s">
        <v>69</v>
      </c>
    </row>
    <row r="23" spans="1:16">
      <c r="A23" s="16">
        <v>22</v>
      </c>
      <c r="B23" s="118" t="s">
        <v>123</v>
      </c>
      <c r="C23" s="137" t="s">
        <v>124</v>
      </c>
      <c r="D23" s="13" t="s">
        <v>65</v>
      </c>
      <c r="E23" s="21" t="s">
        <v>53</v>
      </c>
      <c r="F23" s="31" t="s">
        <v>77</v>
      </c>
      <c r="G23" s="7"/>
      <c r="H23" s="366" t="s">
        <v>125</v>
      </c>
      <c r="I23" s="72" t="s">
        <v>68</v>
      </c>
      <c r="J23" s="19"/>
      <c r="K23" s="19"/>
      <c r="L23" s="9" t="s">
        <v>41</v>
      </c>
      <c r="M23" s="19"/>
      <c r="N23" s="9" t="s">
        <v>41</v>
      </c>
      <c r="O23" s="59"/>
      <c r="P23" s="4" t="s">
        <v>69</v>
      </c>
    </row>
    <row r="24" spans="1:16">
      <c r="A24" s="7">
        <v>23</v>
      </c>
      <c r="B24" s="14" t="s">
        <v>126</v>
      </c>
      <c r="C24" s="205" t="s">
        <v>127</v>
      </c>
      <c r="D24" s="13" t="s">
        <v>76</v>
      </c>
      <c r="E24" s="21" t="s">
        <v>53</v>
      </c>
      <c r="F24" s="31" t="s">
        <v>77</v>
      </c>
      <c r="G24" s="7"/>
      <c r="H24" s="365" t="s">
        <v>128</v>
      </c>
      <c r="I24" s="21" t="s">
        <v>68</v>
      </c>
      <c r="J24" s="9"/>
      <c r="K24" s="9"/>
      <c r="L24" s="9" t="s">
        <v>41</v>
      </c>
      <c r="M24" s="9"/>
      <c r="N24" s="9" t="s">
        <v>41</v>
      </c>
      <c r="O24" s="59"/>
      <c r="P24" s="4" t="s">
        <v>69</v>
      </c>
    </row>
    <row r="25" spans="1:16">
      <c r="A25" s="17">
        <v>24</v>
      </c>
      <c r="B25" s="119" t="s">
        <v>129</v>
      </c>
      <c r="C25" s="137" t="s">
        <v>130</v>
      </c>
      <c r="D25" s="13" t="s">
        <v>76</v>
      </c>
      <c r="E25" s="21" t="s">
        <v>53</v>
      </c>
      <c r="F25" s="36" t="s">
        <v>54</v>
      </c>
      <c r="G25" s="369" t="s">
        <v>61</v>
      </c>
      <c r="H25" s="365" t="s">
        <v>131</v>
      </c>
      <c r="I25" s="75"/>
      <c r="J25" s="30"/>
      <c r="K25" s="30"/>
      <c r="L25" s="9" t="s">
        <v>41</v>
      </c>
      <c r="M25" s="30"/>
      <c r="N25" s="9" t="s">
        <v>41</v>
      </c>
      <c r="O25" s="59"/>
      <c r="P25" s="4" t="s">
        <v>69</v>
      </c>
    </row>
    <row r="26" spans="1:16">
      <c r="A26" s="7">
        <v>25</v>
      </c>
      <c r="B26" s="77" t="s">
        <v>132</v>
      </c>
      <c r="C26" s="137" t="s">
        <v>133</v>
      </c>
      <c r="D26" s="13" t="s">
        <v>76</v>
      </c>
      <c r="E26" s="21" t="s">
        <v>53</v>
      </c>
      <c r="F26" s="36" t="s">
        <v>54</v>
      </c>
      <c r="G26" s="369" t="s">
        <v>61</v>
      </c>
      <c r="H26" s="366" t="s">
        <v>134</v>
      </c>
      <c r="I26" s="21" t="s">
        <v>68</v>
      </c>
      <c r="J26" s="9"/>
      <c r="K26" s="9"/>
      <c r="L26" s="9" t="s">
        <v>41</v>
      </c>
      <c r="M26" s="9"/>
      <c r="N26" s="9" t="s">
        <v>41</v>
      </c>
      <c r="O26" s="59"/>
      <c r="P26" s="4" t="s">
        <v>69</v>
      </c>
    </row>
    <row r="27" spans="1:16">
      <c r="A27" s="7">
        <v>26</v>
      </c>
      <c r="B27" s="77" t="s">
        <v>135</v>
      </c>
      <c r="C27" s="137" t="s">
        <v>136</v>
      </c>
      <c r="D27" s="13" t="s">
        <v>65</v>
      </c>
      <c r="E27" s="21" t="s">
        <v>53</v>
      </c>
      <c r="F27" s="31" t="s">
        <v>77</v>
      </c>
      <c r="G27" s="7"/>
      <c r="H27" s="366" t="s">
        <v>137</v>
      </c>
      <c r="I27" s="31"/>
      <c r="J27" s="9"/>
      <c r="K27" s="9"/>
      <c r="L27" s="9" t="s">
        <v>41</v>
      </c>
      <c r="M27" s="9"/>
      <c r="N27" s="9" t="s">
        <v>41</v>
      </c>
      <c r="O27" s="59"/>
      <c r="P27" s="4" t="s">
        <v>69</v>
      </c>
    </row>
    <row r="28" spans="1:16">
      <c r="A28" s="7">
        <v>27</v>
      </c>
      <c r="B28" s="77" t="s">
        <v>138</v>
      </c>
      <c r="C28" s="137" t="s">
        <v>139</v>
      </c>
      <c r="D28" s="13" t="s">
        <v>76</v>
      </c>
      <c r="E28" s="21" t="s">
        <v>53</v>
      </c>
      <c r="F28" s="36" t="s">
        <v>54</v>
      </c>
      <c r="G28" s="32"/>
      <c r="H28" s="366" t="s">
        <v>140</v>
      </c>
      <c r="I28" s="31"/>
      <c r="J28" s="9"/>
      <c r="K28" s="9"/>
      <c r="L28" s="9" t="s">
        <v>41</v>
      </c>
      <c r="M28" s="9"/>
      <c r="N28" s="9" t="s">
        <v>41</v>
      </c>
      <c r="O28" s="59"/>
      <c r="P28" s="4" t="s">
        <v>69</v>
      </c>
    </row>
    <row r="29" spans="1:16">
      <c r="A29" s="7">
        <v>28</v>
      </c>
      <c r="B29" s="77" t="s">
        <v>141</v>
      </c>
      <c r="C29" s="137" t="s">
        <v>142</v>
      </c>
      <c r="D29" s="13" t="s">
        <v>76</v>
      </c>
      <c r="E29" s="21" t="s">
        <v>143</v>
      </c>
      <c r="F29" s="36" t="s">
        <v>54</v>
      </c>
      <c r="G29" s="32"/>
      <c r="H29" s="366" t="s">
        <v>144</v>
      </c>
      <c r="I29" s="31"/>
      <c r="J29" s="9"/>
      <c r="K29" s="9"/>
      <c r="L29" s="9" t="s">
        <v>41</v>
      </c>
      <c r="M29" s="9"/>
      <c r="N29" s="9" t="s">
        <v>41</v>
      </c>
      <c r="O29" s="59"/>
      <c r="P29" s="4" t="s">
        <v>69</v>
      </c>
    </row>
    <row r="30" spans="1:16">
      <c r="A30" s="7">
        <v>29</v>
      </c>
      <c r="B30" s="77" t="s">
        <v>145</v>
      </c>
      <c r="C30" s="137" t="s">
        <v>146</v>
      </c>
      <c r="D30" s="13" t="s">
        <v>52</v>
      </c>
      <c r="E30" s="37" t="s">
        <v>53</v>
      </c>
      <c r="F30" s="36" t="s">
        <v>54</v>
      </c>
      <c r="G30" s="32"/>
      <c r="H30" s="365" t="s">
        <v>147</v>
      </c>
      <c r="I30" s="72" t="s">
        <v>56</v>
      </c>
      <c r="J30" s="9"/>
      <c r="K30" s="9"/>
      <c r="L30" s="9" t="s">
        <v>41</v>
      </c>
      <c r="M30" s="9"/>
      <c r="N30" s="9" t="s">
        <v>41</v>
      </c>
      <c r="O30" s="59"/>
      <c r="P30" s="4" t="s">
        <v>57</v>
      </c>
    </row>
    <row r="31" spans="1:16">
      <c r="A31" s="7">
        <v>30</v>
      </c>
      <c r="B31" s="77" t="s">
        <v>148</v>
      </c>
      <c r="C31" s="137" t="s">
        <v>149</v>
      </c>
      <c r="D31" s="13" t="s">
        <v>65</v>
      </c>
      <c r="E31" s="37" t="s">
        <v>53</v>
      </c>
      <c r="F31" s="31" t="s">
        <v>77</v>
      </c>
      <c r="G31" s="7"/>
      <c r="H31" s="365" t="s">
        <v>150</v>
      </c>
      <c r="I31" s="72" t="s">
        <v>56</v>
      </c>
      <c r="J31" s="9"/>
      <c r="K31" s="9"/>
      <c r="L31" s="9" t="s">
        <v>41</v>
      </c>
      <c r="M31" s="9"/>
      <c r="N31" s="9" t="s">
        <v>41</v>
      </c>
      <c r="O31" s="59"/>
      <c r="P31" s="4" t="s">
        <v>69</v>
      </c>
    </row>
    <row r="32" spans="1:16">
      <c r="A32" s="7">
        <v>31</v>
      </c>
      <c r="B32" s="77" t="s">
        <v>151</v>
      </c>
      <c r="C32" s="137" t="s">
        <v>152</v>
      </c>
      <c r="D32" s="13" t="s">
        <v>65</v>
      </c>
      <c r="E32" s="21" t="s">
        <v>143</v>
      </c>
      <c r="F32" s="31" t="s">
        <v>77</v>
      </c>
      <c r="G32" s="7"/>
      <c r="H32" s="366" t="s">
        <v>153</v>
      </c>
      <c r="I32" s="21" t="s">
        <v>68</v>
      </c>
      <c r="J32" s="9"/>
      <c r="K32" s="9"/>
      <c r="L32" s="9" t="s">
        <v>41</v>
      </c>
      <c r="M32" s="9"/>
      <c r="N32" s="9" t="s">
        <v>41</v>
      </c>
      <c r="O32" s="59"/>
      <c r="P32" s="4" t="s">
        <v>69</v>
      </c>
    </row>
    <row r="33" spans="1:16">
      <c r="A33" s="7">
        <v>32</v>
      </c>
      <c r="B33" s="363" t="s">
        <v>154</v>
      </c>
      <c r="C33" s="137" t="s">
        <v>155</v>
      </c>
      <c r="D33" s="13" t="s">
        <v>76</v>
      </c>
      <c r="E33" s="21" t="s">
        <v>156</v>
      </c>
      <c r="F33" s="36" t="s">
        <v>54</v>
      </c>
      <c r="G33" s="32"/>
      <c r="H33" s="365" t="s">
        <v>157</v>
      </c>
      <c r="I33" s="31"/>
      <c r="J33" s="9"/>
      <c r="K33" s="9"/>
      <c r="L33" s="9" t="s">
        <v>41</v>
      </c>
      <c r="M33" s="9"/>
      <c r="N33" s="9" t="s">
        <v>41</v>
      </c>
      <c r="O33" s="59"/>
      <c r="P33" s="4" t="s">
        <v>69</v>
      </c>
    </row>
    <row r="34" spans="1:16">
      <c r="A34" s="7">
        <v>33</v>
      </c>
      <c r="B34" s="77" t="s">
        <v>158</v>
      </c>
      <c r="C34" s="137" t="s">
        <v>159</v>
      </c>
      <c r="D34" s="13" t="s">
        <v>76</v>
      </c>
      <c r="E34" s="21" t="s">
        <v>53</v>
      </c>
      <c r="F34" s="36" t="s">
        <v>54</v>
      </c>
      <c r="G34" s="32"/>
      <c r="H34" s="366" t="s">
        <v>160</v>
      </c>
      <c r="I34" s="21" t="s">
        <v>68</v>
      </c>
      <c r="J34" s="9"/>
      <c r="K34" s="9"/>
      <c r="L34" s="9" t="s">
        <v>41</v>
      </c>
      <c r="M34" s="9"/>
      <c r="N34" s="9" t="s">
        <v>41</v>
      </c>
      <c r="O34" s="59"/>
      <c r="P34" s="4" t="s">
        <v>69</v>
      </c>
    </row>
    <row r="35" spans="1:16">
      <c r="A35" s="7">
        <v>34</v>
      </c>
      <c r="B35" s="77" t="s">
        <v>161</v>
      </c>
      <c r="C35" s="137" t="s">
        <v>162</v>
      </c>
      <c r="D35" s="13" t="s">
        <v>90</v>
      </c>
      <c r="E35" s="21" t="s">
        <v>53</v>
      </c>
      <c r="F35" s="36" t="s">
        <v>54</v>
      </c>
      <c r="G35" s="369" t="s">
        <v>61</v>
      </c>
      <c r="H35" s="366" t="s">
        <v>163</v>
      </c>
      <c r="I35" s="21" t="s">
        <v>68</v>
      </c>
      <c r="J35" s="9"/>
      <c r="K35" s="9"/>
      <c r="L35" s="9" t="s">
        <v>41</v>
      </c>
      <c r="M35" s="9"/>
      <c r="N35" s="9" t="s">
        <v>41</v>
      </c>
      <c r="O35" s="59"/>
      <c r="P35" s="79" t="s">
        <v>69</v>
      </c>
    </row>
    <row r="36" spans="1:16">
      <c r="A36" s="7">
        <v>35</v>
      </c>
      <c r="B36" s="77" t="s">
        <v>164</v>
      </c>
      <c r="C36" s="137" t="s">
        <v>165</v>
      </c>
      <c r="D36" s="13" t="s">
        <v>76</v>
      </c>
      <c r="E36" s="21" t="s">
        <v>53</v>
      </c>
      <c r="F36" s="36" t="s">
        <v>54</v>
      </c>
      <c r="G36" s="32"/>
      <c r="H36" s="366" t="s">
        <v>166</v>
      </c>
      <c r="I36" s="21" t="s">
        <v>68</v>
      </c>
      <c r="J36" s="9"/>
      <c r="K36" s="9"/>
      <c r="L36" s="9" t="s">
        <v>41</v>
      </c>
      <c r="M36" s="9"/>
      <c r="N36" s="9" t="s">
        <v>41</v>
      </c>
      <c r="O36" s="59"/>
      <c r="P36" s="4" t="s">
        <v>69</v>
      </c>
    </row>
    <row r="37" spans="1:16">
      <c r="A37" s="7">
        <v>36</v>
      </c>
      <c r="B37" s="77" t="s">
        <v>167</v>
      </c>
      <c r="C37" s="137" t="s">
        <v>168</v>
      </c>
      <c r="D37" s="13" t="s">
        <v>90</v>
      </c>
      <c r="E37" s="21" t="s">
        <v>108</v>
      </c>
      <c r="F37" s="36" t="s">
        <v>54</v>
      </c>
      <c r="G37" s="369" t="s">
        <v>61</v>
      </c>
      <c r="H37" s="366" t="s">
        <v>169</v>
      </c>
      <c r="I37" s="21" t="s">
        <v>68</v>
      </c>
      <c r="J37" s="9"/>
      <c r="K37" s="9"/>
      <c r="L37" s="9" t="s">
        <v>41</v>
      </c>
      <c r="M37" s="9"/>
      <c r="N37" s="9" t="s">
        <v>41</v>
      </c>
      <c r="O37" s="59"/>
      <c r="P37" s="79" t="s">
        <v>69</v>
      </c>
    </row>
    <row r="38" spans="1:16">
      <c r="A38" s="16">
        <v>37</v>
      </c>
      <c r="B38" s="77" t="s">
        <v>170</v>
      </c>
      <c r="C38" s="137" t="s">
        <v>171</v>
      </c>
      <c r="D38" s="13" t="s">
        <v>65</v>
      </c>
      <c r="E38" s="38" t="s">
        <v>108</v>
      </c>
      <c r="F38" s="31" t="s">
        <v>77</v>
      </c>
      <c r="G38" s="7"/>
      <c r="H38" s="365" t="s">
        <v>172</v>
      </c>
      <c r="I38" s="72" t="s">
        <v>56</v>
      </c>
      <c r="J38" s="9"/>
      <c r="K38" s="9"/>
      <c r="L38" s="9" t="s">
        <v>41</v>
      </c>
      <c r="M38" s="9"/>
      <c r="N38" s="9" t="s">
        <v>41</v>
      </c>
      <c r="O38" s="59"/>
      <c r="P38" s="4" t="s">
        <v>69</v>
      </c>
    </row>
    <row r="39" spans="1:16">
      <c r="A39" s="7">
        <v>38</v>
      </c>
      <c r="B39" s="77" t="s">
        <v>173</v>
      </c>
      <c r="C39" s="137" t="s">
        <v>174</v>
      </c>
      <c r="D39" s="13" t="s">
        <v>65</v>
      </c>
      <c r="E39" s="21" t="s">
        <v>53</v>
      </c>
      <c r="F39" s="31" t="s">
        <v>77</v>
      </c>
      <c r="G39" s="7"/>
      <c r="H39" s="365" t="s">
        <v>175</v>
      </c>
      <c r="I39" s="21"/>
      <c r="J39" s="31"/>
      <c r="K39" s="31"/>
      <c r="L39" s="9" t="s">
        <v>41</v>
      </c>
      <c r="M39" s="31"/>
      <c r="N39" s="9" t="s">
        <v>41</v>
      </c>
      <c r="O39" s="59"/>
      <c r="P39" s="4" t="s">
        <v>69</v>
      </c>
    </row>
    <row r="40" spans="1:16">
      <c r="A40" s="17">
        <v>39</v>
      </c>
      <c r="B40" s="363" t="s">
        <v>176</v>
      </c>
      <c r="C40" s="137" t="s">
        <v>177</v>
      </c>
      <c r="D40" s="13" t="s">
        <v>65</v>
      </c>
      <c r="E40" s="39" t="s">
        <v>178</v>
      </c>
      <c r="F40" s="36" t="s">
        <v>54</v>
      </c>
      <c r="G40" s="369" t="s">
        <v>61</v>
      </c>
      <c r="H40" s="29" t="s">
        <v>179</v>
      </c>
      <c r="I40" s="8" t="s">
        <v>56</v>
      </c>
      <c r="J40" s="19"/>
      <c r="K40" s="19"/>
      <c r="L40" s="9" t="s">
        <v>41</v>
      </c>
      <c r="M40" s="19"/>
      <c r="N40" s="9" t="s">
        <v>41</v>
      </c>
      <c r="O40" s="59"/>
      <c r="P40" s="4" t="s">
        <v>69</v>
      </c>
    </row>
    <row r="41" spans="1:16">
      <c r="A41" s="16">
        <v>40</v>
      </c>
      <c r="B41" s="118" t="s">
        <v>180</v>
      </c>
      <c r="C41" s="137" t="s">
        <v>181</v>
      </c>
      <c r="D41" s="53" t="s">
        <v>76</v>
      </c>
      <c r="E41" s="22" t="s">
        <v>53</v>
      </c>
      <c r="F41" s="36" t="s">
        <v>54</v>
      </c>
      <c r="G41" s="32"/>
      <c r="H41" s="367" t="s">
        <v>182</v>
      </c>
      <c r="I41" s="22" t="s">
        <v>56</v>
      </c>
      <c r="J41" s="19"/>
      <c r="K41" s="19"/>
      <c r="L41" s="9" t="s">
        <v>41</v>
      </c>
      <c r="M41" s="19"/>
      <c r="N41" s="19" t="s">
        <v>41</v>
      </c>
      <c r="O41" s="60"/>
      <c r="P41" s="4" t="s">
        <v>69</v>
      </c>
    </row>
    <row r="42" spans="1:16">
      <c r="A42" s="7">
        <v>41</v>
      </c>
      <c r="B42" s="77" t="s">
        <v>183</v>
      </c>
      <c r="C42" s="137" t="s">
        <v>184</v>
      </c>
      <c r="D42" s="13" t="s">
        <v>76</v>
      </c>
      <c r="E42" s="32" t="s">
        <v>53</v>
      </c>
      <c r="F42" s="36" t="s">
        <v>54</v>
      </c>
      <c r="G42" s="32"/>
      <c r="H42" s="365" t="s">
        <v>185</v>
      </c>
      <c r="I42" s="21" t="s">
        <v>186</v>
      </c>
      <c r="J42" s="7"/>
      <c r="K42" s="7"/>
      <c r="L42" s="9" t="s">
        <v>41</v>
      </c>
      <c r="M42" s="7"/>
      <c r="N42" s="7" t="s">
        <v>41</v>
      </c>
      <c r="O42" s="59"/>
      <c r="P42" s="4" t="s">
        <v>69</v>
      </c>
    </row>
    <row r="43" spans="1:16">
      <c r="A43" s="17">
        <v>42</v>
      </c>
      <c r="B43" s="71" t="s">
        <v>187</v>
      </c>
      <c r="C43" s="137" t="s">
        <v>188</v>
      </c>
      <c r="D43" s="53" t="s">
        <v>90</v>
      </c>
      <c r="E43" s="57" t="s">
        <v>53</v>
      </c>
      <c r="F43" s="31" t="s">
        <v>77</v>
      </c>
      <c r="G43" s="7"/>
      <c r="H43" s="29" t="s">
        <v>189</v>
      </c>
      <c r="I43" s="22" t="s">
        <v>190</v>
      </c>
      <c r="J43" s="16"/>
      <c r="K43" s="16"/>
      <c r="L43" s="9" t="s">
        <v>41</v>
      </c>
      <c r="M43" s="16"/>
      <c r="N43" s="16" t="s">
        <v>41</v>
      </c>
      <c r="O43" s="60"/>
      <c r="P43" s="4" t="s">
        <v>191</v>
      </c>
    </row>
    <row r="44" spans="1:16">
      <c r="A44" s="16">
        <v>43</v>
      </c>
      <c r="B44" s="119" t="s">
        <v>192</v>
      </c>
      <c r="C44" s="64" t="s">
        <v>193</v>
      </c>
      <c r="D44" s="13" t="s">
        <v>194</v>
      </c>
      <c r="E44" s="32" t="s">
        <v>39</v>
      </c>
      <c r="F44" s="33" t="s">
        <v>39</v>
      </c>
      <c r="G44" s="32"/>
      <c r="H44" s="29" t="s">
        <v>195</v>
      </c>
      <c r="I44" s="22" t="s">
        <v>68</v>
      </c>
      <c r="J44" s="7"/>
      <c r="K44" s="7"/>
      <c r="L44" s="7"/>
      <c r="M44" s="7"/>
      <c r="N44" s="7"/>
      <c r="O44" s="59"/>
      <c r="P44" s="4"/>
    </row>
    <row r="45" spans="1:16">
      <c r="A45" s="7">
        <v>44</v>
      </c>
      <c r="B45" s="77" t="s">
        <v>196</v>
      </c>
      <c r="C45" s="28" t="s">
        <v>197</v>
      </c>
      <c r="D45" s="13" t="s">
        <v>194</v>
      </c>
      <c r="E45" s="32" t="s">
        <v>39</v>
      </c>
      <c r="F45" s="33" t="s">
        <v>39</v>
      </c>
      <c r="G45" s="32"/>
      <c r="H45" s="29" t="s">
        <v>198</v>
      </c>
      <c r="I45" s="22" t="s">
        <v>68</v>
      </c>
      <c r="J45" s="7"/>
      <c r="K45" s="7"/>
      <c r="L45" s="7"/>
      <c r="M45" s="7"/>
      <c r="N45" s="7"/>
      <c r="O45" s="59"/>
      <c r="P45" s="4"/>
    </row>
    <row r="46" spans="1:16">
      <c r="A46" s="17">
        <v>45</v>
      </c>
      <c r="B46" s="77" t="s">
        <v>199</v>
      </c>
      <c r="C46" s="28" t="s">
        <v>200</v>
      </c>
      <c r="D46" s="13" t="s">
        <v>194</v>
      </c>
      <c r="E46" s="32" t="s">
        <v>39</v>
      </c>
      <c r="F46" s="33" t="s">
        <v>39</v>
      </c>
      <c r="G46" s="32"/>
      <c r="H46" s="29" t="s">
        <v>201</v>
      </c>
      <c r="I46" s="22" t="s">
        <v>68</v>
      </c>
      <c r="J46" s="7"/>
      <c r="K46" s="7"/>
      <c r="L46" s="7"/>
      <c r="M46" s="7"/>
      <c r="N46" s="7"/>
      <c r="O46" s="59"/>
      <c r="P46" s="4"/>
    </row>
    <row r="47" spans="1:16">
      <c r="A47" s="16">
        <v>46</v>
      </c>
      <c r="B47" s="118" t="s">
        <v>202</v>
      </c>
      <c r="C47" s="28" t="s">
        <v>203</v>
      </c>
      <c r="D47" s="53" t="s">
        <v>194</v>
      </c>
      <c r="E47" s="57" t="s">
        <v>39</v>
      </c>
      <c r="F47" s="134" t="s">
        <v>39</v>
      </c>
      <c r="G47" s="32"/>
      <c r="H47" s="368" t="s">
        <v>204</v>
      </c>
      <c r="I47" s="22" t="s">
        <v>68</v>
      </c>
      <c r="J47" s="16"/>
      <c r="K47" s="16"/>
      <c r="L47" s="16"/>
      <c r="M47" s="16"/>
      <c r="N47" s="16"/>
      <c r="O47" s="60"/>
      <c r="P47" s="4"/>
    </row>
    <row r="48" spans="1:16" s="27" customFormat="1">
      <c r="A48" s="19">
        <v>47</v>
      </c>
      <c r="B48" s="145" t="s">
        <v>205</v>
      </c>
      <c r="C48" s="63" t="s">
        <v>206</v>
      </c>
      <c r="D48" s="53" t="s">
        <v>194</v>
      </c>
      <c r="E48" s="57" t="s">
        <v>39</v>
      </c>
      <c r="F48" s="134" t="s">
        <v>39</v>
      </c>
      <c r="G48" s="32"/>
      <c r="H48" s="368" t="s">
        <v>207</v>
      </c>
      <c r="I48" s="16" t="s">
        <v>68</v>
      </c>
      <c r="J48" s="16"/>
      <c r="K48" s="16"/>
      <c r="L48" s="16"/>
      <c r="M48" s="16"/>
      <c r="N48" s="16"/>
      <c r="O48" s="60"/>
      <c r="P48" s="207"/>
    </row>
    <row r="49" spans="1:16">
      <c r="A49" s="7">
        <v>48</v>
      </c>
      <c r="B49" s="364" t="s">
        <v>208</v>
      </c>
      <c r="C49" s="262" t="s">
        <v>209</v>
      </c>
      <c r="D49" s="14" t="s">
        <v>90</v>
      </c>
      <c r="E49" s="32" t="s">
        <v>210</v>
      </c>
      <c r="F49" s="33" t="s">
        <v>54</v>
      </c>
      <c r="G49" s="32"/>
      <c r="H49" s="29"/>
      <c r="I49" s="7" t="s">
        <v>211</v>
      </c>
      <c r="J49" s="7"/>
      <c r="K49" s="7"/>
      <c r="L49" s="9" t="s">
        <v>41</v>
      </c>
      <c r="M49" s="7"/>
      <c r="N49" s="7" t="s">
        <v>41</v>
      </c>
      <c r="O49" s="52"/>
      <c r="P49" s="4"/>
    </row>
    <row r="50" spans="1:16" ht="15" customHeight="1">
      <c r="A50" s="7">
        <v>49</v>
      </c>
      <c r="B50" s="364" t="s">
        <v>212</v>
      </c>
      <c r="C50" s="262" t="s">
        <v>213</v>
      </c>
      <c r="D50" s="14" t="s">
        <v>90</v>
      </c>
      <c r="E50" s="32" t="s">
        <v>210</v>
      </c>
      <c r="F50" s="33" t="s">
        <v>54</v>
      </c>
      <c r="G50" s="32"/>
      <c r="H50" s="13"/>
      <c r="I50" s="7" t="s">
        <v>211</v>
      </c>
      <c r="J50" s="7"/>
      <c r="K50" s="7"/>
      <c r="L50" s="9" t="s">
        <v>41</v>
      </c>
      <c r="M50" s="7"/>
      <c r="N50" s="7" t="s">
        <v>41</v>
      </c>
      <c r="O50" s="52"/>
      <c r="P50" s="4"/>
    </row>
    <row r="51" spans="1:16" ht="15" customHeight="1">
      <c r="A51" s="7">
        <v>50</v>
      </c>
      <c r="B51" s="14" t="s">
        <v>214</v>
      </c>
      <c r="C51" s="262" t="s">
        <v>215</v>
      </c>
      <c r="D51" s="14" t="s">
        <v>90</v>
      </c>
      <c r="E51" s="32" t="s">
        <v>53</v>
      </c>
      <c r="F51" s="33" t="s">
        <v>54</v>
      </c>
      <c r="G51" s="32"/>
      <c r="H51" s="13"/>
      <c r="I51" s="7" t="s">
        <v>211</v>
      </c>
      <c r="J51" s="7"/>
      <c r="K51" s="7"/>
      <c r="L51" s="9" t="s">
        <v>41</v>
      </c>
      <c r="M51" s="7"/>
      <c r="N51" s="7" t="s">
        <v>41</v>
      </c>
      <c r="O51" s="52"/>
      <c r="P51" s="4"/>
    </row>
    <row r="52" spans="1:16" ht="15" customHeight="1">
      <c r="A52" s="7">
        <v>51</v>
      </c>
      <c r="B52" s="14" t="s">
        <v>216</v>
      </c>
      <c r="C52" s="262" t="s">
        <v>217</v>
      </c>
      <c r="D52" s="14" t="s">
        <v>90</v>
      </c>
      <c r="E52" s="259" t="s">
        <v>53</v>
      </c>
      <c r="F52" s="174" t="s">
        <v>77</v>
      </c>
      <c r="G52" s="170"/>
      <c r="H52" s="13"/>
      <c r="I52" s="7" t="s">
        <v>211</v>
      </c>
      <c r="J52" s="7"/>
      <c r="K52" s="7"/>
      <c r="L52" s="9" t="s">
        <v>41</v>
      </c>
      <c r="M52" s="7"/>
      <c r="N52" s="7" t="s">
        <v>41</v>
      </c>
      <c r="O52" s="52"/>
      <c r="P52" s="4"/>
    </row>
    <row r="53" spans="1:16" ht="15" customHeight="1">
      <c r="A53" s="7">
        <v>52</v>
      </c>
      <c r="B53" s="12" t="s">
        <v>218</v>
      </c>
      <c r="C53" s="264" t="s">
        <v>219</v>
      </c>
      <c r="D53" s="12" t="s">
        <v>90</v>
      </c>
      <c r="E53" s="260" t="s">
        <v>53</v>
      </c>
      <c r="F53" s="265" t="s">
        <v>77</v>
      </c>
      <c r="G53" s="170"/>
      <c r="H53" s="53"/>
      <c r="I53" s="16" t="s">
        <v>211</v>
      </c>
      <c r="J53" s="16"/>
      <c r="K53" s="16"/>
      <c r="L53" s="9" t="s">
        <v>41</v>
      </c>
      <c r="M53" s="16"/>
      <c r="N53" s="16" t="s">
        <v>41</v>
      </c>
      <c r="O53" s="266"/>
      <c r="P53" s="207"/>
    </row>
    <row r="54" spans="1:16" ht="15" customHeight="1">
      <c r="A54" s="9">
        <v>53</v>
      </c>
      <c r="B54" s="161" t="s">
        <v>220</v>
      </c>
      <c r="C54" s="262" t="s">
        <v>221</v>
      </c>
      <c r="D54" s="161" t="s">
        <v>222</v>
      </c>
      <c r="E54" s="128" t="s">
        <v>108</v>
      </c>
      <c r="F54" s="160" t="s">
        <v>77</v>
      </c>
      <c r="G54" s="128"/>
      <c r="H54" s="13"/>
      <c r="I54" s="7" t="s">
        <v>211</v>
      </c>
      <c r="J54" s="7"/>
      <c r="K54" s="7"/>
      <c r="L54" s="7"/>
      <c r="M54" s="7"/>
      <c r="N54" s="7"/>
      <c r="O54" s="52"/>
      <c r="P54" s="4"/>
    </row>
    <row r="55" spans="1:16" ht="15" customHeight="1">
      <c r="A55" s="9">
        <v>54</v>
      </c>
      <c r="B55" s="161" t="s">
        <v>223</v>
      </c>
      <c r="C55" s="262" t="s">
        <v>224</v>
      </c>
      <c r="D55" s="161" t="s">
        <v>222</v>
      </c>
      <c r="E55" s="128" t="s">
        <v>53</v>
      </c>
      <c r="F55" s="160" t="s">
        <v>77</v>
      </c>
      <c r="G55" s="128"/>
      <c r="H55" s="13"/>
      <c r="I55" s="7" t="s">
        <v>211</v>
      </c>
      <c r="J55" s="7"/>
      <c r="K55" s="7"/>
      <c r="L55" s="7"/>
      <c r="M55" s="7"/>
      <c r="N55" s="7"/>
      <c r="O55" s="52"/>
      <c r="P55" s="4"/>
    </row>
    <row r="56" spans="1:16" ht="15" customHeight="1">
      <c r="A56" s="9">
        <v>55</v>
      </c>
      <c r="B56" s="161" t="s">
        <v>225</v>
      </c>
      <c r="C56" s="262" t="s">
        <v>226</v>
      </c>
      <c r="D56" s="161" t="s">
        <v>222</v>
      </c>
      <c r="E56" s="128" t="s">
        <v>108</v>
      </c>
      <c r="F56" s="160" t="s">
        <v>77</v>
      </c>
      <c r="G56" s="128"/>
      <c r="H56" s="13"/>
      <c r="I56" s="7" t="s">
        <v>211</v>
      </c>
      <c r="J56" s="7"/>
      <c r="K56" s="7"/>
      <c r="L56" s="7"/>
      <c r="M56" s="7"/>
      <c r="N56" s="7"/>
      <c r="O56" s="52"/>
      <c r="P56" s="4"/>
    </row>
    <row r="57" spans="1:16" ht="15" customHeight="1">
      <c r="A57" s="9">
        <v>56</v>
      </c>
      <c r="B57" s="161" t="s">
        <v>227</v>
      </c>
      <c r="C57" s="262" t="s">
        <v>228</v>
      </c>
      <c r="D57" s="161" t="s">
        <v>222</v>
      </c>
      <c r="E57" s="128" t="s">
        <v>108</v>
      </c>
      <c r="F57" s="160" t="s">
        <v>77</v>
      </c>
      <c r="G57" s="128"/>
      <c r="H57" s="13"/>
      <c r="I57" s="7" t="s">
        <v>211</v>
      </c>
      <c r="J57" s="7"/>
      <c r="K57" s="7"/>
      <c r="L57" s="7"/>
      <c r="M57" s="7"/>
      <c r="N57" s="7"/>
      <c r="O57" s="52"/>
      <c r="P57" s="4"/>
    </row>
    <row r="58" spans="1:16" ht="15" customHeight="1">
      <c r="A58" s="9">
        <v>57</v>
      </c>
      <c r="B58" s="161" t="s">
        <v>229</v>
      </c>
      <c r="C58" s="262" t="s">
        <v>230</v>
      </c>
      <c r="D58" s="161" t="s">
        <v>222</v>
      </c>
      <c r="E58" s="128" t="s">
        <v>108</v>
      </c>
      <c r="F58" s="160" t="s">
        <v>77</v>
      </c>
      <c r="G58" s="128"/>
      <c r="H58" s="13"/>
      <c r="I58" s="7" t="s">
        <v>211</v>
      </c>
      <c r="J58" s="7"/>
      <c r="K58" s="7"/>
      <c r="L58" s="7"/>
      <c r="M58" s="7"/>
      <c r="N58" s="7"/>
      <c r="O58" s="52"/>
      <c r="P58" s="4"/>
    </row>
    <row r="59" spans="1:16" ht="15" customHeight="1">
      <c r="A59" s="9">
        <v>58</v>
      </c>
      <c r="B59" s="161" t="s">
        <v>231</v>
      </c>
      <c r="C59" s="262" t="s">
        <v>232</v>
      </c>
      <c r="D59" s="161" t="s">
        <v>222</v>
      </c>
      <c r="E59" s="128" t="s">
        <v>53</v>
      </c>
      <c r="F59" s="160" t="s">
        <v>77</v>
      </c>
      <c r="G59" s="128"/>
      <c r="H59" s="13"/>
      <c r="I59" s="7" t="s">
        <v>211</v>
      </c>
      <c r="J59" s="7"/>
      <c r="K59" s="7"/>
      <c r="L59" s="7"/>
      <c r="M59" s="7"/>
      <c r="N59" s="7"/>
      <c r="O59" s="52"/>
      <c r="P59" s="4"/>
    </row>
    <row r="60" spans="1:16" ht="15" customHeight="1">
      <c r="A60" s="9">
        <v>59</v>
      </c>
      <c r="B60" s="161" t="s">
        <v>233</v>
      </c>
      <c r="C60" s="262" t="s">
        <v>234</v>
      </c>
      <c r="D60" s="161" t="s">
        <v>222</v>
      </c>
      <c r="E60" s="128" t="s">
        <v>108</v>
      </c>
      <c r="F60" s="160" t="s">
        <v>77</v>
      </c>
      <c r="G60" s="128"/>
      <c r="H60" s="13"/>
      <c r="I60" s="7" t="s">
        <v>211</v>
      </c>
      <c r="J60" s="7"/>
      <c r="K60" s="7"/>
      <c r="L60" s="7"/>
      <c r="M60" s="7"/>
      <c r="N60" s="7"/>
      <c r="O60" s="52"/>
      <c r="P60" s="4"/>
    </row>
    <row r="61" spans="1:16" ht="15" customHeight="1">
      <c r="A61" s="9">
        <v>60</v>
      </c>
      <c r="B61" s="161" t="s">
        <v>235</v>
      </c>
      <c r="C61" s="262" t="s">
        <v>236</v>
      </c>
      <c r="D61" s="161" t="s">
        <v>222</v>
      </c>
      <c r="E61" s="128" t="s">
        <v>108</v>
      </c>
      <c r="F61" s="160" t="s">
        <v>77</v>
      </c>
      <c r="G61" s="128"/>
      <c r="H61" s="13"/>
      <c r="I61" s="7" t="s">
        <v>211</v>
      </c>
      <c r="J61" s="7"/>
      <c r="K61" s="7"/>
      <c r="L61" s="7"/>
      <c r="M61" s="7"/>
      <c r="N61" s="7"/>
      <c r="O61" s="52"/>
      <c r="P61" s="4"/>
    </row>
    <row r="62" spans="1:16" ht="15" customHeight="1">
      <c r="A62" s="9">
        <v>61</v>
      </c>
      <c r="B62" s="161" t="s">
        <v>237</v>
      </c>
      <c r="C62" s="262" t="s">
        <v>238</v>
      </c>
      <c r="D62" s="161" t="s">
        <v>222</v>
      </c>
      <c r="E62" s="128" t="s">
        <v>53</v>
      </c>
      <c r="F62" s="160" t="s">
        <v>77</v>
      </c>
      <c r="G62" s="128"/>
      <c r="H62" s="13"/>
      <c r="I62" s="7" t="s">
        <v>211</v>
      </c>
      <c r="J62" s="7"/>
      <c r="K62" s="7"/>
      <c r="L62" s="7"/>
      <c r="M62" s="7"/>
      <c r="N62" s="7"/>
      <c r="O62" s="52"/>
      <c r="P62" s="4"/>
    </row>
    <row r="63" spans="1:16" ht="15" customHeight="1">
      <c r="A63" s="9">
        <v>62</v>
      </c>
      <c r="B63" s="161" t="s">
        <v>239</v>
      </c>
      <c r="C63" s="262" t="s">
        <v>240</v>
      </c>
      <c r="D63" s="161" t="s">
        <v>222</v>
      </c>
      <c r="E63" s="128" t="s">
        <v>108</v>
      </c>
      <c r="F63" s="160" t="s">
        <v>77</v>
      </c>
      <c r="G63" s="128"/>
      <c r="H63" s="13"/>
      <c r="I63" s="7" t="s">
        <v>211</v>
      </c>
      <c r="J63" s="7"/>
      <c r="K63" s="7"/>
      <c r="L63" s="7"/>
      <c r="M63" s="7"/>
      <c r="N63" s="7"/>
      <c r="O63" s="52"/>
      <c r="P63" s="4"/>
    </row>
    <row r="64" spans="1:16" ht="15" customHeight="1">
      <c r="A64" s="9">
        <v>63</v>
      </c>
      <c r="B64" s="161" t="s">
        <v>241</v>
      </c>
      <c r="C64" s="262" t="s">
        <v>242</v>
      </c>
      <c r="D64" s="161" t="s">
        <v>222</v>
      </c>
      <c r="E64" s="128" t="s">
        <v>108</v>
      </c>
      <c r="F64" s="160" t="s">
        <v>77</v>
      </c>
      <c r="G64" s="128"/>
      <c r="H64" s="13"/>
      <c r="I64" s="7" t="s">
        <v>211</v>
      </c>
      <c r="J64" s="7"/>
      <c r="K64" s="7"/>
      <c r="L64" s="7"/>
      <c r="M64" s="7"/>
      <c r="N64" s="7"/>
      <c r="O64" s="52"/>
      <c r="P64" s="4"/>
    </row>
    <row r="65" spans="1:16" ht="15" customHeight="1">
      <c r="A65" s="9">
        <v>64</v>
      </c>
      <c r="B65" s="161" t="s">
        <v>243</v>
      </c>
      <c r="C65" s="262" t="s">
        <v>244</v>
      </c>
      <c r="D65" s="161" t="s">
        <v>222</v>
      </c>
      <c r="E65" s="128" t="s">
        <v>53</v>
      </c>
      <c r="F65" s="160" t="s">
        <v>77</v>
      </c>
      <c r="G65" s="128"/>
      <c r="H65" s="13"/>
      <c r="I65" s="7" t="s">
        <v>211</v>
      </c>
      <c r="J65" s="7"/>
      <c r="K65" s="7"/>
      <c r="L65" s="7"/>
      <c r="M65" s="7"/>
      <c r="N65" s="7"/>
      <c r="O65" s="52"/>
      <c r="P65" s="4"/>
    </row>
    <row r="66" spans="1:16" ht="15" customHeight="1">
      <c r="A66" s="9">
        <v>65</v>
      </c>
      <c r="B66" s="161" t="s">
        <v>245</v>
      </c>
      <c r="C66" s="262" t="s">
        <v>246</v>
      </c>
      <c r="D66" s="161" t="s">
        <v>222</v>
      </c>
      <c r="E66" s="128" t="s">
        <v>108</v>
      </c>
      <c r="F66" s="160" t="s">
        <v>77</v>
      </c>
      <c r="G66" s="128"/>
      <c r="H66" s="13"/>
      <c r="I66" s="7" t="s">
        <v>211</v>
      </c>
      <c r="J66" s="7"/>
      <c r="K66" s="7"/>
      <c r="L66" s="7"/>
      <c r="M66" s="7"/>
      <c r="N66" s="7"/>
      <c r="O66" s="52"/>
      <c r="P66" s="4"/>
    </row>
    <row r="67" spans="1:16" ht="15" customHeight="1">
      <c r="A67" s="9">
        <v>66</v>
      </c>
      <c r="B67" s="161" t="s">
        <v>247</v>
      </c>
      <c r="C67" s="262" t="s">
        <v>248</v>
      </c>
      <c r="D67" s="161" t="s">
        <v>222</v>
      </c>
      <c r="E67" s="128" t="s">
        <v>53</v>
      </c>
      <c r="F67" s="160" t="s">
        <v>77</v>
      </c>
      <c r="G67" s="128"/>
      <c r="H67" s="13"/>
      <c r="I67" s="7" t="s">
        <v>211</v>
      </c>
      <c r="J67" s="7"/>
      <c r="K67" s="7"/>
      <c r="L67" s="7"/>
      <c r="M67" s="7"/>
      <c r="N67" s="7"/>
      <c r="O67" s="52"/>
      <c r="P67" s="4"/>
    </row>
    <row r="68" spans="1:16" ht="15" customHeight="1">
      <c r="A68" s="9">
        <v>67</v>
      </c>
      <c r="B68" s="161" t="s">
        <v>249</v>
      </c>
      <c r="C68" s="262" t="s">
        <v>250</v>
      </c>
      <c r="D68" s="161" t="s">
        <v>222</v>
      </c>
      <c r="E68" s="128" t="s">
        <v>108</v>
      </c>
      <c r="F68" s="160" t="s">
        <v>77</v>
      </c>
      <c r="G68" s="128"/>
      <c r="H68" s="13"/>
      <c r="I68" s="7" t="s">
        <v>211</v>
      </c>
      <c r="J68" s="7"/>
      <c r="K68" s="7"/>
      <c r="L68" s="7"/>
      <c r="M68" s="7"/>
      <c r="N68" s="7"/>
      <c r="O68" s="52"/>
      <c r="P68" s="4"/>
    </row>
    <row r="69" spans="1:16" ht="15" customHeight="1">
      <c r="A69" s="9">
        <v>68</v>
      </c>
      <c r="B69" s="161" t="s">
        <v>251</v>
      </c>
      <c r="C69" s="262" t="s">
        <v>252</v>
      </c>
      <c r="D69" s="161" t="s">
        <v>222</v>
      </c>
      <c r="E69" s="128" t="s">
        <v>53</v>
      </c>
      <c r="F69" s="160" t="s">
        <v>77</v>
      </c>
      <c r="G69" s="128"/>
      <c r="H69" s="13"/>
      <c r="I69" s="7" t="s">
        <v>211</v>
      </c>
      <c r="J69" s="7"/>
      <c r="K69" s="7"/>
      <c r="L69" s="7"/>
      <c r="M69" s="7"/>
      <c r="N69" s="7"/>
      <c r="O69" s="52"/>
      <c r="P69" s="4"/>
    </row>
    <row r="70" spans="1:16" ht="15" customHeight="1">
      <c r="A70" s="9">
        <v>69</v>
      </c>
      <c r="B70" s="161" t="s">
        <v>253</v>
      </c>
      <c r="C70" s="262" t="s">
        <v>254</v>
      </c>
      <c r="D70" s="161" t="s">
        <v>222</v>
      </c>
      <c r="E70" s="128" t="s">
        <v>108</v>
      </c>
      <c r="F70" s="160" t="s">
        <v>77</v>
      </c>
      <c r="G70" s="128"/>
      <c r="H70" s="13"/>
      <c r="I70" s="7" t="s">
        <v>211</v>
      </c>
      <c r="J70" s="7"/>
      <c r="K70" s="7"/>
      <c r="L70" s="7"/>
      <c r="M70" s="7"/>
      <c r="N70" s="7"/>
      <c r="O70" s="52"/>
      <c r="P70" s="4"/>
    </row>
    <row r="71" spans="1:16" ht="15" customHeight="1">
      <c r="A71" s="9">
        <v>70</v>
      </c>
      <c r="B71" s="161" t="s">
        <v>255</v>
      </c>
      <c r="C71" s="262" t="s">
        <v>256</v>
      </c>
      <c r="D71" s="161" t="s">
        <v>222</v>
      </c>
      <c r="E71" s="128" t="s">
        <v>108</v>
      </c>
      <c r="F71" s="160" t="s">
        <v>77</v>
      </c>
      <c r="G71" s="128"/>
      <c r="H71" s="13"/>
      <c r="I71" s="7" t="s">
        <v>211</v>
      </c>
      <c r="J71" s="7"/>
      <c r="K71" s="7"/>
      <c r="L71" s="7"/>
      <c r="M71" s="7"/>
      <c r="N71" s="7"/>
      <c r="O71" s="52"/>
      <c r="P71" s="4"/>
    </row>
    <row r="72" spans="1:16" ht="15" customHeight="1">
      <c r="A72" s="9">
        <v>71</v>
      </c>
      <c r="B72" s="161" t="s">
        <v>257</v>
      </c>
      <c r="C72" s="262" t="s">
        <v>258</v>
      </c>
      <c r="D72" s="161" t="s">
        <v>222</v>
      </c>
      <c r="E72" s="128" t="s">
        <v>53</v>
      </c>
      <c r="F72" s="160" t="s">
        <v>77</v>
      </c>
      <c r="G72" s="128"/>
      <c r="H72" s="13"/>
      <c r="I72" s="7" t="s">
        <v>211</v>
      </c>
      <c r="J72" s="7"/>
      <c r="K72" s="7"/>
      <c r="L72" s="7"/>
      <c r="M72" s="7"/>
      <c r="N72" s="7"/>
      <c r="O72" s="52"/>
      <c r="P72" s="4"/>
    </row>
    <row r="73" spans="1:16" ht="15" customHeight="1">
      <c r="A73" s="9">
        <v>72</v>
      </c>
      <c r="B73" s="161" t="s">
        <v>259</v>
      </c>
      <c r="C73" s="262" t="s">
        <v>260</v>
      </c>
      <c r="D73" s="161" t="s">
        <v>222</v>
      </c>
      <c r="E73" s="128" t="s">
        <v>53</v>
      </c>
      <c r="F73" s="160" t="s">
        <v>77</v>
      </c>
      <c r="G73" s="128"/>
      <c r="H73" s="13"/>
      <c r="I73" s="7" t="s">
        <v>211</v>
      </c>
      <c r="J73" s="7"/>
      <c r="K73" s="7"/>
      <c r="L73" s="7"/>
      <c r="M73" s="7"/>
      <c r="N73" s="7"/>
      <c r="O73" s="52"/>
      <c r="P73" s="4"/>
    </row>
    <row r="74" spans="1:16" ht="15" customHeight="1">
      <c r="A74" s="9">
        <v>73</v>
      </c>
      <c r="B74" s="161" t="s">
        <v>261</v>
      </c>
      <c r="C74" s="262" t="s">
        <v>262</v>
      </c>
      <c r="D74" s="161" t="s">
        <v>222</v>
      </c>
      <c r="E74" s="128" t="s">
        <v>108</v>
      </c>
      <c r="F74" s="160" t="s">
        <v>77</v>
      </c>
      <c r="G74" s="128"/>
      <c r="H74" s="13"/>
      <c r="I74" s="7" t="s">
        <v>211</v>
      </c>
      <c r="J74" s="7"/>
      <c r="K74" s="7"/>
      <c r="L74" s="7"/>
      <c r="M74" s="7"/>
      <c r="N74" s="7"/>
      <c r="O74" s="52"/>
      <c r="P74" s="4"/>
    </row>
    <row r="75" spans="1:16" ht="15" customHeight="1">
      <c r="A75" s="9">
        <v>74</v>
      </c>
      <c r="B75" s="161" t="s">
        <v>263</v>
      </c>
      <c r="C75" s="262" t="s">
        <v>264</v>
      </c>
      <c r="D75" s="161" t="s">
        <v>222</v>
      </c>
      <c r="E75" s="128" t="s">
        <v>108</v>
      </c>
      <c r="F75" s="160" t="s">
        <v>77</v>
      </c>
      <c r="G75" s="128"/>
      <c r="H75" s="13"/>
      <c r="I75" s="7" t="s">
        <v>211</v>
      </c>
      <c r="J75" s="7"/>
      <c r="K75" s="7"/>
      <c r="L75" s="7"/>
      <c r="M75" s="7"/>
      <c r="N75" s="7"/>
      <c r="O75" s="52"/>
      <c r="P75" s="4"/>
    </row>
    <row r="76" spans="1:16" ht="15" customHeight="1">
      <c r="A76" s="9">
        <v>75</v>
      </c>
      <c r="B76" s="161" t="s">
        <v>265</v>
      </c>
      <c r="C76" s="262" t="s">
        <v>266</v>
      </c>
      <c r="D76" s="161" t="s">
        <v>222</v>
      </c>
      <c r="E76" s="128" t="s">
        <v>53</v>
      </c>
      <c r="F76" s="160" t="s">
        <v>77</v>
      </c>
      <c r="G76" s="128"/>
      <c r="H76" s="13"/>
      <c r="I76" s="7" t="s">
        <v>211</v>
      </c>
      <c r="J76" s="7"/>
      <c r="K76" s="7"/>
      <c r="L76" s="7"/>
      <c r="M76" s="7"/>
      <c r="N76" s="7"/>
      <c r="O76" s="52"/>
      <c r="P76" s="4"/>
    </row>
    <row r="77" spans="1:16" ht="15" customHeight="1">
      <c r="A77" s="9">
        <v>76</v>
      </c>
      <c r="B77" s="161" t="s">
        <v>267</v>
      </c>
      <c r="C77" s="262" t="s">
        <v>268</v>
      </c>
      <c r="D77" s="161" t="s">
        <v>222</v>
      </c>
      <c r="E77" s="128" t="s">
        <v>108</v>
      </c>
      <c r="F77" s="160" t="s">
        <v>77</v>
      </c>
      <c r="G77" s="128"/>
      <c r="H77" s="13"/>
      <c r="I77" s="7" t="s">
        <v>211</v>
      </c>
      <c r="J77" s="7"/>
      <c r="K77" s="7"/>
      <c r="L77" s="7"/>
      <c r="M77" s="7"/>
      <c r="N77" s="7"/>
      <c r="O77" s="52"/>
      <c r="P77" s="4"/>
    </row>
    <row r="78" spans="1:16" ht="15" customHeight="1">
      <c r="A78" s="9">
        <v>77</v>
      </c>
      <c r="B78" s="161" t="s">
        <v>269</v>
      </c>
      <c r="C78" s="262" t="s">
        <v>270</v>
      </c>
      <c r="D78" s="161" t="s">
        <v>222</v>
      </c>
      <c r="E78" s="128" t="s">
        <v>108</v>
      </c>
      <c r="F78" s="160" t="s">
        <v>77</v>
      </c>
      <c r="G78" s="128"/>
      <c r="H78" s="13"/>
      <c r="I78" s="7" t="s">
        <v>211</v>
      </c>
      <c r="J78" s="7"/>
      <c r="K78" s="7"/>
      <c r="L78" s="7"/>
      <c r="M78" s="7"/>
      <c r="N78" s="7"/>
      <c r="O78" s="52"/>
      <c r="P78" s="4"/>
    </row>
    <row r="79" spans="1:16" ht="15" customHeight="1">
      <c r="C79" s="78"/>
      <c r="E79" s="15"/>
      <c r="F79" s="15"/>
      <c r="G79" s="15"/>
    </row>
    <row r="80" spans="1:16" ht="15" customHeight="1">
      <c r="E80" s="15"/>
      <c r="F80" s="15"/>
      <c r="G80" s="15"/>
    </row>
    <row r="81" spans="2:7" ht="15" customHeight="1">
      <c r="E81" s="15"/>
      <c r="F81" s="15"/>
      <c r="G81" s="15"/>
    </row>
    <row r="82" spans="2:7" ht="15" customHeight="1">
      <c r="B82" s="234"/>
      <c r="C82" s="234"/>
      <c r="D82" s="234"/>
      <c r="E82" s="234"/>
      <c r="F82" s="234"/>
      <c r="G82" s="234"/>
    </row>
    <row r="83" spans="2:7" ht="15" customHeight="1">
      <c r="B83"/>
      <c r="C83" s="261"/>
      <c r="D83"/>
      <c r="E83" s="263"/>
      <c r="F83" s="263"/>
      <c r="G83" s="263"/>
    </row>
    <row r="84" spans="2:7" ht="15" customHeight="1">
      <c r="B84"/>
      <c r="C84" s="261"/>
      <c r="D84"/>
      <c r="E84" s="263"/>
      <c r="F84" s="263"/>
      <c r="G84" s="263"/>
    </row>
    <row r="85" spans="2:7" ht="15" customHeight="1">
      <c r="B85"/>
      <c r="C85" s="261"/>
      <c r="D85"/>
      <c r="E85" s="263"/>
      <c r="F85" s="263"/>
      <c r="G85" s="263"/>
    </row>
    <row r="86" spans="2:7" ht="15" customHeight="1">
      <c r="B86"/>
      <c r="C86" s="261"/>
      <c r="D86"/>
      <c r="E86" s="263"/>
      <c r="F86" s="263"/>
      <c r="G86" s="263"/>
    </row>
    <row r="87" spans="2:7" ht="15" customHeight="1">
      <c r="B87"/>
      <c r="C87" s="261"/>
      <c r="D87"/>
      <c r="E87" s="263"/>
      <c r="F87" s="263"/>
      <c r="G87" s="263"/>
    </row>
    <row r="88" spans="2:7" ht="15" customHeight="1">
      <c r="B88"/>
      <c r="C88" s="261"/>
      <c r="D88"/>
      <c r="E88"/>
      <c r="F88"/>
      <c r="G88"/>
    </row>
    <row r="89" spans="2:7" ht="15" customHeight="1">
      <c r="B89"/>
      <c r="C89" s="261"/>
      <c r="D89"/>
      <c r="E89"/>
      <c r="F89"/>
      <c r="G89"/>
    </row>
    <row r="90" spans="2:7" ht="15" customHeight="1">
      <c r="B90"/>
      <c r="C90" s="261"/>
      <c r="D90"/>
      <c r="E90"/>
      <c r="F90"/>
      <c r="G90"/>
    </row>
    <row r="91" spans="2:7" ht="15" customHeight="1">
      <c r="B91"/>
      <c r="C91" s="261"/>
      <c r="D91"/>
      <c r="E91"/>
      <c r="F91"/>
      <c r="G91"/>
    </row>
    <row r="92" spans="2:7" ht="15" customHeight="1">
      <c r="B92"/>
      <c r="C92" s="261"/>
      <c r="D92"/>
      <c r="E92"/>
      <c r="F92"/>
      <c r="G92"/>
    </row>
    <row r="93" spans="2:7" ht="15" customHeight="1">
      <c r="B93"/>
      <c r="C93" s="261"/>
      <c r="D93"/>
      <c r="E93"/>
      <c r="F93"/>
      <c r="G93"/>
    </row>
    <row r="94" spans="2:7" ht="15" customHeight="1">
      <c r="B94"/>
      <c r="C94" s="261"/>
      <c r="D94"/>
      <c r="E94"/>
      <c r="F94"/>
      <c r="G94"/>
    </row>
    <row r="95" spans="2:7" ht="15" customHeight="1">
      <c r="B95"/>
      <c r="C95" s="261"/>
      <c r="D95"/>
      <c r="E95"/>
      <c r="F95"/>
      <c r="G95"/>
    </row>
    <row r="96" spans="2:7" ht="15" customHeight="1">
      <c r="B96"/>
      <c r="C96" s="261"/>
      <c r="D96"/>
      <c r="E96"/>
      <c r="F96"/>
      <c r="G96"/>
    </row>
    <row r="97" spans="2:7" ht="15" customHeight="1">
      <c r="B97"/>
      <c r="C97" s="261"/>
      <c r="D97"/>
      <c r="E97"/>
      <c r="F97"/>
      <c r="G97"/>
    </row>
    <row r="98" spans="2:7" ht="15" customHeight="1">
      <c r="B98"/>
      <c r="C98" s="261"/>
      <c r="D98"/>
      <c r="E98"/>
      <c r="F98"/>
      <c r="G98"/>
    </row>
    <row r="99" spans="2:7" ht="15" customHeight="1">
      <c r="B99"/>
      <c r="C99" s="261"/>
      <c r="D99"/>
      <c r="E99"/>
      <c r="F99"/>
      <c r="G99"/>
    </row>
    <row r="100" spans="2:7" ht="15" customHeight="1">
      <c r="B100"/>
      <c r="C100" s="261"/>
      <c r="D100"/>
      <c r="E100"/>
      <c r="F100"/>
      <c r="G100"/>
    </row>
    <row r="101" spans="2:7" ht="15" customHeight="1">
      <c r="B101"/>
      <c r="C101" s="261"/>
      <c r="D101"/>
      <c r="E101"/>
      <c r="F101"/>
      <c r="G101"/>
    </row>
    <row r="102" spans="2:7" ht="15" customHeight="1">
      <c r="B102"/>
      <c r="C102" s="261"/>
      <c r="D102"/>
      <c r="E102"/>
      <c r="F102"/>
      <c r="G102"/>
    </row>
    <row r="103" spans="2:7" ht="15" customHeight="1">
      <c r="B103"/>
      <c r="C103" s="261"/>
      <c r="D103"/>
      <c r="E103"/>
      <c r="F103"/>
      <c r="G103"/>
    </row>
    <row r="104" spans="2:7" ht="15" customHeight="1">
      <c r="B104"/>
      <c r="C104" s="261"/>
      <c r="D104"/>
      <c r="E104"/>
      <c r="F104"/>
      <c r="G104"/>
    </row>
    <row r="105" spans="2:7" ht="15" customHeight="1">
      <c r="B105"/>
      <c r="C105" s="261"/>
      <c r="D105"/>
      <c r="E105"/>
      <c r="F105"/>
      <c r="G105"/>
    </row>
    <row r="106" spans="2:7" ht="15" customHeight="1">
      <c r="B106"/>
      <c r="C106" s="261"/>
      <c r="D106"/>
      <c r="E106"/>
      <c r="F106"/>
      <c r="G106"/>
    </row>
    <row r="107" spans="2:7" ht="15" customHeight="1">
      <c r="B107"/>
      <c r="C107" s="261"/>
      <c r="D107"/>
      <c r="E107"/>
      <c r="F107"/>
      <c r="G107"/>
    </row>
    <row r="108" spans="2:7" ht="15" customHeight="1">
      <c r="B108"/>
      <c r="C108" s="261"/>
      <c r="D108"/>
      <c r="E108"/>
      <c r="F108"/>
      <c r="G108"/>
    </row>
    <row r="109" spans="2:7" ht="15" customHeight="1">
      <c r="B109"/>
      <c r="C109" s="261"/>
      <c r="D109"/>
      <c r="E109"/>
      <c r="F109"/>
      <c r="G109"/>
    </row>
    <row r="110" spans="2:7" ht="15" customHeight="1">
      <c r="B110"/>
      <c r="C110" s="261"/>
      <c r="D110"/>
      <c r="E110"/>
      <c r="F110"/>
      <c r="G110"/>
    </row>
    <row r="111" spans="2:7" ht="15" customHeight="1">
      <c r="B111"/>
      <c r="C111" s="261"/>
      <c r="D111"/>
      <c r="E111"/>
      <c r="F111"/>
      <c r="G111"/>
    </row>
    <row r="112" spans="2:7" ht="15" customHeight="1">
      <c r="B112"/>
      <c r="C112" s="261"/>
      <c r="D112"/>
      <c r="E112"/>
      <c r="F112"/>
      <c r="G112"/>
    </row>
  </sheetData>
  <autoFilter ref="A1:P78" xr:uid="{5631FDBD-809B-4B51-BC73-41D6A2B8FFFE}"/>
  <hyperlinks>
    <hyperlink ref="P4" r:id="rId1" location="featured" display="https://sbi-sit1.sbicard.com/html/en/personal/credit-cards.html#featured" xr:uid="{C826968C-8358-4034-932D-B5096206449F}"/>
    <hyperlink ref="C2" r:id="rId2" xr:uid="{67193B9B-373D-47BC-82A6-A08B29E2A7AD}"/>
    <hyperlink ref="H35" r:id="rId3" xr:uid="{B5AEE961-18E8-4171-B900-67B76CBF0604}"/>
    <hyperlink ref="H3" r:id="rId4" xr:uid="{D9396776-F1B2-43B3-BDD7-DCB32C5053B2}"/>
    <hyperlink ref="H6" r:id="rId5" xr:uid="{50E23145-19E3-4AED-ABBF-AE1B5403AC2A}"/>
    <hyperlink ref="H40" r:id="rId6" xr:uid="{1B3D9B56-7285-469E-ABDF-B15E9E09BFE4}"/>
    <hyperlink ref="H8" r:id="rId7" xr:uid="{69756EB2-F02C-4E59-9B07-13208A5C672C}"/>
    <hyperlink ref="H9" r:id="rId8" xr:uid="{E15104EC-E77B-4B59-87E2-0DC5726464D6}"/>
    <hyperlink ref="H13" r:id="rId9" xr:uid="{C95F8D51-6F88-4771-BCBD-346B7249E43F}"/>
    <hyperlink ref="H2" r:id="rId10" xr:uid="{2534C4FD-0BE6-45BF-9DD3-1490AA2AA072}"/>
    <hyperlink ref="H4" r:id="rId11" xr:uid="{8337244C-5A07-4F0D-9661-645D1E2C26C9}"/>
    <hyperlink ref="H23" r:id="rId12" xr:uid="{4800DCEF-309E-43C0-B702-FBB42D0DB4C8}"/>
    <hyperlink ref="H11" r:id="rId13" xr:uid="{865776FA-325A-408B-8EFE-B8539EAAFFD0}"/>
    <hyperlink ref="H18" r:id="rId14" xr:uid="{98B8287B-5E01-48AC-A488-D5FB9AA9B891}"/>
    <hyperlink ref="H21" r:id="rId15" xr:uid="{3FCB4C5B-A2F7-4C81-BF9F-089F7915E53F}"/>
    <hyperlink ref="H22" r:id="rId16" xr:uid="{80875CB0-1A64-43A9-A0BD-F091A5E79622}"/>
    <hyperlink ref="H24" r:id="rId17" xr:uid="{6EB235B4-6446-49DB-B7A8-05B56C019C48}"/>
    <hyperlink ref="H17" r:id="rId18" xr:uid="{761A5A37-8F9D-420C-91F8-2086E05607E9}"/>
    <hyperlink ref="H20" r:id="rId19" xr:uid="{CF24D2BE-0DD0-4D31-8C56-A99C926DC150}"/>
    <hyperlink ref="H16" r:id="rId20" xr:uid="{64296E99-7542-4935-8A29-5E8A99BE1CA7}"/>
    <hyperlink ref="H19" r:id="rId21" xr:uid="{3B331963-CB98-4CD2-AF7C-43F0CF5071F4}"/>
    <hyperlink ref="H12" r:id="rId22" xr:uid="{26C3B9DB-6006-4590-9499-43DAB0EBBF8B}"/>
    <hyperlink ref="H36" r:id="rId23" xr:uid="{D757F485-739F-407A-A2C2-9B564EB94FF5}"/>
    <hyperlink ref="H34" r:id="rId24" xr:uid="{F9B48235-D4CE-453A-A1D2-5D7271988728}"/>
    <hyperlink ref="H26" r:id="rId25" xr:uid="{A887A6C2-A31F-4312-8173-B497D536FF00}"/>
    <hyperlink ref="H25" r:id="rId26" xr:uid="{AFCA01BE-4A2F-46A2-8816-ACEECD687B8B}"/>
    <hyperlink ref="H29" r:id="rId27" xr:uid="{47B22236-C36E-4337-9BBD-751BC1F4BEB8}"/>
    <hyperlink ref="H28" r:id="rId28" xr:uid="{98B6F918-1D96-40E8-AF45-3EEEDD919BE4}"/>
    <hyperlink ref="H14" r:id="rId29" xr:uid="{A628750D-631F-4134-B038-7E589057D15D}"/>
    <hyperlink ref="H15" r:id="rId30" xr:uid="{206A1B7E-7559-450F-BBAF-2AB2B6D3CB3D}"/>
    <hyperlink ref="H27" r:id="rId31" xr:uid="{91B6E8C2-9342-4C07-A1A0-A2E807738334}"/>
    <hyperlink ref="H39" r:id="rId32" xr:uid="{FC51704F-EEA0-42E4-AE95-9BEECB9CB94B}"/>
    <hyperlink ref="H32" r:id="rId33" xr:uid="{5CA122C7-7D6E-4694-9A20-01E8C25D1664}"/>
    <hyperlink ref="H31" r:id="rId34" xr:uid="{5A7D381A-8E0E-47B0-B089-2B77786EE100}"/>
    <hyperlink ref="H38" r:id="rId35" xr:uid="{327B1D91-7293-42ED-94B8-35D938BF49CB}"/>
    <hyperlink ref="H37" r:id="rId36" xr:uid="{5C4F7E01-B834-49AE-A557-AA4BC8775C8C}"/>
    <hyperlink ref="H7" r:id="rId37" xr:uid="{97F5401B-363C-4898-8CB1-724239E9D87B}"/>
    <hyperlink ref="H33" r:id="rId38" xr:uid="{C1076394-8DE9-404D-A256-7EDB18F43093}"/>
    <hyperlink ref="H42" r:id="rId39" xr:uid="{50E04595-B321-498F-B03D-C47D49A081FE}"/>
    <hyperlink ref="H30" r:id="rId40" xr:uid="{C0F13AAF-2044-4D7F-A4B4-1E32D5B83BD2}"/>
    <hyperlink ref="H5" r:id="rId41" xr:uid="{9908BE9B-93F4-4176-8C34-44C54B3E11B4}"/>
    <hyperlink ref="H43" r:id="rId42" xr:uid="{30EF0E19-4576-4F83-AF46-AE24A7E2E9DC}"/>
    <hyperlink ref="H10" r:id="rId43" xr:uid="{F9C4AA43-CA4E-48F6-8BBE-AADC0C6673C6}"/>
    <hyperlink ref="H41" r:id="rId44" xr:uid="{4A5660F7-8E72-41CF-ACB1-B7BE84E9E741}"/>
    <hyperlink ref="C4" r:id="rId45" xr:uid="{4EAC0F77-55D6-4218-A81A-B09FCE9781C8}"/>
    <hyperlink ref="C5" r:id="rId46" xr:uid="{256FAD70-06FE-4FF8-96A5-99517C508CDD}"/>
    <hyperlink ref="C25" r:id="rId47" xr:uid="{78209228-4B78-4DEA-B850-D2636E2C832A}"/>
    <hyperlink ref="C37" r:id="rId48" xr:uid="{00358CAD-7977-4AEA-AEA2-8EC55FD4D249}"/>
    <hyperlink ref="C6" r:id="rId49" xr:uid="{BE5FCA9D-6020-459B-B6B4-CD7F050D5F62}"/>
    <hyperlink ref="C7" r:id="rId50" xr:uid="{9EF1C81D-5E2C-4298-BAEB-B5EFF8DEA0B0}"/>
    <hyperlink ref="C8" r:id="rId51" xr:uid="{D6ED2F63-6356-45D0-88C2-D01CC714A059}"/>
    <hyperlink ref="C9" r:id="rId52" xr:uid="{E81338CE-B9A0-4E3A-AC57-7A5BA454DB15}"/>
    <hyperlink ref="C10" r:id="rId53" xr:uid="{4B8E6E63-038A-40E6-A625-E18EA080FD2F}"/>
    <hyperlink ref="C11" r:id="rId54" xr:uid="{38E45386-E13A-48BA-8242-8556411FE56A}"/>
    <hyperlink ref="C12" r:id="rId55" xr:uid="{3E5C3CF7-BF5F-4207-847F-65356D6D2B49}"/>
    <hyperlink ref="C13" r:id="rId56" xr:uid="{56FB4857-E185-4BE2-8671-A51B73AE72F4}"/>
    <hyperlink ref="C14" r:id="rId57" xr:uid="{A9477F72-D551-4917-B65F-9648F72CF048}"/>
    <hyperlink ref="C15" r:id="rId58" xr:uid="{50945CFE-1CA0-4573-AC81-A656139CDA2B}"/>
    <hyperlink ref="C16" r:id="rId59" xr:uid="{2A88EAFA-F32A-4117-AA26-115D784B619D}"/>
    <hyperlink ref="C17" r:id="rId60" xr:uid="{A36FE416-EEB6-46E1-AE0D-7FBC54F07597}"/>
    <hyperlink ref="C18" r:id="rId61" xr:uid="{609C55B8-5477-42EA-B01F-26BEFDB4AB00}"/>
    <hyperlink ref="C19" r:id="rId62" xr:uid="{F82C3E43-4CFE-4ECE-A4FE-1382A7FF0DB8}"/>
    <hyperlink ref="C20" r:id="rId63" xr:uid="{64967F34-2DC2-4C55-B7C0-8F34CBF1E5DD}"/>
    <hyperlink ref="C21" r:id="rId64" xr:uid="{9EA65E8F-A879-4940-9B60-21F6656444F0}"/>
    <hyperlink ref="C22" r:id="rId65" xr:uid="{C4B721CC-356C-4411-A87E-95E8E8B71CBF}"/>
    <hyperlink ref="C23" r:id="rId66" xr:uid="{CFEC7E2A-66FD-4BF3-9AB1-85300A9383CC}"/>
    <hyperlink ref="C24" r:id="rId67" xr:uid="{8E1B9857-328B-4178-8A8A-B888666EA6C9}"/>
    <hyperlink ref="C26" r:id="rId68" xr:uid="{BFA84D00-9B3F-4F3E-9589-5275441CCDE2}"/>
    <hyperlink ref="C27" r:id="rId69" xr:uid="{9C589E27-D7D9-4C56-AB5C-8DFFF80CE7EF}"/>
    <hyperlink ref="C28" r:id="rId70" xr:uid="{636B1EA1-F9CD-4956-8200-9F157DF6943F}"/>
    <hyperlink ref="C29" r:id="rId71" xr:uid="{60840AD5-72C8-4AF7-A796-B720FA650352}"/>
    <hyperlink ref="C30" r:id="rId72" xr:uid="{C1FAD1D3-9C5E-4AA8-BF82-34B460D26BC6}"/>
    <hyperlink ref="C31" r:id="rId73" xr:uid="{CF1DDAF4-0A44-41A7-9ACB-F045AEADD5AA}"/>
    <hyperlink ref="C32" r:id="rId74" xr:uid="{AE6FACD0-19D0-4CD3-9567-DBBE732B8A08}"/>
    <hyperlink ref="C33" r:id="rId75" xr:uid="{0C517FC9-D10D-4667-9EB5-39241FE4F99F}"/>
    <hyperlink ref="C34" r:id="rId76" xr:uid="{576F0094-7BA5-44A4-8F16-9BAB1BFBD758}"/>
    <hyperlink ref="C35" r:id="rId77" xr:uid="{797D751A-AFFF-4767-A71D-84F0C12297D9}"/>
    <hyperlink ref="C36" r:id="rId78" xr:uid="{B878D12E-0734-4992-AAD9-9D9D3E4499FB}"/>
    <hyperlink ref="C38" r:id="rId79" xr:uid="{C6270613-F07A-4296-9341-2DE2A626A854}"/>
    <hyperlink ref="C39" r:id="rId80" xr:uid="{3D798545-A5E1-4B48-97F2-76C8D311036B}"/>
    <hyperlink ref="C40" r:id="rId81" xr:uid="{EB9E5E06-9C8C-4D54-9A2D-A6AEBF1C2D55}"/>
    <hyperlink ref="C41" r:id="rId82" xr:uid="{92B872F4-B381-44E1-9A28-A0FD7C7F07D1}"/>
    <hyperlink ref="C42" r:id="rId83" xr:uid="{9CBDFCE0-237C-4882-A0FC-690127D8F4C9}"/>
    <hyperlink ref="C43" r:id="rId84" xr:uid="{22594615-D47C-4400-B93F-DC241FA2A4D1}"/>
    <hyperlink ref="C44" r:id="rId85" xr:uid="{4660F349-F4D9-4DC5-85E5-55969DA53058}"/>
    <hyperlink ref="C45" r:id="rId86" xr:uid="{8B114928-DC8A-4BE9-AC7E-2DA1BC1C7A2C}"/>
    <hyperlink ref="C46" r:id="rId87" xr:uid="{74020BF0-7A71-4B28-934D-3A5E045CD539}"/>
    <hyperlink ref="C47" r:id="rId88" xr:uid="{A29517C5-7634-43A6-AA1E-3472BD053E7F}"/>
    <hyperlink ref="C48" r:id="rId89" xr:uid="{4FE00473-BC99-4CA8-87D3-74C1E858ACC2}"/>
    <hyperlink ref="C49" r:id="rId90" xr:uid="{202288F7-3C6F-4EFC-A7D8-80E65165AE36}"/>
    <hyperlink ref="C50" r:id="rId91" xr:uid="{C5E764C8-3D14-49B5-B3FB-06EAE40CB626}"/>
    <hyperlink ref="C51" r:id="rId92" xr:uid="{236DB9C7-8F46-4490-A958-7431D67B757D}"/>
    <hyperlink ref="C52" r:id="rId93" xr:uid="{474C0032-27A4-4AC4-822D-CFF2134CD74F}"/>
    <hyperlink ref="C53" r:id="rId94" xr:uid="{AB8B3BA7-335F-4740-95E3-3B3852891A7A}"/>
    <hyperlink ref="C54" r:id="rId95" xr:uid="{3A3D83AE-E23B-4392-BCAF-B60EF465FAA3}"/>
    <hyperlink ref="C55" r:id="rId96" xr:uid="{D9271D88-4001-4F85-906B-620667064D9E}"/>
    <hyperlink ref="C56" r:id="rId97" xr:uid="{E89C6ECF-53EC-44DF-877F-2532B5036E20}"/>
    <hyperlink ref="C57" r:id="rId98" xr:uid="{DDE15BD8-09BF-4D27-ABB7-F2ED583C9B06}"/>
    <hyperlink ref="C58" r:id="rId99" xr:uid="{577D7250-46A1-47FA-BAD5-793B3D87EF98}"/>
    <hyperlink ref="C59" r:id="rId100" xr:uid="{63541658-5223-412E-A46C-A004376D4069}"/>
    <hyperlink ref="C60" r:id="rId101" xr:uid="{A15C7213-CB83-48EC-9A89-EC36D9013594}"/>
    <hyperlink ref="C61" r:id="rId102" xr:uid="{DE369658-4DA8-4AD6-A936-7C4D90365BDC}"/>
    <hyperlink ref="C62" r:id="rId103" xr:uid="{758B9BE4-B612-4BB4-B4CB-3642327F4637}"/>
    <hyperlink ref="C63" r:id="rId104" xr:uid="{C8DA9E3C-D2E2-440F-B844-747C6EFEE0D3}"/>
    <hyperlink ref="C64" r:id="rId105" xr:uid="{87332B78-B5FB-430F-A10B-37B5C20023C0}"/>
    <hyperlink ref="C65" r:id="rId106" xr:uid="{83ACA68F-C0C4-4019-ABD0-FE02532DF117}"/>
    <hyperlink ref="C66" r:id="rId107" xr:uid="{3DC07D96-6194-470F-8A07-DE7131459F4C}"/>
    <hyperlink ref="C67" r:id="rId108" xr:uid="{23942F63-F735-45E7-985A-CAD997B243F7}"/>
    <hyperlink ref="C68" r:id="rId109" xr:uid="{1AC02307-5370-4EFC-8CBB-5973F4EBC157}"/>
    <hyperlink ref="C69" r:id="rId110" xr:uid="{D01C4708-C12D-450C-8BBE-AB9362A70AD6}"/>
    <hyperlink ref="C70" r:id="rId111" xr:uid="{1EB00357-FC22-4E7C-BF7A-24092FDDB7B7}"/>
    <hyperlink ref="C71" r:id="rId112" xr:uid="{F691FE2C-6AE9-41EF-A6A6-0FAD6F154674}"/>
    <hyperlink ref="C72" r:id="rId113" xr:uid="{DAACB5AC-03D3-465A-A10F-80490B7EF527}"/>
    <hyperlink ref="C73" r:id="rId114" xr:uid="{07373811-E275-4841-8C1E-E27D9D8B5D9F}"/>
    <hyperlink ref="C74" r:id="rId115" xr:uid="{A6D389BB-D048-4C18-9E4B-3C75B5EB1DCF}"/>
    <hyperlink ref="C75" r:id="rId116" xr:uid="{091A5959-9704-45CD-A04F-1E688E475FD3}"/>
    <hyperlink ref="C76" r:id="rId117" xr:uid="{390734F5-751B-4BEF-9B99-6DF8305E85F3}"/>
    <hyperlink ref="C77" r:id="rId118" xr:uid="{C9B29574-E093-43E2-968E-F060FD62D084}"/>
    <hyperlink ref="C78" r:id="rId119" xr:uid="{697F68BB-E258-4BF1-8CB2-77E63BC3BC4B}"/>
  </hyperlinks>
  <pageMargins left="0.7" right="0.7" top="0.75" bottom="0.75" header="0.3" footer="0.3"/>
  <headerFooter>
    <oddFooter>&amp;C_x000D_&amp;1#&amp;"Aptos"&amp;12&amp;K000000 SBI Card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BC0C4-7E0E-4675-B0E0-1D1810C0AB34}">
  <dimension ref="A1:H183"/>
  <sheetViews>
    <sheetView workbookViewId="0">
      <selection activeCell="D3" activeCellId="1" sqref="D2 D3"/>
    </sheetView>
  </sheetViews>
  <sheetFormatPr defaultRowHeight="15"/>
  <cols>
    <col min="1" max="1" width="9.140625" style="129"/>
    <col min="2" max="2" width="16" style="129" customWidth="1"/>
    <col min="3" max="3" width="36.85546875" customWidth="1"/>
    <col min="4" max="4" width="88.42578125" style="163" customWidth="1"/>
    <col min="5" max="5" width="22.42578125" style="129" customWidth="1"/>
    <col min="6" max="6" width="22.7109375" customWidth="1"/>
    <col min="7" max="7" width="15.7109375" customWidth="1"/>
    <col min="8" max="8" width="52.85546875" customWidth="1"/>
  </cols>
  <sheetData>
    <row r="1" spans="1:8">
      <c r="A1" s="10" t="s">
        <v>22</v>
      </c>
      <c r="B1" s="25" t="s">
        <v>271</v>
      </c>
      <c r="C1" s="25" t="s">
        <v>1</v>
      </c>
      <c r="D1" s="314" t="s">
        <v>272</v>
      </c>
      <c r="E1" s="333" t="s">
        <v>273</v>
      </c>
      <c r="F1" s="314" t="s">
        <v>274</v>
      </c>
      <c r="G1" s="314" t="s">
        <v>275</v>
      </c>
      <c r="H1" s="314" t="s">
        <v>276</v>
      </c>
    </row>
    <row r="2" spans="1:8">
      <c r="A2" s="128">
        <v>1</v>
      </c>
      <c r="B2" s="332">
        <v>46145</v>
      </c>
      <c r="C2" s="311"/>
      <c r="D2" s="312" t="s">
        <v>277</v>
      </c>
      <c r="E2" s="166" t="s">
        <v>278</v>
      </c>
      <c r="F2" s="98"/>
      <c r="G2" s="98"/>
      <c r="H2" s="98"/>
    </row>
    <row r="3" spans="1:8">
      <c r="A3" s="128">
        <v>2</v>
      </c>
      <c r="B3" s="332">
        <v>46145</v>
      </c>
      <c r="C3" s="311"/>
      <c r="D3" s="312" t="s">
        <v>279</v>
      </c>
      <c r="E3" s="166" t="s">
        <v>278</v>
      </c>
      <c r="F3" s="98"/>
      <c r="G3" s="98"/>
      <c r="H3" s="98"/>
    </row>
    <row r="4" spans="1:8">
      <c r="A4" s="128">
        <v>3</v>
      </c>
      <c r="B4" s="332">
        <v>46145</v>
      </c>
      <c r="C4" s="311"/>
      <c r="D4" s="312" t="s">
        <v>280</v>
      </c>
      <c r="E4" s="166" t="s">
        <v>278</v>
      </c>
      <c r="F4" s="98"/>
      <c r="G4" s="98"/>
      <c r="H4" s="98"/>
    </row>
    <row r="5" spans="1:8">
      <c r="A5" s="128">
        <v>4</v>
      </c>
      <c r="B5" s="332">
        <v>46145</v>
      </c>
      <c r="C5" s="311"/>
      <c r="D5" s="312" t="s">
        <v>281</v>
      </c>
      <c r="E5" s="166" t="s">
        <v>278</v>
      </c>
      <c r="F5" s="98"/>
      <c r="G5" s="98"/>
      <c r="H5" s="98"/>
    </row>
    <row r="6" spans="1:8">
      <c r="A6" s="128">
        <v>5</v>
      </c>
      <c r="B6" s="332">
        <v>46145</v>
      </c>
      <c r="C6" s="311"/>
      <c r="D6" s="312" t="s">
        <v>282</v>
      </c>
      <c r="E6" s="166" t="s">
        <v>278</v>
      </c>
      <c r="F6" s="98"/>
      <c r="G6" s="98"/>
      <c r="H6" s="98"/>
    </row>
    <row r="7" spans="1:8">
      <c r="A7" s="128">
        <v>6</v>
      </c>
      <c r="B7" s="332">
        <v>46145</v>
      </c>
      <c r="C7" s="311"/>
      <c r="D7" s="312" t="s">
        <v>283</v>
      </c>
      <c r="E7" s="166" t="s">
        <v>284</v>
      </c>
      <c r="F7" s="98"/>
      <c r="G7" s="98"/>
      <c r="H7" s="98"/>
    </row>
    <row r="8" spans="1:8">
      <c r="A8" s="128">
        <v>7</v>
      </c>
      <c r="B8" s="332">
        <v>46145</v>
      </c>
      <c r="C8" s="311"/>
      <c r="D8" s="312" t="s">
        <v>285</v>
      </c>
      <c r="E8" s="166" t="s">
        <v>284</v>
      </c>
      <c r="F8" s="98"/>
      <c r="G8" s="98"/>
      <c r="H8" s="98"/>
    </row>
    <row r="9" spans="1:8">
      <c r="A9" s="128">
        <v>8</v>
      </c>
      <c r="B9" s="332">
        <v>46145</v>
      </c>
      <c r="C9" s="311"/>
      <c r="D9" s="312" t="s">
        <v>286</v>
      </c>
      <c r="E9" s="166" t="s">
        <v>284</v>
      </c>
      <c r="F9" s="98"/>
      <c r="G9" s="98"/>
      <c r="H9" s="98"/>
    </row>
    <row r="10" spans="1:8">
      <c r="A10" s="128">
        <v>9</v>
      </c>
      <c r="B10" s="332">
        <v>46145</v>
      </c>
      <c r="C10" s="311"/>
      <c r="D10" s="312" t="s">
        <v>287</v>
      </c>
      <c r="E10" s="166" t="s">
        <v>278</v>
      </c>
      <c r="F10" s="98"/>
      <c r="G10" s="98"/>
      <c r="H10" s="98"/>
    </row>
    <row r="11" spans="1:8">
      <c r="A11" s="128">
        <v>10</v>
      </c>
      <c r="B11" s="332">
        <v>46145</v>
      </c>
      <c r="C11" s="311"/>
      <c r="D11" s="312" t="s">
        <v>288</v>
      </c>
      <c r="E11" s="166" t="s">
        <v>278</v>
      </c>
      <c r="F11" s="98"/>
      <c r="G11" s="98"/>
      <c r="H11" s="98"/>
    </row>
    <row r="12" spans="1:8">
      <c r="A12" s="128">
        <v>11</v>
      </c>
      <c r="B12" s="332">
        <v>46145</v>
      </c>
      <c r="C12" s="311"/>
      <c r="D12" s="312" t="s">
        <v>289</v>
      </c>
      <c r="E12" s="166" t="s">
        <v>284</v>
      </c>
      <c r="F12" s="98"/>
      <c r="G12" s="98"/>
      <c r="H12" s="98"/>
    </row>
    <row r="13" spans="1:8">
      <c r="A13" s="128">
        <v>12</v>
      </c>
      <c r="B13" s="332">
        <v>46145</v>
      </c>
      <c r="C13" s="311"/>
      <c r="D13" s="312" t="s">
        <v>290</v>
      </c>
      <c r="E13" s="166" t="s">
        <v>284</v>
      </c>
      <c r="F13" s="98"/>
      <c r="G13" s="98"/>
      <c r="H13" s="98"/>
    </row>
    <row r="14" spans="1:8">
      <c r="A14" s="128">
        <v>13</v>
      </c>
      <c r="B14" s="332">
        <v>46145</v>
      </c>
      <c r="C14" s="311"/>
      <c r="D14" s="312" t="s">
        <v>291</v>
      </c>
      <c r="E14" s="166" t="s">
        <v>284</v>
      </c>
      <c r="F14" s="98"/>
      <c r="G14" s="98"/>
      <c r="H14" s="98"/>
    </row>
    <row r="15" spans="1:8">
      <c r="A15" s="128">
        <v>14</v>
      </c>
      <c r="B15" s="332">
        <v>46145</v>
      </c>
      <c r="C15" s="311"/>
      <c r="D15" s="312" t="s">
        <v>292</v>
      </c>
      <c r="E15" s="166" t="s">
        <v>284</v>
      </c>
      <c r="F15" s="98"/>
      <c r="G15" s="98"/>
      <c r="H15" s="98"/>
    </row>
    <row r="16" spans="1:8">
      <c r="A16" s="128">
        <v>15</v>
      </c>
      <c r="B16" s="332">
        <v>46145</v>
      </c>
      <c r="C16" s="311"/>
      <c r="D16" s="312" t="s">
        <v>293</v>
      </c>
      <c r="E16" s="166" t="s">
        <v>284</v>
      </c>
      <c r="F16" s="98"/>
      <c r="G16" s="98"/>
      <c r="H16" s="98"/>
    </row>
    <row r="17" spans="1:8">
      <c r="A17" s="128">
        <v>16</v>
      </c>
      <c r="B17" s="332">
        <v>46145</v>
      </c>
      <c r="C17" s="311"/>
      <c r="D17" s="312" t="s">
        <v>294</v>
      </c>
      <c r="E17" s="166" t="s">
        <v>284</v>
      </c>
      <c r="F17" s="98"/>
      <c r="G17" s="98"/>
      <c r="H17" s="98"/>
    </row>
    <row r="18" spans="1:8">
      <c r="A18" s="128">
        <v>17</v>
      </c>
      <c r="B18" s="332">
        <v>46145</v>
      </c>
      <c r="C18" s="311"/>
      <c r="D18" s="312" t="s">
        <v>295</v>
      </c>
      <c r="E18" s="166" t="s">
        <v>284</v>
      </c>
      <c r="F18" s="98"/>
      <c r="G18" s="98"/>
      <c r="H18" s="98"/>
    </row>
    <row r="19" spans="1:8">
      <c r="A19" s="128">
        <v>18</v>
      </c>
      <c r="B19" s="332">
        <v>46145</v>
      </c>
      <c r="C19" s="311"/>
      <c r="D19" s="312" t="s">
        <v>296</v>
      </c>
      <c r="E19" s="166" t="s">
        <v>284</v>
      </c>
      <c r="F19" s="98"/>
      <c r="G19" s="98"/>
      <c r="H19" s="98"/>
    </row>
    <row r="20" spans="1:8">
      <c r="A20" s="128">
        <v>19</v>
      </c>
      <c r="B20" s="332">
        <v>46145</v>
      </c>
      <c r="C20" s="311"/>
      <c r="D20" s="312" t="s">
        <v>297</v>
      </c>
      <c r="E20" s="166" t="s">
        <v>284</v>
      </c>
      <c r="F20" s="98"/>
      <c r="G20" s="98"/>
      <c r="H20" s="98"/>
    </row>
    <row r="21" spans="1:8">
      <c r="A21" s="128">
        <v>20</v>
      </c>
      <c r="B21" s="332">
        <v>46145</v>
      </c>
      <c r="C21" s="311"/>
      <c r="D21" s="312" t="s">
        <v>298</v>
      </c>
      <c r="E21" s="166" t="s">
        <v>284</v>
      </c>
      <c r="F21" s="98"/>
      <c r="G21" s="98"/>
      <c r="H21" s="98"/>
    </row>
    <row r="22" spans="1:8">
      <c r="A22" s="128">
        <v>21</v>
      </c>
      <c r="B22" s="332">
        <v>46145</v>
      </c>
      <c r="C22" s="311"/>
      <c r="D22" s="312" t="s">
        <v>299</v>
      </c>
      <c r="E22" s="166" t="s">
        <v>284</v>
      </c>
      <c r="F22" s="98"/>
      <c r="G22" s="98"/>
      <c r="H22" s="98"/>
    </row>
    <row r="23" spans="1:8">
      <c r="A23" s="128">
        <v>22</v>
      </c>
      <c r="B23" s="332">
        <v>46145</v>
      </c>
      <c r="C23" s="311"/>
      <c r="D23" s="312" t="s">
        <v>300</v>
      </c>
      <c r="E23" s="166" t="s">
        <v>284</v>
      </c>
      <c r="F23" s="98"/>
      <c r="G23" s="98"/>
      <c r="H23" s="98"/>
    </row>
    <row r="24" spans="1:8">
      <c r="A24" s="128">
        <v>23</v>
      </c>
      <c r="B24" s="332">
        <v>46145</v>
      </c>
      <c r="C24" s="311"/>
      <c r="D24" s="312" t="s">
        <v>301</v>
      </c>
      <c r="E24" s="166" t="s">
        <v>284</v>
      </c>
      <c r="F24" s="98"/>
      <c r="G24" s="98"/>
      <c r="H24" s="98"/>
    </row>
    <row r="25" spans="1:8">
      <c r="A25" s="128">
        <v>24</v>
      </c>
      <c r="B25" s="332">
        <v>46145</v>
      </c>
      <c r="C25" s="311"/>
      <c r="D25" s="312" t="s">
        <v>302</v>
      </c>
      <c r="E25" s="166" t="s">
        <v>284</v>
      </c>
      <c r="F25" s="98"/>
      <c r="G25" s="98"/>
      <c r="H25" s="98"/>
    </row>
    <row r="26" spans="1:8">
      <c r="A26" s="128">
        <v>25</v>
      </c>
      <c r="B26" s="332">
        <v>46145</v>
      </c>
      <c r="C26" s="311"/>
      <c r="D26" s="312" t="s">
        <v>303</v>
      </c>
      <c r="E26" s="166" t="s">
        <v>284</v>
      </c>
      <c r="F26" s="98"/>
      <c r="G26" s="98"/>
      <c r="H26" s="98"/>
    </row>
    <row r="27" spans="1:8">
      <c r="A27" s="128">
        <v>26</v>
      </c>
      <c r="B27" s="332">
        <v>46145</v>
      </c>
      <c r="C27" s="311"/>
      <c r="D27" s="312" t="s">
        <v>304</v>
      </c>
      <c r="E27" s="166" t="s">
        <v>284</v>
      </c>
      <c r="F27" s="98"/>
      <c r="G27" s="98"/>
      <c r="H27" s="98"/>
    </row>
    <row r="28" spans="1:8">
      <c r="A28" s="128">
        <v>27</v>
      </c>
      <c r="B28" s="332">
        <v>46145</v>
      </c>
      <c r="C28" s="311"/>
      <c r="D28" s="312" t="s">
        <v>305</v>
      </c>
      <c r="E28" s="166" t="s">
        <v>284</v>
      </c>
      <c r="F28" s="98"/>
      <c r="G28" s="98"/>
      <c r="H28" s="98"/>
    </row>
    <row r="29" spans="1:8">
      <c r="A29" s="128">
        <v>28</v>
      </c>
      <c r="B29" s="332">
        <v>46145</v>
      </c>
      <c r="C29" s="311"/>
      <c r="D29" s="312" t="s">
        <v>306</v>
      </c>
      <c r="E29" s="166" t="s">
        <v>284</v>
      </c>
      <c r="F29" s="98"/>
      <c r="G29" s="98"/>
      <c r="H29" s="98"/>
    </row>
    <row r="30" spans="1:8">
      <c r="A30" s="128">
        <v>29</v>
      </c>
      <c r="B30" s="332">
        <v>46145</v>
      </c>
      <c r="C30" s="311"/>
      <c r="D30" s="312" t="s">
        <v>307</v>
      </c>
      <c r="E30" s="166" t="s">
        <v>284</v>
      </c>
      <c r="F30" s="98"/>
      <c r="G30" s="98"/>
      <c r="H30" s="98"/>
    </row>
    <row r="31" spans="1:8">
      <c r="A31" s="128">
        <v>30</v>
      </c>
      <c r="B31" s="332">
        <v>46145</v>
      </c>
      <c r="C31" s="311"/>
      <c r="D31" s="312" t="s">
        <v>308</v>
      </c>
      <c r="E31" s="166" t="s">
        <v>284</v>
      </c>
      <c r="F31" s="98"/>
      <c r="G31" s="98"/>
      <c r="H31" s="98"/>
    </row>
    <row r="32" spans="1:8">
      <c r="A32" s="128">
        <v>31</v>
      </c>
      <c r="B32" s="332">
        <v>46145</v>
      </c>
      <c r="C32" s="311"/>
      <c r="D32" s="312" t="s">
        <v>309</v>
      </c>
      <c r="E32" s="166" t="s">
        <v>284</v>
      </c>
      <c r="F32" s="98"/>
      <c r="G32" s="98"/>
      <c r="H32" s="98"/>
    </row>
    <row r="33" spans="1:8">
      <c r="A33" s="128">
        <v>32</v>
      </c>
      <c r="B33" s="332">
        <v>46145</v>
      </c>
      <c r="C33" s="311"/>
      <c r="D33" s="312" t="s">
        <v>310</v>
      </c>
      <c r="E33" s="166" t="s">
        <v>284</v>
      </c>
      <c r="F33" s="98"/>
      <c r="G33" s="98"/>
      <c r="H33" s="98"/>
    </row>
    <row r="34" spans="1:8">
      <c r="A34" s="128">
        <v>33</v>
      </c>
      <c r="B34" s="332">
        <v>46145</v>
      </c>
      <c r="C34" s="311"/>
      <c r="D34" s="312" t="s">
        <v>311</v>
      </c>
      <c r="E34" s="166" t="s">
        <v>284</v>
      </c>
      <c r="F34" s="98"/>
      <c r="G34" s="98"/>
      <c r="H34" s="98"/>
    </row>
    <row r="35" spans="1:8">
      <c r="A35" s="128">
        <v>34</v>
      </c>
      <c r="B35" s="332">
        <v>46145</v>
      </c>
      <c r="C35" s="311"/>
      <c r="D35" s="312" t="s">
        <v>312</v>
      </c>
      <c r="E35" s="166" t="s">
        <v>284</v>
      </c>
      <c r="F35" s="98"/>
      <c r="G35" s="98"/>
      <c r="H35" s="98"/>
    </row>
    <row r="36" spans="1:8">
      <c r="A36" s="128">
        <v>35</v>
      </c>
      <c r="B36" s="332">
        <v>46145</v>
      </c>
      <c r="C36" s="311"/>
      <c r="D36" s="312" t="s">
        <v>313</v>
      </c>
      <c r="E36" s="166" t="s">
        <v>284</v>
      </c>
      <c r="F36" s="98"/>
      <c r="G36" s="98"/>
      <c r="H36" s="98"/>
    </row>
    <row r="37" spans="1:8">
      <c r="A37" s="128">
        <v>36</v>
      </c>
      <c r="B37" s="332">
        <v>46145</v>
      </c>
      <c r="C37" s="311"/>
      <c r="D37" s="312" t="s">
        <v>314</v>
      </c>
      <c r="E37" s="166" t="s">
        <v>284</v>
      </c>
      <c r="F37" s="98"/>
      <c r="G37" s="98"/>
      <c r="H37" s="98"/>
    </row>
    <row r="38" spans="1:8">
      <c r="A38" s="128">
        <v>37</v>
      </c>
      <c r="B38" s="332">
        <v>46145</v>
      </c>
      <c r="C38" s="311"/>
      <c r="D38" s="312" t="s">
        <v>315</v>
      </c>
      <c r="E38" s="166" t="s">
        <v>284</v>
      </c>
      <c r="F38" s="98"/>
      <c r="G38" s="98"/>
      <c r="H38" s="98"/>
    </row>
    <row r="39" spans="1:8">
      <c r="A39" s="128">
        <v>38</v>
      </c>
      <c r="B39" s="332">
        <v>46145</v>
      </c>
      <c r="C39" s="311"/>
      <c r="D39" s="312" t="s">
        <v>316</v>
      </c>
      <c r="E39" s="166" t="s">
        <v>284</v>
      </c>
      <c r="F39" s="98"/>
      <c r="G39" s="98"/>
      <c r="H39" s="98"/>
    </row>
    <row r="40" spans="1:8">
      <c r="A40" s="128">
        <v>39</v>
      </c>
      <c r="B40" s="332">
        <v>46145</v>
      </c>
      <c r="C40" s="311"/>
      <c r="D40" s="312" t="s">
        <v>317</v>
      </c>
      <c r="E40" s="166" t="s">
        <v>284</v>
      </c>
      <c r="F40" s="98"/>
      <c r="G40" s="98"/>
      <c r="H40" s="98"/>
    </row>
    <row r="41" spans="1:8">
      <c r="A41" s="128">
        <v>40</v>
      </c>
      <c r="B41" s="332">
        <v>46145</v>
      </c>
      <c r="C41" s="311"/>
      <c r="D41" s="312" t="s">
        <v>318</v>
      </c>
      <c r="E41" s="166" t="s">
        <v>284</v>
      </c>
      <c r="F41" s="98"/>
      <c r="G41" s="98"/>
      <c r="H41" s="98"/>
    </row>
    <row r="42" spans="1:8">
      <c r="A42" s="128">
        <v>41</v>
      </c>
      <c r="B42" s="332">
        <v>46145</v>
      </c>
      <c r="C42" s="311"/>
      <c r="D42" s="312" t="s">
        <v>319</v>
      </c>
      <c r="E42" s="166" t="s">
        <v>284</v>
      </c>
      <c r="F42" s="98"/>
      <c r="G42" s="98"/>
      <c r="H42" s="98"/>
    </row>
    <row r="43" spans="1:8">
      <c r="A43" s="128">
        <v>42</v>
      </c>
      <c r="B43" s="332">
        <v>46145</v>
      </c>
      <c r="C43" s="311"/>
      <c r="D43" s="312" t="s">
        <v>320</v>
      </c>
      <c r="E43" s="166" t="s">
        <v>284</v>
      </c>
      <c r="F43" s="98"/>
      <c r="G43" s="98"/>
      <c r="H43" s="98"/>
    </row>
    <row r="44" spans="1:8">
      <c r="A44" s="128">
        <v>43</v>
      </c>
      <c r="B44" s="332">
        <v>46145</v>
      </c>
      <c r="C44" s="311"/>
      <c r="D44" s="312" t="s">
        <v>321</v>
      </c>
      <c r="E44" s="166" t="s">
        <v>284</v>
      </c>
      <c r="F44" s="98"/>
      <c r="G44" s="98"/>
      <c r="H44" s="98"/>
    </row>
    <row r="45" spans="1:8">
      <c r="A45" s="128">
        <v>44</v>
      </c>
      <c r="B45" s="332">
        <v>46145</v>
      </c>
      <c r="C45" s="311"/>
      <c r="D45" s="312" t="s">
        <v>322</v>
      </c>
      <c r="E45" s="166" t="s">
        <v>284</v>
      </c>
      <c r="F45" s="98"/>
      <c r="G45" s="98"/>
      <c r="H45" s="98"/>
    </row>
    <row r="46" spans="1:8">
      <c r="A46" s="128">
        <v>45</v>
      </c>
      <c r="B46" s="332">
        <v>46145</v>
      </c>
      <c r="C46" s="311"/>
      <c r="D46" s="312" t="s">
        <v>323</v>
      </c>
      <c r="E46" s="166" t="s">
        <v>284</v>
      </c>
      <c r="F46" s="98"/>
      <c r="G46" s="98"/>
      <c r="H46" s="98"/>
    </row>
    <row r="47" spans="1:8">
      <c r="A47" s="128">
        <v>46</v>
      </c>
      <c r="B47" s="332">
        <v>46145</v>
      </c>
      <c r="C47" s="311"/>
      <c r="D47" s="312" t="s">
        <v>324</v>
      </c>
      <c r="E47" s="166" t="s">
        <v>284</v>
      </c>
      <c r="F47" s="98"/>
      <c r="G47" s="98"/>
      <c r="H47" s="98"/>
    </row>
    <row r="48" spans="1:8">
      <c r="A48" s="128">
        <v>47</v>
      </c>
      <c r="B48" s="332">
        <v>46145</v>
      </c>
      <c r="C48" s="311"/>
      <c r="D48" s="312" t="s">
        <v>325</v>
      </c>
      <c r="E48" s="166" t="s">
        <v>284</v>
      </c>
      <c r="F48" s="98"/>
      <c r="G48" s="98"/>
      <c r="H48" s="98"/>
    </row>
    <row r="49" spans="1:8">
      <c r="A49" s="128">
        <v>48</v>
      </c>
      <c r="B49" s="332">
        <v>46145</v>
      </c>
      <c r="C49" s="311"/>
      <c r="D49" s="312" t="s">
        <v>326</v>
      </c>
      <c r="E49" s="166" t="s">
        <v>284</v>
      </c>
      <c r="F49" s="98"/>
      <c r="G49" s="98"/>
      <c r="H49" s="98"/>
    </row>
    <row r="50" spans="1:8">
      <c r="A50" s="128">
        <v>49</v>
      </c>
      <c r="B50" s="332">
        <v>46145</v>
      </c>
      <c r="C50" s="311"/>
      <c r="D50" s="312" t="s">
        <v>327</v>
      </c>
      <c r="E50" s="166" t="s">
        <v>284</v>
      </c>
      <c r="F50" s="98"/>
      <c r="G50" s="98"/>
      <c r="H50" s="98"/>
    </row>
    <row r="51" spans="1:8">
      <c r="A51" s="128">
        <v>50</v>
      </c>
      <c r="B51" s="332">
        <v>46145</v>
      </c>
      <c r="C51" s="311"/>
      <c r="D51" s="312" t="s">
        <v>328</v>
      </c>
      <c r="E51" s="166" t="s">
        <v>284</v>
      </c>
      <c r="F51" s="98"/>
      <c r="G51" s="98"/>
      <c r="H51" s="98"/>
    </row>
    <row r="52" spans="1:8">
      <c r="A52" s="128">
        <v>51</v>
      </c>
      <c r="B52" s="332">
        <v>46145</v>
      </c>
      <c r="C52" s="311"/>
      <c r="D52" s="312" t="s">
        <v>329</v>
      </c>
      <c r="E52" s="166" t="s">
        <v>284</v>
      </c>
      <c r="F52" s="98"/>
      <c r="G52" s="98"/>
      <c r="H52" s="98"/>
    </row>
    <row r="53" spans="1:8">
      <c r="A53" s="128">
        <v>52</v>
      </c>
      <c r="B53" s="332">
        <v>46145</v>
      </c>
      <c r="C53" s="311"/>
      <c r="D53" s="312" t="s">
        <v>330</v>
      </c>
      <c r="E53" s="166" t="s">
        <v>284</v>
      </c>
      <c r="F53" s="98"/>
      <c r="G53" s="98"/>
      <c r="H53" s="98"/>
    </row>
    <row r="54" spans="1:8">
      <c r="A54" s="128">
        <v>53</v>
      </c>
      <c r="B54" s="332">
        <v>46145</v>
      </c>
      <c r="C54" s="311"/>
      <c r="D54" s="312" t="s">
        <v>331</v>
      </c>
      <c r="E54" s="166" t="s">
        <v>284</v>
      </c>
      <c r="F54" s="98"/>
      <c r="G54" s="98"/>
      <c r="H54" s="98"/>
    </row>
    <row r="55" spans="1:8">
      <c r="A55" s="128">
        <v>54</v>
      </c>
      <c r="B55" s="332">
        <v>46145</v>
      </c>
      <c r="C55" s="311"/>
      <c r="D55" s="312" t="s">
        <v>332</v>
      </c>
      <c r="E55" s="166" t="s">
        <v>284</v>
      </c>
      <c r="F55" s="98"/>
      <c r="G55" s="98"/>
      <c r="H55" s="98"/>
    </row>
    <row r="56" spans="1:8">
      <c r="A56" s="128">
        <v>55</v>
      </c>
      <c r="B56" s="332">
        <v>46145</v>
      </c>
      <c r="C56" s="311"/>
      <c r="D56" s="312" t="s">
        <v>333</v>
      </c>
      <c r="E56" s="166" t="s">
        <v>284</v>
      </c>
      <c r="F56" s="98"/>
      <c r="G56" s="98"/>
      <c r="H56" s="98"/>
    </row>
    <row r="57" spans="1:8">
      <c r="A57" s="128">
        <v>56</v>
      </c>
      <c r="B57" s="332">
        <v>46145</v>
      </c>
      <c r="C57" s="311"/>
      <c r="D57" s="312" t="s">
        <v>334</v>
      </c>
      <c r="E57" s="166" t="s">
        <v>284</v>
      </c>
      <c r="F57" s="98"/>
      <c r="G57" s="98"/>
      <c r="H57" s="98"/>
    </row>
    <row r="58" spans="1:8">
      <c r="A58" s="128">
        <v>57</v>
      </c>
      <c r="B58" s="332">
        <v>46145</v>
      </c>
      <c r="C58" s="311"/>
      <c r="D58" s="312" t="s">
        <v>335</v>
      </c>
      <c r="E58" s="166" t="s">
        <v>284</v>
      </c>
      <c r="F58" s="98"/>
      <c r="G58" s="98"/>
      <c r="H58" s="98"/>
    </row>
    <row r="59" spans="1:8">
      <c r="A59" s="128">
        <v>58</v>
      </c>
      <c r="B59" s="332">
        <v>46145</v>
      </c>
      <c r="C59" s="311"/>
      <c r="D59" s="312" t="s">
        <v>336</v>
      </c>
      <c r="E59" s="166" t="s">
        <v>284</v>
      </c>
      <c r="F59" s="98"/>
      <c r="G59" s="98"/>
      <c r="H59" s="98"/>
    </row>
    <row r="60" spans="1:8">
      <c r="A60" s="128">
        <v>59</v>
      </c>
      <c r="B60" s="332">
        <v>46145</v>
      </c>
      <c r="C60" s="311"/>
      <c r="D60" s="312" t="s">
        <v>337</v>
      </c>
      <c r="E60" s="166" t="s">
        <v>284</v>
      </c>
      <c r="F60" s="98"/>
      <c r="G60" s="98"/>
      <c r="H60" s="98"/>
    </row>
    <row r="61" spans="1:8">
      <c r="A61" s="128">
        <v>60</v>
      </c>
      <c r="B61" s="332">
        <v>46145</v>
      </c>
      <c r="C61" s="311"/>
      <c r="D61" s="312" t="s">
        <v>338</v>
      </c>
      <c r="E61" s="166" t="s">
        <v>284</v>
      </c>
      <c r="F61" s="98"/>
      <c r="G61" s="98"/>
      <c r="H61" s="98"/>
    </row>
    <row r="62" spans="1:8">
      <c r="A62" s="128">
        <v>61</v>
      </c>
      <c r="B62" s="332">
        <v>46145</v>
      </c>
      <c r="C62" s="311"/>
      <c r="D62" s="312" t="s">
        <v>339</v>
      </c>
      <c r="E62" s="166" t="s">
        <v>284</v>
      </c>
      <c r="F62" s="98"/>
      <c r="G62" s="98"/>
      <c r="H62" s="98"/>
    </row>
    <row r="63" spans="1:8">
      <c r="A63" s="128">
        <v>62</v>
      </c>
      <c r="B63" s="332">
        <v>46145</v>
      </c>
      <c r="C63" s="311"/>
      <c r="D63" s="312" t="s">
        <v>340</v>
      </c>
      <c r="E63" s="166" t="s">
        <v>284</v>
      </c>
      <c r="F63" s="98"/>
      <c r="G63" s="98"/>
      <c r="H63" s="98"/>
    </row>
    <row r="64" spans="1:8">
      <c r="A64" s="128">
        <v>63</v>
      </c>
      <c r="B64" s="332">
        <v>46145</v>
      </c>
      <c r="C64" s="311"/>
      <c r="D64" s="312" t="s">
        <v>341</v>
      </c>
      <c r="E64" s="166" t="s">
        <v>284</v>
      </c>
      <c r="F64" s="98"/>
      <c r="G64" s="98"/>
      <c r="H64" s="98"/>
    </row>
    <row r="65" spans="1:8">
      <c r="A65" s="128">
        <v>64</v>
      </c>
      <c r="B65" s="332">
        <v>46145</v>
      </c>
      <c r="C65" s="311"/>
      <c r="D65" s="312" t="s">
        <v>342</v>
      </c>
      <c r="E65" s="166" t="s">
        <v>284</v>
      </c>
      <c r="F65" s="98"/>
      <c r="G65" s="98"/>
      <c r="H65" s="98"/>
    </row>
    <row r="66" spans="1:8">
      <c r="A66" s="128">
        <v>65</v>
      </c>
      <c r="B66" s="332">
        <v>46145</v>
      </c>
      <c r="C66" s="311"/>
      <c r="D66" s="312" t="s">
        <v>343</v>
      </c>
      <c r="E66" s="166" t="s">
        <v>284</v>
      </c>
      <c r="F66" s="98"/>
      <c r="G66" s="98"/>
      <c r="H66" s="98"/>
    </row>
    <row r="67" spans="1:8">
      <c r="A67" s="128">
        <v>66</v>
      </c>
      <c r="B67" s="332">
        <v>46145</v>
      </c>
      <c r="C67" s="311"/>
      <c r="D67" s="312" t="s">
        <v>344</v>
      </c>
      <c r="E67" s="166" t="s">
        <v>284</v>
      </c>
      <c r="F67" s="98"/>
      <c r="G67" s="98"/>
      <c r="H67" s="98"/>
    </row>
    <row r="68" spans="1:8">
      <c r="A68" s="128">
        <v>67</v>
      </c>
      <c r="B68" s="332">
        <v>46145</v>
      </c>
      <c r="C68" s="311"/>
      <c r="D68" s="312" t="s">
        <v>345</v>
      </c>
      <c r="E68" s="166" t="s">
        <v>284</v>
      </c>
      <c r="F68" s="98"/>
      <c r="G68" s="98"/>
      <c r="H68" s="98"/>
    </row>
    <row r="69" spans="1:8">
      <c r="A69" s="128">
        <v>68</v>
      </c>
      <c r="B69" s="332">
        <v>46145</v>
      </c>
      <c r="C69" s="311"/>
      <c r="D69" s="312" t="s">
        <v>346</v>
      </c>
      <c r="E69" s="166" t="s">
        <v>284</v>
      </c>
      <c r="F69" s="98"/>
      <c r="G69" s="98"/>
      <c r="H69" s="98"/>
    </row>
    <row r="70" spans="1:8">
      <c r="A70" s="128">
        <v>69</v>
      </c>
      <c r="B70" s="332">
        <v>46145</v>
      </c>
      <c r="C70" s="311"/>
      <c r="D70" s="312" t="s">
        <v>347</v>
      </c>
      <c r="E70" s="166" t="s">
        <v>284</v>
      </c>
      <c r="F70" s="98"/>
      <c r="G70" s="98"/>
      <c r="H70" s="98"/>
    </row>
    <row r="71" spans="1:8">
      <c r="A71" s="128">
        <v>70</v>
      </c>
      <c r="B71" s="332">
        <v>46145</v>
      </c>
      <c r="C71" s="311"/>
      <c r="D71" s="312" t="s">
        <v>348</v>
      </c>
      <c r="E71" s="166" t="s">
        <v>284</v>
      </c>
      <c r="F71" s="98"/>
      <c r="G71" s="98"/>
      <c r="H71" s="98"/>
    </row>
    <row r="72" spans="1:8">
      <c r="A72" s="128">
        <v>71</v>
      </c>
      <c r="B72" s="332">
        <v>46145</v>
      </c>
      <c r="C72" s="311"/>
      <c r="D72" s="312" t="s">
        <v>349</v>
      </c>
      <c r="E72" s="166" t="s">
        <v>284</v>
      </c>
      <c r="F72" s="98"/>
      <c r="G72" s="98"/>
      <c r="H72" s="98"/>
    </row>
    <row r="73" spans="1:8">
      <c r="A73" s="128">
        <v>72</v>
      </c>
      <c r="B73" s="332">
        <v>46145</v>
      </c>
      <c r="C73" s="311"/>
      <c r="D73" s="312" t="s">
        <v>350</v>
      </c>
      <c r="E73" s="166" t="s">
        <v>284</v>
      </c>
      <c r="F73" s="98"/>
      <c r="G73" s="98"/>
      <c r="H73" s="98"/>
    </row>
    <row r="74" spans="1:8">
      <c r="A74" s="128">
        <v>73</v>
      </c>
      <c r="B74" s="332">
        <v>46145</v>
      </c>
      <c r="C74" s="311"/>
      <c r="D74" s="312" t="s">
        <v>351</v>
      </c>
      <c r="E74" s="166" t="s">
        <v>284</v>
      </c>
      <c r="F74" s="98"/>
      <c r="G74" s="98"/>
      <c r="H74" s="98"/>
    </row>
    <row r="75" spans="1:8">
      <c r="A75" s="128">
        <v>74</v>
      </c>
      <c r="B75" s="332">
        <v>46145</v>
      </c>
      <c r="C75" s="311"/>
      <c r="D75" s="312" t="s">
        <v>352</v>
      </c>
      <c r="E75" s="166" t="s">
        <v>284</v>
      </c>
      <c r="F75" s="98"/>
      <c r="G75" s="98"/>
      <c r="H75" s="98"/>
    </row>
    <row r="76" spans="1:8">
      <c r="A76" s="128">
        <v>75</v>
      </c>
      <c r="B76" s="332">
        <v>46145</v>
      </c>
      <c r="C76" s="311"/>
      <c r="D76" s="312" t="s">
        <v>353</v>
      </c>
      <c r="E76" s="166" t="s">
        <v>284</v>
      </c>
      <c r="F76" s="98"/>
      <c r="G76" s="98"/>
      <c r="H76" s="98"/>
    </row>
    <row r="77" spans="1:8">
      <c r="A77" s="128">
        <v>76</v>
      </c>
      <c r="B77" s="332">
        <v>46145</v>
      </c>
      <c r="C77" s="311"/>
      <c r="D77" s="312" t="s">
        <v>354</v>
      </c>
      <c r="E77" s="166" t="s">
        <v>284</v>
      </c>
      <c r="F77" s="98"/>
      <c r="G77" s="98"/>
      <c r="H77" s="98"/>
    </row>
    <row r="78" spans="1:8">
      <c r="A78" s="128">
        <v>77</v>
      </c>
      <c r="B78" s="332">
        <v>46145</v>
      </c>
      <c r="C78" s="311"/>
      <c r="D78" s="312" t="s">
        <v>355</v>
      </c>
      <c r="E78" s="166" t="s">
        <v>284</v>
      </c>
      <c r="F78" s="98"/>
      <c r="G78" s="98"/>
      <c r="H78" s="98"/>
    </row>
    <row r="79" spans="1:8">
      <c r="A79" s="128">
        <v>78</v>
      </c>
      <c r="B79" s="332">
        <v>46145</v>
      </c>
      <c r="C79" s="311"/>
      <c r="D79" s="312" t="s">
        <v>356</v>
      </c>
      <c r="E79" s="166" t="s">
        <v>284</v>
      </c>
      <c r="F79" s="98"/>
      <c r="G79" s="98"/>
      <c r="H79" s="98"/>
    </row>
    <row r="80" spans="1:8">
      <c r="A80" s="128">
        <v>79</v>
      </c>
      <c r="B80" s="332">
        <v>46145</v>
      </c>
      <c r="C80" s="311"/>
      <c r="D80" s="312" t="s">
        <v>357</v>
      </c>
      <c r="E80" s="166" t="s">
        <v>284</v>
      </c>
      <c r="F80" s="98"/>
      <c r="G80" s="98"/>
      <c r="H80" s="98"/>
    </row>
    <row r="81" spans="1:8">
      <c r="A81" s="128">
        <v>80</v>
      </c>
      <c r="B81" s="332">
        <v>46145</v>
      </c>
      <c r="C81" s="311"/>
      <c r="D81" s="312" t="s">
        <v>358</v>
      </c>
      <c r="E81" s="166" t="s">
        <v>284</v>
      </c>
      <c r="F81" s="98"/>
      <c r="G81" s="98"/>
      <c r="H81" s="98"/>
    </row>
    <row r="82" spans="1:8">
      <c r="A82" s="128">
        <v>81</v>
      </c>
      <c r="B82" s="332">
        <v>46145</v>
      </c>
      <c r="C82" s="311"/>
      <c r="D82" s="312" t="s">
        <v>359</v>
      </c>
      <c r="E82" s="166" t="s">
        <v>284</v>
      </c>
      <c r="F82" s="98"/>
      <c r="G82" s="98"/>
      <c r="H82" s="98"/>
    </row>
    <row r="83" spans="1:8">
      <c r="A83" s="128">
        <v>82</v>
      </c>
      <c r="B83" s="332">
        <v>46145</v>
      </c>
      <c r="C83" s="311"/>
      <c r="D83" s="312" t="s">
        <v>360</v>
      </c>
      <c r="E83" s="166" t="s">
        <v>284</v>
      </c>
      <c r="F83" s="98"/>
      <c r="G83" s="98"/>
      <c r="H83" s="98"/>
    </row>
    <row r="84" spans="1:8">
      <c r="A84" s="128">
        <v>83</v>
      </c>
      <c r="B84" s="332">
        <v>46145</v>
      </c>
      <c r="C84" s="311"/>
      <c r="D84" s="312" t="s">
        <v>361</v>
      </c>
      <c r="E84" s="166" t="s">
        <v>284</v>
      </c>
      <c r="F84" s="98"/>
      <c r="G84" s="98"/>
      <c r="H84" s="98"/>
    </row>
    <row r="85" spans="1:8">
      <c r="A85" s="128">
        <v>84</v>
      </c>
      <c r="B85" s="332">
        <v>46145</v>
      </c>
      <c r="C85" s="311"/>
      <c r="D85" s="312" t="s">
        <v>362</v>
      </c>
      <c r="E85" s="166" t="s">
        <v>284</v>
      </c>
      <c r="F85" s="98"/>
      <c r="G85" s="98"/>
      <c r="H85" s="98"/>
    </row>
    <row r="86" spans="1:8">
      <c r="A86" s="128">
        <v>85</v>
      </c>
      <c r="B86" s="332">
        <v>46145</v>
      </c>
      <c r="C86" s="311"/>
      <c r="D86" s="312" t="s">
        <v>363</v>
      </c>
      <c r="E86" s="166" t="s">
        <v>284</v>
      </c>
      <c r="F86" s="98"/>
      <c r="G86" s="98"/>
      <c r="H86" s="98"/>
    </row>
    <row r="87" spans="1:8">
      <c r="A87" s="128">
        <v>86</v>
      </c>
      <c r="B87" s="332">
        <v>46145</v>
      </c>
      <c r="C87" s="311"/>
      <c r="D87" s="312" t="s">
        <v>364</v>
      </c>
      <c r="E87" s="166" t="s">
        <v>284</v>
      </c>
      <c r="F87" s="98"/>
      <c r="G87" s="98"/>
      <c r="H87" s="98"/>
    </row>
    <row r="88" spans="1:8">
      <c r="A88" s="128">
        <v>87</v>
      </c>
      <c r="B88" s="332">
        <v>46145</v>
      </c>
      <c r="C88" s="311"/>
      <c r="D88" s="312" t="s">
        <v>365</v>
      </c>
      <c r="E88" s="166" t="s">
        <v>284</v>
      </c>
      <c r="F88" s="98"/>
      <c r="G88" s="98"/>
      <c r="H88" s="98"/>
    </row>
    <row r="89" spans="1:8">
      <c r="A89" s="128">
        <v>88</v>
      </c>
      <c r="B89" s="332">
        <v>46145</v>
      </c>
      <c r="C89" s="311"/>
      <c r="D89" s="312" t="s">
        <v>366</v>
      </c>
      <c r="E89" s="166" t="s">
        <v>284</v>
      </c>
      <c r="F89" s="98"/>
      <c r="G89" s="98"/>
      <c r="H89" s="98"/>
    </row>
    <row r="90" spans="1:8">
      <c r="A90" s="128">
        <v>89</v>
      </c>
      <c r="B90" s="332">
        <v>46145</v>
      </c>
      <c r="C90" s="311"/>
      <c r="D90" s="312" t="s">
        <v>367</v>
      </c>
      <c r="E90" s="166" t="s">
        <v>284</v>
      </c>
      <c r="F90" s="98"/>
      <c r="G90" s="98"/>
      <c r="H90" s="98"/>
    </row>
    <row r="91" spans="1:8">
      <c r="A91" s="128">
        <v>90</v>
      </c>
      <c r="B91" s="332">
        <v>46145</v>
      </c>
      <c r="C91" s="311"/>
      <c r="D91" s="312" t="s">
        <v>368</v>
      </c>
      <c r="E91" s="166" t="s">
        <v>284</v>
      </c>
      <c r="F91" s="98"/>
      <c r="G91" s="98"/>
      <c r="H91" s="98"/>
    </row>
    <row r="92" spans="1:8">
      <c r="A92" s="128">
        <v>91</v>
      </c>
      <c r="B92" s="332">
        <v>46145</v>
      </c>
      <c r="C92" s="311"/>
      <c r="D92" s="312" t="s">
        <v>369</v>
      </c>
      <c r="E92" s="166" t="s">
        <v>284</v>
      </c>
      <c r="F92" s="98"/>
      <c r="G92" s="98"/>
      <c r="H92" s="98"/>
    </row>
    <row r="93" spans="1:8">
      <c r="A93" s="128">
        <v>92</v>
      </c>
      <c r="B93" s="332">
        <v>46145</v>
      </c>
      <c r="C93" s="311"/>
      <c r="D93" s="312" t="s">
        <v>370</v>
      </c>
      <c r="E93" s="166" t="s">
        <v>284</v>
      </c>
      <c r="F93" s="98"/>
      <c r="G93" s="98"/>
      <c r="H93" s="98"/>
    </row>
    <row r="94" spans="1:8">
      <c r="A94" s="128">
        <v>93</v>
      </c>
      <c r="B94" s="332">
        <v>46145</v>
      </c>
      <c r="C94" s="311"/>
      <c r="D94" s="312" t="s">
        <v>371</v>
      </c>
      <c r="E94" s="166" t="s">
        <v>284</v>
      </c>
      <c r="F94" s="98"/>
      <c r="G94" s="98"/>
      <c r="H94" s="98"/>
    </row>
    <row r="95" spans="1:8">
      <c r="A95" s="128">
        <v>94</v>
      </c>
      <c r="B95" s="332">
        <v>46145</v>
      </c>
      <c r="C95" s="311"/>
      <c r="D95" s="312" t="s">
        <v>372</v>
      </c>
      <c r="E95" s="166" t="s">
        <v>284</v>
      </c>
      <c r="F95" s="98"/>
      <c r="G95" s="98"/>
      <c r="H95" s="98"/>
    </row>
    <row r="96" spans="1:8">
      <c r="A96" s="128">
        <v>95</v>
      </c>
      <c r="B96" s="332">
        <v>46145</v>
      </c>
      <c r="C96" s="311"/>
      <c r="D96" s="312" t="s">
        <v>373</v>
      </c>
      <c r="E96" s="166" t="s">
        <v>284</v>
      </c>
      <c r="F96" s="98"/>
      <c r="G96" s="98"/>
      <c r="H96" s="98"/>
    </row>
    <row r="97" spans="1:8">
      <c r="A97" s="128">
        <v>96</v>
      </c>
      <c r="B97" s="332">
        <v>46145</v>
      </c>
      <c r="C97" s="311"/>
      <c r="D97" s="312" t="s">
        <v>374</v>
      </c>
      <c r="E97" s="166" t="s">
        <v>284</v>
      </c>
      <c r="F97" s="98"/>
      <c r="G97" s="98"/>
      <c r="H97" s="98"/>
    </row>
    <row r="98" spans="1:8">
      <c r="A98" s="128">
        <v>97</v>
      </c>
      <c r="B98" s="332">
        <v>46145</v>
      </c>
      <c r="C98" s="311"/>
      <c r="D98" s="312" t="s">
        <v>375</v>
      </c>
      <c r="E98" s="166" t="s">
        <v>284</v>
      </c>
      <c r="F98" s="98"/>
      <c r="G98" s="98"/>
      <c r="H98" s="98"/>
    </row>
    <row r="99" spans="1:8">
      <c r="A99" s="128">
        <v>98</v>
      </c>
      <c r="B99" s="332">
        <v>46145</v>
      </c>
      <c r="C99" s="311"/>
      <c r="D99" s="312" t="s">
        <v>376</v>
      </c>
      <c r="E99" s="166" t="s">
        <v>284</v>
      </c>
      <c r="F99" s="98"/>
      <c r="G99" s="98"/>
      <c r="H99" s="98"/>
    </row>
    <row r="100" spans="1:8">
      <c r="A100" s="128">
        <v>99</v>
      </c>
      <c r="B100" s="332">
        <v>46145</v>
      </c>
      <c r="C100" s="311"/>
      <c r="D100" s="312" t="s">
        <v>377</v>
      </c>
      <c r="E100" s="166" t="s">
        <v>284</v>
      </c>
      <c r="F100" s="98"/>
      <c r="G100" s="98"/>
      <c r="H100" s="98"/>
    </row>
    <row r="101" spans="1:8">
      <c r="A101" s="128">
        <v>100</v>
      </c>
      <c r="B101" s="332">
        <v>46145</v>
      </c>
      <c r="C101" s="311"/>
      <c r="D101" s="312" t="s">
        <v>378</v>
      </c>
      <c r="E101" s="166" t="s">
        <v>284</v>
      </c>
      <c r="F101" s="98"/>
      <c r="G101" s="98"/>
      <c r="H101" s="98"/>
    </row>
    <row r="102" spans="1:8">
      <c r="A102" s="128">
        <v>101</v>
      </c>
      <c r="B102" s="332">
        <v>46145</v>
      </c>
      <c r="C102" s="311"/>
      <c r="D102" s="312" t="s">
        <v>379</v>
      </c>
      <c r="E102" s="166" t="s">
        <v>284</v>
      </c>
      <c r="F102" s="98"/>
      <c r="G102" s="98"/>
      <c r="H102" s="98"/>
    </row>
    <row r="103" spans="1:8">
      <c r="A103" s="128">
        <v>102</v>
      </c>
      <c r="B103" s="332">
        <v>46145</v>
      </c>
      <c r="C103" s="311"/>
      <c r="D103" s="312" t="s">
        <v>380</v>
      </c>
      <c r="E103" s="166" t="s">
        <v>284</v>
      </c>
      <c r="F103" s="98"/>
      <c r="G103" s="98"/>
      <c r="H103" s="98"/>
    </row>
    <row r="104" spans="1:8">
      <c r="A104" s="128">
        <v>103</v>
      </c>
      <c r="B104" s="332">
        <v>46145</v>
      </c>
      <c r="C104" s="311"/>
      <c r="D104" s="312" t="s">
        <v>381</v>
      </c>
      <c r="E104" s="166" t="s">
        <v>284</v>
      </c>
      <c r="F104" s="98"/>
      <c r="G104" s="98"/>
      <c r="H104" s="98"/>
    </row>
    <row r="105" spans="1:8">
      <c r="A105" s="128">
        <v>104</v>
      </c>
      <c r="B105" s="332">
        <v>46145</v>
      </c>
      <c r="C105" s="311"/>
      <c r="D105" s="312" t="s">
        <v>382</v>
      </c>
      <c r="E105" s="166" t="s">
        <v>284</v>
      </c>
      <c r="F105" s="98"/>
      <c r="G105" s="98"/>
      <c r="H105" s="98"/>
    </row>
    <row r="106" spans="1:8">
      <c r="A106" s="128">
        <v>105</v>
      </c>
      <c r="B106" s="332">
        <v>46145</v>
      </c>
      <c r="C106" s="311"/>
      <c r="D106" s="312" t="s">
        <v>383</v>
      </c>
      <c r="E106" s="166" t="s">
        <v>284</v>
      </c>
      <c r="F106" s="98"/>
      <c r="G106" s="98"/>
      <c r="H106" s="98"/>
    </row>
    <row r="107" spans="1:8">
      <c r="A107" s="128">
        <v>106</v>
      </c>
      <c r="B107" s="332">
        <v>46145</v>
      </c>
      <c r="C107" s="311"/>
      <c r="D107" s="312" t="s">
        <v>384</v>
      </c>
      <c r="E107" s="166" t="s">
        <v>284</v>
      </c>
      <c r="F107" s="98"/>
      <c r="G107" s="98"/>
      <c r="H107" s="98"/>
    </row>
    <row r="108" spans="1:8">
      <c r="A108" s="128">
        <v>107</v>
      </c>
      <c r="B108" s="332">
        <v>46145</v>
      </c>
      <c r="C108" s="311"/>
      <c r="D108" s="312" t="s">
        <v>385</v>
      </c>
      <c r="E108" s="166" t="s">
        <v>284</v>
      </c>
      <c r="F108" s="98"/>
      <c r="G108" s="98"/>
      <c r="H108" s="98"/>
    </row>
    <row r="109" spans="1:8">
      <c r="A109" s="128">
        <v>108</v>
      </c>
      <c r="B109" s="332">
        <v>46145</v>
      </c>
      <c r="C109" s="311"/>
      <c r="D109" s="312" t="s">
        <v>386</v>
      </c>
      <c r="E109" s="166" t="s">
        <v>284</v>
      </c>
      <c r="F109" s="98"/>
      <c r="G109" s="98"/>
      <c r="H109" s="98"/>
    </row>
    <row r="110" spans="1:8">
      <c r="A110" s="128">
        <v>109</v>
      </c>
      <c r="B110" s="332">
        <v>46145</v>
      </c>
      <c r="C110" s="311"/>
      <c r="D110" s="312" t="s">
        <v>387</v>
      </c>
      <c r="E110" s="166" t="s">
        <v>284</v>
      </c>
      <c r="F110" s="98"/>
      <c r="G110" s="98"/>
      <c r="H110" s="98"/>
    </row>
    <row r="111" spans="1:8">
      <c r="A111" s="128">
        <v>110</v>
      </c>
      <c r="B111" s="332">
        <v>46145</v>
      </c>
      <c r="C111" s="311"/>
      <c r="D111" s="312" t="s">
        <v>388</v>
      </c>
      <c r="E111" s="166" t="s">
        <v>284</v>
      </c>
      <c r="F111" s="98"/>
      <c r="G111" s="98"/>
      <c r="H111" s="98"/>
    </row>
    <row r="112" spans="1:8">
      <c r="A112" s="128">
        <v>111</v>
      </c>
      <c r="B112" s="332">
        <v>46145</v>
      </c>
      <c r="C112" s="311"/>
      <c r="D112" s="312" t="s">
        <v>389</v>
      </c>
      <c r="E112" s="166" t="s">
        <v>284</v>
      </c>
      <c r="F112" s="98"/>
      <c r="G112" s="98"/>
      <c r="H112" s="98"/>
    </row>
    <row r="113" spans="1:8">
      <c r="A113" s="128">
        <v>112</v>
      </c>
      <c r="B113" s="332">
        <v>46145</v>
      </c>
      <c r="C113" s="311"/>
      <c r="D113" s="312" t="s">
        <v>390</v>
      </c>
      <c r="E113" s="166" t="s">
        <v>284</v>
      </c>
      <c r="F113" s="98"/>
      <c r="G113" s="98"/>
      <c r="H113" s="98"/>
    </row>
    <row r="114" spans="1:8">
      <c r="A114" s="128">
        <v>113</v>
      </c>
      <c r="B114" s="332">
        <v>46145</v>
      </c>
      <c r="C114" s="311"/>
      <c r="D114" s="312" t="s">
        <v>391</v>
      </c>
      <c r="E114" s="166" t="s">
        <v>284</v>
      </c>
      <c r="F114" s="98"/>
      <c r="G114" s="98"/>
      <c r="H114" s="98"/>
    </row>
    <row r="115" spans="1:8">
      <c r="A115" s="128">
        <v>114</v>
      </c>
      <c r="B115" s="332">
        <v>46145</v>
      </c>
      <c r="C115" s="311"/>
      <c r="D115" s="312" t="s">
        <v>392</v>
      </c>
      <c r="E115" s="166" t="s">
        <v>278</v>
      </c>
      <c r="F115" s="98"/>
      <c r="G115" s="98"/>
      <c r="H115" s="98"/>
    </row>
    <row r="116" spans="1:8">
      <c r="A116" s="128">
        <v>115</v>
      </c>
      <c r="B116" s="332">
        <v>46145</v>
      </c>
      <c r="C116" s="311"/>
      <c r="D116" s="312" t="s">
        <v>393</v>
      </c>
      <c r="E116" s="166" t="s">
        <v>278</v>
      </c>
      <c r="F116" s="98"/>
      <c r="G116" s="98"/>
      <c r="H116" s="98"/>
    </row>
    <row r="117" spans="1:8">
      <c r="A117" s="128">
        <v>116</v>
      </c>
      <c r="B117" s="332">
        <v>46145</v>
      </c>
      <c r="C117" s="330"/>
      <c r="D117" s="312" t="s">
        <v>394</v>
      </c>
      <c r="E117" s="334" t="s">
        <v>284</v>
      </c>
      <c r="F117" s="98"/>
      <c r="G117" s="98"/>
      <c r="H117" s="98"/>
    </row>
    <row r="118" spans="1:8">
      <c r="A118" s="128">
        <v>117</v>
      </c>
      <c r="B118" s="332">
        <v>46145</v>
      </c>
      <c r="C118" s="330"/>
      <c r="D118" s="312" t="s">
        <v>395</v>
      </c>
      <c r="E118" s="334" t="s">
        <v>284</v>
      </c>
      <c r="F118" s="98"/>
      <c r="G118" s="98"/>
      <c r="H118" s="98"/>
    </row>
    <row r="119" spans="1:8">
      <c r="A119" s="128">
        <v>118</v>
      </c>
      <c r="B119" s="332">
        <v>46145</v>
      </c>
      <c r="C119" s="330"/>
      <c r="D119" s="312" t="s">
        <v>396</v>
      </c>
      <c r="E119" s="334" t="s">
        <v>284</v>
      </c>
      <c r="F119" s="98"/>
      <c r="G119" s="98"/>
      <c r="H119" s="98"/>
    </row>
    <row r="120" spans="1:8">
      <c r="A120" s="128">
        <v>119</v>
      </c>
      <c r="B120" s="332">
        <v>46145</v>
      </c>
      <c r="C120" s="330"/>
      <c r="D120" s="312" t="s">
        <v>397</v>
      </c>
      <c r="E120" s="334" t="s">
        <v>284</v>
      </c>
      <c r="F120" s="98"/>
      <c r="G120" s="98"/>
      <c r="H120" s="98"/>
    </row>
    <row r="121" spans="1:8">
      <c r="A121" s="128">
        <v>120</v>
      </c>
      <c r="B121" s="332">
        <v>46145</v>
      </c>
      <c r="C121" s="330"/>
      <c r="D121" s="312" t="s">
        <v>398</v>
      </c>
      <c r="E121" s="334" t="s">
        <v>284</v>
      </c>
      <c r="F121" s="98"/>
      <c r="G121" s="98"/>
      <c r="H121" s="98"/>
    </row>
    <row r="122" spans="1:8">
      <c r="A122" s="128">
        <v>121</v>
      </c>
      <c r="B122" s="332">
        <v>46145</v>
      </c>
      <c r="C122" s="330"/>
      <c r="D122" s="312" t="s">
        <v>399</v>
      </c>
      <c r="E122" s="334" t="s">
        <v>284</v>
      </c>
      <c r="F122" s="98"/>
      <c r="G122" s="98"/>
      <c r="H122" s="98"/>
    </row>
    <row r="123" spans="1:8">
      <c r="A123" s="128">
        <v>122</v>
      </c>
      <c r="B123" s="332">
        <v>46145</v>
      </c>
      <c r="C123" s="330"/>
      <c r="D123" s="312" t="s">
        <v>400</v>
      </c>
      <c r="E123" s="334" t="s">
        <v>284</v>
      </c>
      <c r="F123" s="98"/>
      <c r="G123" s="98"/>
      <c r="H123" s="98"/>
    </row>
    <row r="124" spans="1:8">
      <c r="A124" s="128">
        <v>123</v>
      </c>
      <c r="B124" s="332">
        <v>46145</v>
      </c>
      <c r="C124" s="330"/>
      <c r="D124" s="312" t="s">
        <v>401</v>
      </c>
      <c r="E124" s="334" t="s">
        <v>284</v>
      </c>
      <c r="F124" s="98"/>
      <c r="G124" s="98"/>
      <c r="H124" s="98"/>
    </row>
    <row r="125" spans="1:8">
      <c r="A125" s="128">
        <v>124</v>
      </c>
      <c r="B125" s="332">
        <v>46145</v>
      </c>
      <c r="C125" s="330"/>
      <c r="D125" s="312" t="s">
        <v>402</v>
      </c>
      <c r="E125" s="334" t="s">
        <v>284</v>
      </c>
      <c r="F125" s="98"/>
      <c r="G125" s="98"/>
      <c r="H125" s="98"/>
    </row>
    <row r="126" spans="1:8">
      <c r="A126" s="128">
        <v>125</v>
      </c>
      <c r="B126" s="332">
        <v>46145</v>
      </c>
      <c r="C126" s="330"/>
      <c r="D126" s="312" t="s">
        <v>403</v>
      </c>
      <c r="E126" s="334" t="s">
        <v>284</v>
      </c>
      <c r="F126" s="98"/>
      <c r="G126" s="98"/>
      <c r="H126" s="98"/>
    </row>
    <row r="127" spans="1:8">
      <c r="A127" s="128">
        <v>126</v>
      </c>
      <c r="B127" s="332">
        <v>46145</v>
      </c>
      <c r="C127" s="330"/>
      <c r="D127" s="312" t="s">
        <v>404</v>
      </c>
      <c r="E127" s="334" t="s">
        <v>284</v>
      </c>
      <c r="F127" s="98"/>
      <c r="G127" s="98"/>
      <c r="H127" s="98"/>
    </row>
    <row r="128" spans="1:8">
      <c r="A128" s="128">
        <v>127</v>
      </c>
      <c r="B128" s="332">
        <v>46145</v>
      </c>
      <c r="C128" s="330"/>
      <c r="D128" s="312" t="s">
        <v>405</v>
      </c>
      <c r="E128" s="334" t="s">
        <v>284</v>
      </c>
      <c r="F128" s="98"/>
      <c r="G128" s="98"/>
      <c r="H128" s="98"/>
    </row>
    <row r="129" spans="1:8">
      <c r="A129" s="128">
        <v>128</v>
      </c>
      <c r="B129" s="332">
        <v>46145</v>
      </c>
      <c r="C129" s="330"/>
      <c r="D129" s="312" t="s">
        <v>406</v>
      </c>
      <c r="E129" s="334" t="s">
        <v>284</v>
      </c>
      <c r="F129" s="98"/>
      <c r="G129" s="98"/>
      <c r="H129" s="98"/>
    </row>
    <row r="130" spans="1:8">
      <c r="A130" s="128">
        <v>129</v>
      </c>
      <c r="B130" s="332">
        <v>46145</v>
      </c>
      <c r="C130" s="330"/>
      <c r="D130" s="312" t="s">
        <v>407</v>
      </c>
      <c r="E130" s="334" t="s">
        <v>284</v>
      </c>
      <c r="F130" s="98"/>
      <c r="G130" s="98"/>
      <c r="H130" s="98"/>
    </row>
    <row r="131" spans="1:8">
      <c r="A131" s="128">
        <v>130</v>
      </c>
      <c r="B131" s="332">
        <v>46145</v>
      </c>
      <c r="C131" s="330"/>
      <c r="D131" s="312" t="s">
        <v>408</v>
      </c>
      <c r="E131" s="334" t="s">
        <v>284</v>
      </c>
      <c r="F131" s="98"/>
      <c r="G131" s="98"/>
      <c r="H131" s="98"/>
    </row>
    <row r="132" spans="1:8">
      <c r="A132" s="128">
        <v>131</v>
      </c>
      <c r="B132" s="332">
        <v>46145</v>
      </c>
      <c r="C132" s="330"/>
      <c r="D132" s="312" t="s">
        <v>409</v>
      </c>
      <c r="E132" s="334" t="s">
        <v>284</v>
      </c>
      <c r="F132" s="98"/>
      <c r="G132" s="98"/>
      <c r="H132" s="98"/>
    </row>
    <row r="133" spans="1:8" ht="15.75">
      <c r="A133" s="128"/>
      <c r="B133" s="331"/>
      <c r="C133" s="311"/>
      <c r="D133" s="313" t="s">
        <v>410</v>
      </c>
      <c r="E133" s="166"/>
      <c r="F133" s="98"/>
      <c r="G133" s="98"/>
      <c r="H133" s="98"/>
    </row>
    <row r="134" spans="1:8">
      <c r="A134" s="128">
        <v>132</v>
      </c>
      <c r="B134" s="332">
        <v>46145</v>
      </c>
      <c r="C134" s="311"/>
      <c r="D134" s="312" t="s">
        <v>411</v>
      </c>
      <c r="E134" s="166" t="s">
        <v>278</v>
      </c>
      <c r="F134" s="98"/>
      <c r="G134" s="98"/>
      <c r="H134" s="98"/>
    </row>
    <row r="135" spans="1:8">
      <c r="A135" s="128">
        <v>133</v>
      </c>
      <c r="B135" s="332">
        <v>46145</v>
      </c>
      <c r="C135" s="330"/>
      <c r="D135" s="312" t="s">
        <v>412</v>
      </c>
      <c r="E135" s="334" t="s">
        <v>284</v>
      </c>
      <c r="F135" s="98"/>
      <c r="G135" s="98"/>
      <c r="H135" s="98"/>
    </row>
    <row r="136" spans="1:8">
      <c r="A136" s="128">
        <v>134</v>
      </c>
      <c r="B136" s="332">
        <v>46145</v>
      </c>
      <c r="C136" s="330"/>
      <c r="D136" s="312" t="s">
        <v>413</v>
      </c>
      <c r="E136" s="334" t="s">
        <v>284</v>
      </c>
      <c r="F136" s="98"/>
      <c r="G136" s="98"/>
      <c r="H136" s="98"/>
    </row>
    <row r="137" spans="1:8">
      <c r="A137" s="128">
        <v>135</v>
      </c>
      <c r="B137" s="332">
        <v>46145</v>
      </c>
      <c r="C137" s="330"/>
      <c r="D137" s="312" t="s">
        <v>414</v>
      </c>
      <c r="E137" s="334" t="s">
        <v>284</v>
      </c>
      <c r="F137" s="98"/>
      <c r="G137" s="98"/>
      <c r="H137" s="98"/>
    </row>
    <row r="138" spans="1:8">
      <c r="A138" s="128">
        <v>136</v>
      </c>
      <c r="B138" s="332">
        <v>46145</v>
      </c>
      <c r="C138" s="330"/>
      <c r="D138" s="312" t="s">
        <v>415</v>
      </c>
      <c r="E138" s="334" t="s">
        <v>284</v>
      </c>
      <c r="F138" s="98"/>
      <c r="G138" s="98"/>
      <c r="H138" s="98"/>
    </row>
    <row r="139" spans="1:8">
      <c r="A139" s="128">
        <v>137</v>
      </c>
      <c r="B139" s="332">
        <v>46145</v>
      </c>
      <c r="C139" s="330"/>
      <c r="D139" s="312" t="s">
        <v>416</v>
      </c>
      <c r="E139" s="334" t="s">
        <v>284</v>
      </c>
      <c r="F139" s="98"/>
      <c r="G139" s="98"/>
      <c r="H139" s="98"/>
    </row>
    <row r="140" spans="1:8">
      <c r="A140" s="128">
        <v>138</v>
      </c>
      <c r="B140" s="332">
        <v>46145</v>
      </c>
      <c r="C140" s="330"/>
      <c r="D140" s="312" t="s">
        <v>417</v>
      </c>
      <c r="E140" s="334" t="s">
        <v>284</v>
      </c>
      <c r="F140" s="98"/>
      <c r="G140" s="98"/>
      <c r="H140" s="98"/>
    </row>
    <row r="141" spans="1:8">
      <c r="A141" s="128">
        <v>139</v>
      </c>
      <c r="B141" s="332">
        <v>46145</v>
      </c>
      <c r="C141" s="311"/>
      <c r="D141" s="312" t="s">
        <v>418</v>
      </c>
      <c r="E141" s="166" t="s">
        <v>278</v>
      </c>
      <c r="F141" s="98"/>
      <c r="G141" s="98"/>
      <c r="H141" s="98"/>
    </row>
    <row r="142" spans="1:8">
      <c r="A142" s="128">
        <v>140</v>
      </c>
      <c r="B142" s="332">
        <v>46145</v>
      </c>
      <c r="C142" s="330"/>
      <c r="D142" s="312" t="s">
        <v>419</v>
      </c>
      <c r="E142" s="334" t="s">
        <v>284</v>
      </c>
      <c r="F142" s="98"/>
      <c r="G142" s="98"/>
      <c r="H142" s="98"/>
    </row>
    <row r="143" spans="1:8">
      <c r="A143" s="128">
        <v>141</v>
      </c>
      <c r="B143" s="332">
        <v>46145</v>
      </c>
      <c r="C143" s="330"/>
      <c r="D143" s="312" t="s">
        <v>195</v>
      </c>
      <c r="E143" s="334" t="s">
        <v>284</v>
      </c>
      <c r="F143" s="98"/>
      <c r="G143" s="98"/>
      <c r="H143" s="98"/>
    </row>
    <row r="144" spans="1:8">
      <c r="A144" s="128">
        <v>142</v>
      </c>
      <c r="B144" s="332">
        <v>46145</v>
      </c>
      <c r="C144" s="330"/>
      <c r="D144" s="312" t="s">
        <v>420</v>
      </c>
      <c r="E144" s="334" t="s">
        <v>284</v>
      </c>
      <c r="F144" s="98"/>
      <c r="G144" s="98"/>
      <c r="H144" s="98"/>
    </row>
    <row r="145" spans="1:8">
      <c r="A145" s="128">
        <v>143</v>
      </c>
      <c r="B145" s="332">
        <v>46145</v>
      </c>
      <c r="C145" s="330"/>
      <c r="D145" s="312" t="s">
        <v>421</v>
      </c>
      <c r="E145" s="334" t="s">
        <v>284</v>
      </c>
      <c r="F145" s="98"/>
      <c r="G145" s="98"/>
      <c r="H145" s="98"/>
    </row>
    <row r="146" spans="1:8">
      <c r="A146" s="128">
        <v>144</v>
      </c>
      <c r="B146" s="332">
        <v>46145</v>
      </c>
      <c r="C146" s="330"/>
      <c r="D146" s="312" t="s">
        <v>422</v>
      </c>
      <c r="E146" s="334" t="s">
        <v>284</v>
      </c>
      <c r="F146" s="98"/>
      <c r="G146" s="98"/>
      <c r="H146" s="98"/>
    </row>
    <row r="147" spans="1:8">
      <c r="A147" s="128">
        <v>145</v>
      </c>
      <c r="B147" s="332">
        <v>46145</v>
      </c>
      <c r="C147" s="330"/>
      <c r="D147" s="312" t="s">
        <v>207</v>
      </c>
      <c r="E147" s="334" t="s">
        <v>284</v>
      </c>
      <c r="F147" s="98"/>
      <c r="G147" s="98"/>
      <c r="H147" s="98"/>
    </row>
    <row r="148" spans="1:8">
      <c r="A148" s="128">
        <v>146</v>
      </c>
      <c r="B148" s="332">
        <v>46145</v>
      </c>
      <c r="C148" s="330"/>
      <c r="D148" s="312" t="s">
        <v>423</v>
      </c>
      <c r="E148" s="334" t="s">
        <v>284</v>
      </c>
      <c r="F148" s="98"/>
      <c r="G148" s="98"/>
      <c r="H148" s="98"/>
    </row>
    <row r="149" spans="1:8">
      <c r="A149" s="128">
        <v>147</v>
      </c>
      <c r="B149" s="332">
        <v>46145</v>
      </c>
      <c r="C149" s="330"/>
      <c r="D149" s="312" t="s">
        <v>424</v>
      </c>
      <c r="E149" s="334" t="s">
        <v>284</v>
      </c>
      <c r="F149" s="98"/>
      <c r="G149" s="98"/>
      <c r="H149" s="98"/>
    </row>
    <row r="150" spans="1:8" ht="15.75">
      <c r="A150" s="128"/>
      <c r="B150" s="331"/>
      <c r="C150" s="311"/>
      <c r="D150" s="313" t="s">
        <v>425</v>
      </c>
      <c r="E150" s="166"/>
      <c r="F150" s="98"/>
      <c r="G150" s="98"/>
      <c r="H150" s="98"/>
    </row>
    <row r="151" spans="1:8">
      <c r="A151" s="128">
        <v>148</v>
      </c>
      <c r="B151" s="332">
        <v>46145</v>
      </c>
      <c r="C151" s="311"/>
      <c r="D151" s="312" t="s">
        <v>426</v>
      </c>
      <c r="E151" s="166" t="s">
        <v>278</v>
      </c>
      <c r="F151" s="98"/>
      <c r="G151" s="98"/>
      <c r="H151" s="98"/>
    </row>
    <row r="152" spans="1:8">
      <c r="A152" s="128">
        <v>149</v>
      </c>
      <c r="B152" s="332">
        <v>46145</v>
      </c>
      <c r="C152" s="311"/>
      <c r="D152" s="312" t="s">
        <v>427</v>
      </c>
      <c r="E152" s="166" t="s">
        <v>284</v>
      </c>
      <c r="F152" s="98"/>
      <c r="G152" s="98"/>
      <c r="H152" s="98"/>
    </row>
    <row r="153" spans="1:8">
      <c r="A153" s="128">
        <v>150</v>
      </c>
      <c r="B153" s="332">
        <v>46145</v>
      </c>
      <c r="C153" s="311"/>
      <c r="D153" s="312" t="s">
        <v>428</v>
      </c>
      <c r="E153" s="166" t="s">
        <v>284</v>
      </c>
      <c r="F153" s="98"/>
      <c r="G153" s="98"/>
      <c r="H153" s="98"/>
    </row>
    <row r="154" spans="1:8">
      <c r="A154" s="128">
        <v>151</v>
      </c>
      <c r="B154" s="332">
        <v>46145</v>
      </c>
      <c r="C154" s="311"/>
      <c r="D154" s="312" t="s">
        <v>429</v>
      </c>
      <c r="E154" s="166" t="s">
        <v>284</v>
      </c>
      <c r="F154" s="98"/>
      <c r="G154" s="98"/>
      <c r="H154" s="98"/>
    </row>
    <row r="155" spans="1:8">
      <c r="A155" s="128">
        <v>152</v>
      </c>
      <c r="B155" s="332">
        <v>46145</v>
      </c>
      <c r="C155" s="311"/>
      <c r="D155" s="312" t="s">
        <v>430</v>
      </c>
      <c r="E155" s="166" t="s">
        <v>284</v>
      </c>
      <c r="F155" s="98"/>
      <c r="G155" s="98"/>
      <c r="H155" s="98"/>
    </row>
    <row r="156" spans="1:8">
      <c r="A156" s="128">
        <v>153</v>
      </c>
      <c r="B156" s="332">
        <v>46145</v>
      </c>
      <c r="C156" s="311"/>
      <c r="D156" s="312" t="s">
        <v>431</v>
      </c>
      <c r="E156" s="166" t="s">
        <v>284</v>
      </c>
      <c r="F156" s="98"/>
      <c r="G156" s="98"/>
      <c r="H156" s="98"/>
    </row>
    <row r="157" spans="1:8">
      <c r="A157" s="128">
        <v>154</v>
      </c>
      <c r="B157" s="332">
        <v>46145</v>
      </c>
      <c r="C157" s="311"/>
      <c r="D157" s="312" t="s">
        <v>432</v>
      </c>
      <c r="E157" s="166" t="s">
        <v>284</v>
      </c>
      <c r="F157" s="98"/>
      <c r="G157" s="98"/>
      <c r="H157" s="98"/>
    </row>
    <row r="158" spans="1:8">
      <c r="A158" s="128">
        <v>155</v>
      </c>
      <c r="B158" s="332">
        <v>46145</v>
      </c>
      <c r="C158" s="311"/>
      <c r="D158" s="312" t="s">
        <v>433</v>
      </c>
      <c r="E158" s="166" t="s">
        <v>284</v>
      </c>
      <c r="F158" s="98"/>
      <c r="G158" s="98"/>
      <c r="H158" s="98"/>
    </row>
    <row r="159" spans="1:8">
      <c r="A159" s="128">
        <v>156</v>
      </c>
      <c r="B159" s="332">
        <v>46145</v>
      </c>
      <c r="C159" s="311"/>
      <c r="D159" s="312" t="s">
        <v>434</v>
      </c>
      <c r="E159" s="166" t="s">
        <v>278</v>
      </c>
      <c r="F159" s="98"/>
      <c r="G159" s="98"/>
      <c r="H159" s="98"/>
    </row>
    <row r="160" spans="1:8">
      <c r="A160" s="128">
        <v>157</v>
      </c>
      <c r="B160" s="332">
        <v>46145</v>
      </c>
      <c r="C160" s="311"/>
      <c r="D160" s="312" t="s">
        <v>435</v>
      </c>
      <c r="E160" s="166" t="s">
        <v>278</v>
      </c>
      <c r="F160" s="98"/>
      <c r="G160" s="98"/>
      <c r="H160" s="98"/>
    </row>
    <row r="161" spans="1:8">
      <c r="A161" s="128">
        <v>158</v>
      </c>
      <c r="B161" s="332">
        <v>46145</v>
      </c>
      <c r="C161" s="311"/>
      <c r="D161" s="312" t="s">
        <v>436</v>
      </c>
      <c r="E161" s="166" t="s">
        <v>284</v>
      </c>
      <c r="F161" s="98"/>
      <c r="G161" s="98"/>
      <c r="H161" s="98"/>
    </row>
    <row r="162" spans="1:8">
      <c r="A162" s="128">
        <v>159</v>
      </c>
      <c r="B162" s="332">
        <v>46145</v>
      </c>
      <c r="C162" s="311"/>
      <c r="D162" s="312" t="s">
        <v>437</v>
      </c>
      <c r="E162" s="166" t="s">
        <v>284</v>
      </c>
      <c r="F162" s="98"/>
      <c r="G162" s="98"/>
      <c r="H162" s="98"/>
    </row>
    <row r="163" spans="1:8">
      <c r="A163" s="128">
        <v>160</v>
      </c>
      <c r="B163" s="332">
        <v>46145</v>
      </c>
      <c r="C163" s="311"/>
      <c r="D163" s="312" t="s">
        <v>438</v>
      </c>
      <c r="E163" s="166" t="s">
        <v>284</v>
      </c>
      <c r="F163" s="98"/>
      <c r="G163" s="98"/>
      <c r="H163" s="98"/>
    </row>
    <row r="164" spans="1:8">
      <c r="A164" s="128">
        <v>161</v>
      </c>
      <c r="B164" s="332">
        <v>46145</v>
      </c>
      <c r="C164" s="311"/>
      <c r="D164" s="312" t="s">
        <v>439</v>
      </c>
      <c r="E164" s="166" t="s">
        <v>284</v>
      </c>
      <c r="F164" s="98"/>
      <c r="G164" s="98"/>
      <c r="H164" s="98"/>
    </row>
    <row r="165" spans="1:8">
      <c r="A165" s="128">
        <v>162</v>
      </c>
      <c r="B165" s="332">
        <v>46145</v>
      </c>
      <c r="C165" s="311"/>
      <c r="D165" s="312" t="s">
        <v>440</v>
      </c>
      <c r="E165" s="166" t="s">
        <v>284</v>
      </c>
      <c r="F165" s="98"/>
      <c r="G165" s="98"/>
      <c r="H165" s="98"/>
    </row>
    <row r="166" spans="1:8">
      <c r="A166" s="128">
        <v>163</v>
      </c>
      <c r="B166" s="332">
        <v>46145</v>
      </c>
      <c r="C166" s="311"/>
      <c r="D166" s="312" t="s">
        <v>441</v>
      </c>
      <c r="E166" s="166" t="s">
        <v>284</v>
      </c>
      <c r="F166" s="98"/>
      <c r="G166" s="98"/>
      <c r="H166" s="98"/>
    </row>
    <row r="167" spans="1:8">
      <c r="A167" s="128">
        <v>164</v>
      </c>
      <c r="B167" s="332">
        <v>46145</v>
      </c>
      <c r="C167" s="311"/>
      <c r="D167" s="312" t="s">
        <v>442</v>
      </c>
      <c r="E167" s="166" t="s">
        <v>278</v>
      </c>
      <c r="F167" s="98"/>
      <c r="G167" s="98"/>
      <c r="H167" s="98"/>
    </row>
    <row r="168" spans="1:8">
      <c r="A168" s="128">
        <v>165</v>
      </c>
      <c r="B168" s="332">
        <v>46145</v>
      </c>
      <c r="C168" s="311"/>
      <c r="D168" s="312" t="s">
        <v>443</v>
      </c>
      <c r="E168" s="166" t="s">
        <v>284</v>
      </c>
      <c r="F168" s="98"/>
      <c r="G168" s="98"/>
      <c r="H168" s="98"/>
    </row>
    <row r="169" spans="1:8">
      <c r="A169" s="128">
        <v>166</v>
      </c>
      <c r="B169" s="332">
        <v>46145</v>
      </c>
      <c r="C169" s="311"/>
      <c r="D169" s="312" t="s">
        <v>444</v>
      </c>
      <c r="E169" s="166" t="s">
        <v>284</v>
      </c>
      <c r="F169" s="98"/>
      <c r="G169" s="98"/>
      <c r="H169" s="98"/>
    </row>
    <row r="170" spans="1:8">
      <c r="A170" s="128">
        <v>167</v>
      </c>
      <c r="B170" s="332">
        <v>46145</v>
      </c>
      <c r="C170" s="311"/>
      <c r="D170" s="312" t="s">
        <v>445</v>
      </c>
      <c r="E170" s="166" t="s">
        <v>284</v>
      </c>
      <c r="F170" s="98"/>
      <c r="G170" s="98"/>
      <c r="H170" s="98"/>
    </row>
    <row r="171" spans="1:8">
      <c r="A171" s="128">
        <v>168</v>
      </c>
      <c r="B171" s="332">
        <v>46145</v>
      </c>
      <c r="C171" s="311"/>
      <c r="D171" s="312" t="s">
        <v>446</v>
      </c>
      <c r="E171" s="166" t="s">
        <v>284</v>
      </c>
      <c r="F171" s="98"/>
      <c r="G171" s="98"/>
      <c r="H171" s="98"/>
    </row>
    <row r="172" spans="1:8">
      <c r="A172" s="128">
        <v>169</v>
      </c>
      <c r="B172" s="332">
        <v>46145</v>
      </c>
      <c r="C172" s="311"/>
      <c r="D172" s="312" t="s">
        <v>447</v>
      </c>
      <c r="E172" s="166" t="s">
        <v>278</v>
      </c>
      <c r="F172" s="98"/>
      <c r="G172" s="98"/>
      <c r="H172" s="98"/>
    </row>
    <row r="173" spans="1:8">
      <c r="A173" s="128">
        <v>170</v>
      </c>
      <c r="B173" s="332">
        <v>46145</v>
      </c>
      <c r="C173" s="311"/>
      <c r="D173" s="312" t="s">
        <v>448</v>
      </c>
      <c r="E173" s="166" t="s">
        <v>278</v>
      </c>
      <c r="F173" s="98"/>
      <c r="G173" s="98"/>
      <c r="H173" s="98"/>
    </row>
    <row r="174" spans="1:8">
      <c r="A174" s="128">
        <v>171</v>
      </c>
      <c r="B174" s="332">
        <v>46145</v>
      </c>
      <c r="C174" s="311"/>
      <c r="D174" s="312" t="s">
        <v>449</v>
      </c>
      <c r="E174" s="166"/>
      <c r="F174" s="98"/>
      <c r="G174" s="98"/>
      <c r="H174" s="98"/>
    </row>
    <row r="175" spans="1:8">
      <c r="A175" s="128">
        <v>172</v>
      </c>
      <c r="B175" s="332">
        <v>46145</v>
      </c>
      <c r="C175" s="311"/>
      <c r="D175" s="312" t="s">
        <v>450</v>
      </c>
      <c r="E175" s="166"/>
      <c r="F175" s="98"/>
      <c r="G175" s="98"/>
      <c r="H175" s="98"/>
    </row>
    <row r="176" spans="1:8">
      <c r="A176" s="128">
        <v>173</v>
      </c>
      <c r="B176" s="332">
        <v>46145</v>
      </c>
      <c r="C176" s="311"/>
      <c r="D176" s="312" t="s">
        <v>451</v>
      </c>
      <c r="E176" s="166"/>
      <c r="F176" s="98"/>
      <c r="G176" s="98"/>
      <c r="H176" s="98"/>
    </row>
    <row r="177" spans="1:8">
      <c r="A177" s="128">
        <v>174</v>
      </c>
      <c r="B177" s="332">
        <v>46145</v>
      </c>
      <c r="C177" s="311"/>
      <c r="D177" s="312" t="s">
        <v>452</v>
      </c>
      <c r="E177" s="166"/>
      <c r="F177" s="98"/>
      <c r="G177" s="98"/>
      <c r="H177" s="98"/>
    </row>
    <row r="178" spans="1:8">
      <c r="A178" s="128">
        <v>175</v>
      </c>
      <c r="B178" s="332">
        <v>46145</v>
      </c>
      <c r="C178" s="311"/>
      <c r="D178" s="312" t="s">
        <v>453</v>
      </c>
      <c r="E178" s="166"/>
      <c r="F178" s="98"/>
      <c r="G178" s="98"/>
      <c r="H178" s="98"/>
    </row>
    <row r="179" spans="1:8">
      <c r="A179" s="128">
        <v>176</v>
      </c>
      <c r="B179" s="332">
        <v>46145</v>
      </c>
      <c r="C179" s="311"/>
      <c r="D179" s="312" t="s">
        <v>454</v>
      </c>
      <c r="E179" s="166"/>
      <c r="F179" s="98"/>
      <c r="G179" s="98"/>
      <c r="H179" s="98"/>
    </row>
    <row r="180" spans="1:8">
      <c r="A180" s="128">
        <v>177</v>
      </c>
      <c r="B180" s="332">
        <v>46145</v>
      </c>
      <c r="C180" s="311"/>
      <c r="D180" s="312" t="s">
        <v>455</v>
      </c>
      <c r="E180" s="166"/>
      <c r="F180" s="98"/>
      <c r="G180" s="98"/>
      <c r="H180" s="98"/>
    </row>
    <row r="181" spans="1:8">
      <c r="A181" s="128">
        <v>178</v>
      </c>
      <c r="B181" s="332">
        <v>46145</v>
      </c>
      <c r="C181" s="311"/>
      <c r="D181" s="312" t="s">
        <v>456</v>
      </c>
      <c r="E181" s="166"/>
      <c r="F181" s="98"/>
      <c r="G181" s="98"/>
      <c r="H181" s="98"/>
    </row>
    <row r="182" spans="1:8">
      <c r="A182" s="128">
        <v>179</v>
      </c>
      <c r="B182" s="332">
        <v>46145</v>
      </c>
      <c r="C182" s="311"/>
      <c r="D182" s="312" t="s">
        <v>457</v>
      </c>
      <c r="E182" s="166"/>
      <c r="F182" s="98"/>
      <c r="G182" s="98"/>
      <c r="H182" s="98"/>
    </row>
    <row r="183" spans="1:8">
      <c r="A183" s="128">
        <v>180</v>
      </c>
      <c r="B183" s="332">
        <v>46145</v>
      </c>
      <c r="C183" s="311"/>
      <c r="D183" s="312" t="s">
        <v>438</v>
      </c>
      <c r="E183" s="166" t="s">
        <v>278</v>
      </c>
      <c r="F183" s="98"/>
      <c r="G183" s="98"/>
      <c r="H183" s="98"/>
    </row>
  </sheetData>
  <autoFilter ref="A1:H183" xr:uid="{D49BC0C4-7E0E-4675-B0E0-1D1810C0AB34}"/>
  <hyperlinks>
    <hyperlink ref="D2" r:id="rId1" xr:uid="{95904869-23EF-4E17-AF54-9BCFF840053B}"/>
    <hyperlink ref="D3" r:id="rId2" xr:uid="{80EBAD35-4DDD-4CEE-94DB-FF156F4C2FF6}"/>
    <hyperlink ref="D4" r:id="rId3" xr:uid="{90670AE2-8274-4AD2-B601-0D6EFE25E4CE}"/>
    <hyperlink ref="D5" r:id="rId4" xr:uid="{ECC0F9C6-F3DD-417F-B42C-0903ACBE0FF3}"/>
    <hyperlink ref="D6" r:id="rId5" xr:uid="{1C29C20B-ADF8-42C2-939E-0B780588A0C0}"/>
    <hyperlink ref="D7" r:id="rId6" xr:uid="{B0118EFC-63E9-4DC3-AA58-74094B7F2694}"/>
    <hyperlink ref="D8" r:id="rId7" xr:uid="{7D5159D6-41CC-406E-A83F-A02FDD24D1B4}"/>
    <hyperlink ref="D9" r:id="rId8" xr:uid="{30D7D96B-0CEF-4A0E-AA61-470649872542}"/>
    <hyperlink ref="D10" r:id="rId9" xr:uid="{2E54E9E0-51CC-475E-9B03-CEA375B55D08}"/>
    <hyperlink ref="D11" r:id="rId10" xr:uid="{3ED43169-2212-478D-8E75-C9AA07C79EC0}"/>
    <hyperlink ref="D12" r:id="rId11" xr:uid="{1D03D906-E75A-4FE5-BB9F-E63B77288678}"/>
    <hyperlink ref="D13" r:id="rId12" xr:uid="{8060F2CE-3BE6-4E9C-8E51-BEEF5BAA47C3}"/>
    <hyperlink ref="D14" r:id="rId13" xr:uid="{BE453301-7308-49AD-8DA2-7206AC1B5198}"/>
    <hyperlink ref="D15" r:id="rId14" xr:uid="{C261E143-6E2B-4608-B2AD-07A3B43CCFFE}"/>
    <hyperlink ref="D16" r:id="rId15" xr:uid="{75DDB6EA-B61C-46A8-ACB6-CFA279407DF4}"/>
    <hyperlink ref="D17" r:id="rId16" xr:uid="{8D923753-9069-4793-A1DC-398480377444}"/>
    <hyperlink ref="D18" r:id="rId17" xr:uid="{AB2026C2-B771-4C07-89F3-5B3AC8E87C00}"/>
    <hyperlink ref="D19" r:id="rId18" xr:uid="{D9A3EDE4-FBD5-419F-AB18-C00CA71111B6}"/>
    <hyperlink ref="D20" r:id="rId19" xr:uid="{FCEF5847-FD5E-4750-9177-DF38E27B8236}"/>
    <hyperlink ref="D21" r:id="rId20" xr:uid="{92E15DAB-127E-44BD-9C85-10065A47BB30}"/>
    <hyperlink ref="D22" r:id="rId21" xr:uid="{26073F31-4610-4BBE-8734-D6CF1D818EF8}"/>
    <hyperlink ref="D23" r:id="rId22" xr:uid="{59B8502C-55EA-47D6-9BC6-C72A2F7ED944}"/>
    <hyperlink ref="D24" r:id="rId23" xr:uid="{03F26894-8901-49D9-8B26-8BD909E5C9FE}"/>
    <hyperlink ref="D25" r:id="rId24" xr:uid="{1DECDEE4-743E-43A4-919A-0DC7C05E8A7B}"/>
    <hyperlink ref="D26" r:id="rId25" xr:uid="{D3D5872B-6ED0-4998-84ED-7D514D8A7C5E}"/>
    <hyperlink ref="D27" r:id="rId26" xr:uid="{6A9DA9B6-E340-45DD-A896-2EEDA2A85BAB}"/>
    <hyperlink ref="D28" r:id="rId27" xr:uid="{AE8F28E3-493B-4A78-A75A-17E9BB8D6D63}"/>
    <hyperlink ref="D29" r:id="rId28" xr:uid="{FA3A0A71-535A-480C-B428-9E0EDC5D30EB}"/>
    <hyperlink ref="D30" r:id="rId29" xr:uid="{3C9FBD7B-2C3A-41C5-A69B-576E1606F8A2}"/>
    <hyperlink ref="D31" r:id="rId30" xr:uid="{A746BAAA-7AEE-4AEF-9DE3-2D219BEFBA22}"/>
    <hyperlink ref="D32" r:id="rId31" xr:uid="{8BE8682E-F290-46B7-939A-DDD1251C08C4}"/>
    <hyperlink ref="D33" r:id="rId32" xr:uid="{7AD867AF-53CA-4FA0-962A-9E1CF64C7118}"/>
    <hyperlink ref="D34" r:id="rId33" xr:uid="{2FB08691-28C8-4095-B58C-131D4ECAC75E}"/>
    <hyperlink ref="D35" r:id="rId34" xr:uid="{3624B891-6AC8-49B4-8556-CD3BD3BA6A61}"/>
    <hyperlink ref="D36" r:id="rId35" xr:uid="{593976C9-E420-4355-B4F7-44438CF571F1}"/>
    <hyperlink ref="D37" r:id="rId36" xr:uid="{6C6DE142-EE80-4CEB-95FE-2A9EFE832BE3}"/>
    <hyperlink ref="D38" r:id="rId37" xr:uid="{94C0A7EA-AD7B-4FEA-BD92-A98BDB585EEA}"/>
    <hyperlink ref="D39" r:id="rId38" xr:uid="{6984C853-E4E4-4D53-93E3-A233F74DC231}"/>
    <hyperlink ref="D40" r:id="rId39" xr:uid="{C54E8055-76C4-4797-BEEB-B0B1E251E47E}"/>
    <hyperlink ref="D41" r:id="rId40" xr:uid="{0DCE9550-0D1B-4F7A-BA40-675B6EF3CE36}"/>
    <hyperlink ref="D42" r:id="rId41" xr:uid="{B09DCDC4-C697-4D0C-8F14-F4C1EBC01AA1}"/>
    <hyperlink ref="D43" r:id="rId42" xr:uid="{940C52F9-786B-4DB2-8558-A27F6AA4BAC1}"/>
    <hyperlink ref="D44" r:id="rId43" xr:uid="{50FDAB62-C9DE-467D-B1DF-5D3ECDFFA698}"/>
    <hyperlink ref="D45" r:id="rId44" xr:uid="{8D64A5B9-DBAA-4DFD-9EAA-63E8D1EEE368}"/>
    <hyperlink ref="D46" r:id="rId45" xr:uid="{0E4E4D09-FE92-4450-A1A3-3DEE252BC1CA}"/>
    <hyperlink ref="D47" r:id="rId46" xr:uid="{15442B7F-16E5-4601-B2EC-433B52D8FE44}"/>
    <hyperlink ref="D48" r:id="rId47" xr:uid="{4D935FE5-28F1-42D0-895E-8B8340ED3145}"/>
    <hyperlink ref="D49" r:id="rId48" xr:uid="{2925280E-057E-454B-8B31-5E4E7EF44ABC}"/>
    <hyperlink ref="D50" r:id="rId49" xr:uid="{9A7F7744-6C90-4182-A819-CEE0D72F1F43}"/>
    <hyperlink ref="D51" r:id="rId50" xr:uid="{E548AA37-5481-4853-AAE2-C9AAF97B4F85}"/>
    <hyperlink ref="D52" r:id="rId51" xr:uid="{DDCDD7EB-92D4-46BB-8802-A940044ED078}"/>
    <hyperlink ref="D53" r:id="rId52" xr:uid="{3A303F2B-BE70-405C-BCFF-AFC527152585}"/>
    <hyperlink ref="D54" r:id="rId53" xr:uid="{345167A9-E2E9-4E96-A730-F34AF8EB0792}"/>
    <hyperlink ref="D55" r:id="rId54" xr:uid="{E428EAD2-7AED-4805-B740-E843C06228A7}"/>
    <hyperlink ref="D56" r:id="rId55" xr:uid="{7E1ABFBE-E025-406F-9B8D-0D46AE9DE95D}"/>
    <hyperlink ref="D57" r:id="rId56" xr:uid="{C50E4F6F-9000-4DDC-B166-FA0C35B30723}"/>
    <hyperlink ref="D58" r:id="rId57" xr:uid="{2137E765-BF66-4BAE-8977-F5EAA07D3F92}"/>
    <hyperlink ref="D59" r:id="rId58" xr:uid="{4979B086-ED86-43F1-83FE-2B24F17A5F7F}"/>
    <hyperlink ref="D60" r:id="rId59" xr:uid="{4E6492E6-B0D4-4C0F-8169-BAC889371D95}"/>
    <hyperlink ref="D61" r:id="rId60" xr:uid="{03DD57CE-7E84-462E-BCE4-4815EF5878FF}"/>
    <hyperlink ref="D62" r:id="rId61" xr:uid="{F442DA4C-54B2-4DBF-8532-9FC003473DCF}"/>
    <hyperlink ref="D63" r:id="rId62" xr:uid="{7567993E-7BC9-4066-B686-E523DED5A546}"/>
    <hyperlink ref="D64" r:id="rId63" xr:uid="{4F35AF67-9B2B-445A-B461-A45B667EA4CA}"/>
    <hyperlink ref="D65" r:id="rId64" xr:uid="{47BC9539-BDF7-4FA6-8C7D-27F76EC545BE}"/>
    <hyperlink ref="D66" r:id="rId65" xr:uid="{54295F69-FFB4-4DDC-8829-02073549D733}"/>
    <hyperlink ref="D67" r:id="rId66" xr:uid="{BA82237C-C1DC-476F-AFB1-F5FD18B8C9C6}"/>
    <hyperlink ref="D68" r:id="rId67" xr:uid="{6453D2B2-7AC2-41AA-BEAB-79688159C87B}"/>
    <hyperlink ref="D69" r:id="rId68" xr:uid="{9EF91CA3-C268-4CFC-B41C-BEBCD1703480}"/>
    <hyperlink ref="D70" r:id="rId69" xr:uid="{382D2D09-AFE5-4E43-9736-AC5BD7FE6FFE}"/>
    <hyperlink ref="D71" r:id="rId70" xr:uid="{98D88747-7378-4918-93C4-7375FBF56873}"/>
    <hyperlink ref="D72" r:id="rId71" xr:uid="{7FD80FDD-49DA-49E5-A6D6-6EB70FE6B71C}"/>
    <hyperlink ref="D73" r:id="rId72" xr:uid="{F0E83401-E5E9-42F5-B998-D0A6AA9FE1E5}"/>
    <hyperlink ref="D74" r:id="rId73" xr:uid="{08FCA80D-6039-46C1-AC78-B35DCFB65310}"/>
    <hyperlink ref="D75" r:id="rId74" xr:uid="{E3157589-186F-438D-88F9-8D5A3D4F471E}"/>
    <hyperlink ref="D76" r:id="rId75" xr:uid="{9473BD02-3F0B-4495-8736-8E9E4F2C0DB8}"/>
    <hyperlink ref="D77" r:id="rId76" xr:uid="{D43A01B7-6AF3-4D10-A8C2-2C1FEED2F524}"/>
    <hyperlink ref="D78" r:id="rId77" xr:uid="{AFC62405-9EF6-4374-9B8B-3A56B65C20A0}"/>
    <hyperlink ref="D79" r:id="rId78" xr:uid="{0452EA4A-4A87-43C1-9402-B36F1D0559FD}"/>
    <hyperlink ref="D80" r:id="rId79" xr:uid="{DB0F7F5C-3B41-4CA1-8EAA-094AD5B34B16}"/>
    <hyperlink ref="D81" r:id="rId80" xr:uid="{A398C292-AC94-4B4B-9D3E-6CCF209BFC8D}"/>
    <hyperlink ref="D82" r:id="rId81" xr:uid="{3499953A-5C5B-4770-AD63-132C5BA40C78}"/>
    <hyperlink ref="D83" r:id="rId82" xr:uid="{4C3377E8-A0EE-4DCD-9931-DA155972B71E}"/>
    <hyperlink ref="D84" r:id="rId83" xr:uid="{4147B0A8-37C5-4320-A7EB-9AF974F45D41}"/>
    <hyperlink ref="D85" r:id="rId84" xr:uid="{A551C472-1AD5-4F31-959B-BB20801845D3}"/>
    <hyperlink ref="D86" r:id="rId85" xr:uid="{5C56542E-B32F-411C-A169-8F56DECCA28C}"/>
    <hyperlink ref="D87" r:id="rId86" xr:uid="{B282E56F-715E-4F52-BFD9-42DCF757677C}"/>
    <hyperlink ref="D88" r:id="rId87" xr:uid="{65E02EF3-0F61-4BF9-83E4-2ECB3BF5F598}"/>
    <hyperlink ref="D89" r:id="rId88" xr:uid="{60FD7577-DABF-47E3-8567-6C20AD494FBD}"/>
    <hyperlink ref="D90" r:id="rId89" xr:uid="{13AD9D33-E4AC-4DB4-8B6C-B680B38D5F5F}"/>
    <hyperlink ref="D91" r:id="rId90" xr:uid="{74BD435A-8EAA-432C-A609-DCA0D47DD218}"/>
    <hyperlink ref="D92" r:id="rId91" xr:uid="{33837A72-4CF9-4C80-8754-EB7786ED7006}"/>
    <hyperlink ref="D93" r:id="rId92" xr:uid="{229D1017-00A5-476F-951F-F7EA5730C8E0}"/>
    <hyperlink ref="D94" r:id="rId93" xr:uid="{4D6F711B-C9DE-480F-B330-093AEFF7A4B5}"/>
    <hyperlink ref="D95" r:id="rId94" xr:uid="{1960C7CE-F5B5-400F-8228-BA7D1ADCF227}"/>
    <hyperlink ref="D96" r:id="rId95" xr:uid="{DA0D899B-A4F8-4B07-8384-75B953896D64}"/>
    <hyperlink ref="D97" r:id="rId96" xr:uid="{640CAED6-2C26-4AA8-A994-9E9089037E41}"/>
    <hyperlink ref="D98" r:id="rId97" xr:uid="{9C612040-B81C-474A-B46C-23940F41EF3A}"/>
    <hyperlink ref="D99" r:id="rId98" xr:uid="{6FFEBE95-E06B-4759-8AF6-7CE31D5DFAF8}"/>
    <hyperlink ref="D100" r:id="rId99" xr:uid="{F350B0B9-30C9-45E0-9FD7-E0FFB133910E}"/>
    <hyperlink ref="D101" r:id="rId100" xr:uid="{F227B8A7-BA39-4B49-AD8A-21DB686002BA}"/>
    <hyperlink ref="D102" r:id="rId101" xr:uid="{788B06AC-7244-4D07-B195-6AC2948647FA}"/>
    <hyperlink ref="D103" r:id="rId102" xr:uid="{CBF9A02D-6646-4042-82F6-FB1884F7F696}"/>
    <hyperlink ref="D104" r:id="rId103" xr:uid="{0C755321-9C1F-4985-8AE8-3C13BBC6DF11}"/>
    <hyperlink ref="D105" r:id="rId104" xr:uid="{C348767B-48F0-465F-A8F7-3CC9B844D39A}"/>
    <hyperlink ref="D106" r:id="rId105" xr:uid="{931DB895-A740-48ED-B87F-4CFD65271563}"/>
    <hyperlink ref="D107" r:id="rId106" xr:uid="{5C237C73-0CF6-4239-B10C-DBD67866AD1F}"/>
    <hyperlink ref="D108" r:id="rId107" xr:uid="{4BE7243D-AA4E-47BC-9374-FCB64060553A}"/>
    <hyperlink ref="D109" r:id="rId108" xr:uid="{64284E42-63A1-4031-B7A2-8300302ED1FD}"/>
    <hyperlink ref="D110" r:id="rId109" xr:uid="{6A4DE0AA-8923-40B1-80B6-DEBA6E687278}"/>
    <hyperlink ref="D111" r:id="rId110" xr:uid="{468D0C30-C589-4ECF-8CE0-A1FDBED066E0}"/>
    <hyperlink ref="D112" r:id="rId111" xr:uid="{30E1EF8C-02FB-4D23-A508-35619759BE61}"/>
    <hyperlink ref="D113" r:id="rId112" xr:uid="{44763F6E-5955-41B9-8BB4-D24AF0E9D465}"/>
    <hyperlink ref="D114" r:id="rId113" xr:uid="{679E4D45-6E97-4EDA-8C31-03A66539DB39}"/>
    <hyperlink ref="D115" r:id="rId114" xr:uid="{E6BE05D4-4E50-4509-A02D-45C55305A21C}"/>
    <hyperlink ref="D116" r:id="rId115" xr:uid="{F75F214B-BBA2-4115-BE43-10FBCD018CA0}"/>
    <hyperlink ref="D117" r:id="rId116" xr:uid="{FBC83FEA-DDEA-48F8-A05B-FF2C0A31C2FF}"/>
    <hyperlink ref="D118" r:id="rId117" xr:uid="{9EA737BE-40C6-4ACC-9236-FA80A9CCF9FC}"/>
    <hyperlink ref="D119" r:id="rId118" xr:uid="{6CA5F8EF-162A-4DFA-8EFE-C021F7CC4204}"/>
    <hyperlink ref="D120" r:id="rId119" xr:uid="{5F11AB97-174F-474C-964D-261ADB79ACAE}"/>
    <hyperlink ref="D121" r:id="rId120" xr:uid="{BD7A7EB7-2BCE-4848-8E30-01344132EDED}"/>
    <hyperlink ref="D122" r:id="rId121" xr:uid="{6A637C9E-DF64-4718-B228-E245C5A3E09E}"/>
    <hyperlink ref="D123" r:id="rId122" xr:uid="{ACFD2997-22B3-4270-A03E-B0E8CCBCCD12}"/>
    <hyperlink ref="D124" r:id="rId123" xr:uid="{29B22BFD-1860-4ECA-AE4B-F6BE4D6817E8}"/>
    <hyperlink ref="D125" r:id="rId124" xr:uid="{C37D1517-5443-46A2-907B-0BAA44B9719D}"/>
    <hyperlink ref="D126" r:id="rId125" xr:uid="{0AA336E9-6BBA-4BCE-83EF-86F46AD0B6B8}"/>
    <hyperlink ref="D127" r:id="rId126" xr:uid="{75C0F5E1-62D2-4465-A4AB-BFB7B7CE4CFE}"/>
    <hyperlink ref="D128" r:id="rId127" xr:uid="{CB9D409B-7F68-49BC-BD5E-5B225E337F47}"/>
    <hyperlink ref="D129" r:id="rId128" xr:uid="{43D08EB2-AC6A-432A-9BB2-9132FE167505}"/>
    <hyperlink ref="D130" r:id="rId129" xr:uid="{235773E4-EDC9-4FAC-B1DA-021CCBEFA4F4}"/>
    <hyperlink ref="D131" r:id="rId130" xr:uid="{AB9BF3D1-0638-485F-BA2A-F63BC6E61DC5}"/>
    <hyperlink ref="D132" r:id="rId131" xr:uid="{4A4E89A2-04FB-4230-8E13-A12A7EF3CD0F}"/>
    <hyperlink ref="D134" r:id="rId132" xr:uid="{32AFA9E7-68EA-4839-BA4B-4B9946C832DA}"/>
    <hyperlink ref="D135" r:id="rId133" xr:uid="{FA476E6A-3326-4A8A-9E58-44B3CE8688C8}"/>
    <hyperlink ref="D136" r:id="rId134" xr:uid="{8C47773C-E407-4686-BF8A-CB762B61B9D8}"/>
    <hyperlink ref="D137" r:id="rId135" xr:uid="{D17292E0-E039-4F39-BE7D-732B8169245E}"/>
    <hyperlink ref="D138" r:id="rId136" xr:uid="{02DFFD0D-E913-482D-94C5-FF9483AA21FA}"/>
    <hyperlink ref="D139" r:id="rId137" xr:uid="{EB604C64-6077-46ED-9F2C-C4C96E29521E}"/>
    <hyperlink ref="D140" r:id="rId138" xr:uid="{3C3C00C7-CBC8-4060-A05E-45361BF783C6}"/>
    <hyperlink ref="D141" r:id="rId139" xr:uid="{CE02B76D-5B75-4605-B59C-AB2EEC3384AA}"/>
    <hyperlink ref="D142" r:id="rId140" xr:uid="{D2772412-3547-4C2F-A918-990F4A406C3C}"/>
    <hyperlink ref="D143" r:id="rId141" xr:uid="{AAC41D2A-D20D-48A8-9610-7E976338BADA}"/>
    <hyperlink ref="D144" r:id="rId142" xr:uid="{BD7A9C11-257B-43C3-80E0-045847C456A6}"/>
    <hyperlink ref="D145" r:id="rId143" xr:uid="{5C070867-5259-4344-BEDF-A5ED79276F29}"/>
    <hyperlink ref="D146" r:id="rId144" xr:uid="{EB2A7006-80B0-4471-8ACD-EF8FE19CC146}"/>
    <hyperlink ref="D147" r:id="rId145" xr:uid="{9B953A53-3B3D-4009-B3CF-91612633B94A}"/>
    <hyperlink ref="D148" r:id="rId146" xr:uid="{12938579-BBD3-4093-8C14-0E2A8E0018B5}"/>
    <hyperlink ref="D149" r:id="rId147" xr:uid="{410319B9-FE8C-4508-896B-2B1C36ADF75B}"/>
    <hyperlink ref="D151" r:id="rId148" xr:uid="{B5C1607C-F798-42A6-9916-679A1E9867BA}"/>
    <hyperlink ref="D152" r:id="rId149" xr:uid="{93A02B55-B66F-4ACB-8EFA-361E3A544CB4}"/>
    <hyperlink ref="D153" r:id="rId150" xr:uid="{5BBD3F62-E701-42B6-BB9D-9905DF43AFE1}"/>
    <hyperlink ref="D154" r:id="rId151" xr:uid="{72622990-E232-478B-839B-264B755A77F2}"/>
    <hyperlink ref="D155" r:id="rId152" xr:uid="{AB6EE4CC-E36D-4E69-939C-49E60BA9F485}"/>
    <hyperlink ref="D156" r:id="rId153" xr:uid="{6C788C35-04E3-4AAF-AF1B-562E53C504BD}"/>
    <hyperlink ref="D157" r:id="rId154" xr:uid="{1AF9EFB5-E26F-4282-9488-59FC8785A733}"/>
    <hyperlink ref="D158" r:id="rId155" xr:uid="{B1CFA167-747C-4A20-9729-1839FE34B476}"/>
    <hyperlink ref="D159" r:id="rId156" xr:uid="{69C46CAF-BB3D-425A-BE11-E5428D2DAB52}"/>
    <hyperlink ref="D160" r:id="rId157" xr:uid="{B2CE2108-B6DF-498A-9D80-4818A13D49EE}"/>
    <hyperlink ref="D161" r:id="rId158" xr:uid="{1B1A6195-9AA5-4E37-A8C3-40C6519EE06B}"/>
    <hyperlink ref="D162" r:id="rId159" xr:uid="{047471FA-8BEB-4032-9CDC-2FF954B119E5}"/>
    <hyperlink ref="D163" r:id="rId160" xr:uid="{1475A12E-3297-44BE-8749-02E92DB07841}"/>
    <hyperlink ref="D164" r:id="rId161" xr:uid="{ACBCE56A-8E5C-42AA-B9BC-C0275A99A2DE}"/>
    <hyperlink ref="D165" r:id="rId162" xr:uid="{A4710E23-BB8A-47AB-A69B-7CCB6AE63DF0}"/>
    <hyperlink ref="D166" r:id="rId163" xr:uid="{4DAEFE01-7940-45CE-AEE0-B7E3BC34449B}"/>
    <hyperlink ref="D167" r:id="rId164" xr:uid="{3C3F1405-2225-4482-BA2A-F7D6D83D7BAC}"/>
    <hyperlink ref="D168" r:id="rId165" xr:uid="{DC338B6B-E9DD-416A-923D-A9E5218636B4}"/>
    <hyperlink ref="D169" r:id="rId166" xr:uid="{B2EB1EBC-4B60-4841-BCD2-7997A407D01F}"/>
    <hyperlink ref="D170" r:id="rId167" xr:uid="{1D543D12-57DF-4926-9CB9-AE285381972E}"/>
    <hyperlink ref="D171" r:id="rId168" xr:uid="{B54F7D62-B10F-4F99-BF35-46DB27360CEC}"/>
    <hyperlink ref="D172" r:id="rId169" xr:uid="{22764C03-DFE5-444B-B58A-2BB07C82AD02}"/>
    <hyperlink ref="D173" r:id="rId170" xr:uid="{087659C3-050E-40EF-88B6-C231E47750F0}"/>
    <hyperlink ref="D174" r:id="rId171" xr:uid="{8509AC7C-6E5A-42B1-A210-7FCA71A3B734}"/>
    <hyperlink ref="D175" r:id="rId172" xr:uid="{6F016F85-6BA3-4909-8C2C-9BDBEB4869A5}"/>
    <hyperlink ref="D176" r:id="rId173" xr:uid="{AE687088-A980-4798-9DEC-0149208923FB}"/>
    <hyperlink ref="D177" r:id="rId174" xr:uid="{35286935-12AA-4B42-BF44-A28609D0B58F}"/>
    <hyperlink ref="D178" r:id="rId175" xr:uid="{657450D8-8236-4C47-B367-525FDFC4100F}"/>
    <hyperlink ref="D179" r:id="rId176" xr:uid="{1DE4C641-2F5A-43CC-9895-68386EA712ED}"/>
    <hyperlink ref="D180" r:id="rId177" xr:uid="{4275B563-B84C-4218-9B3A-018E6930DCBE}"/>
    <hyperlink ref="D181" r:id="rId178" xr:uid="{75F71211-2B1E-4E29-9AF0-136BF0AA5113}"/>
    <hyperlink ref="D182" r:id="rId179" xr:uid="{4A72EAD8-E623-432A-B0A7-73D7087A7558}"/>
    <hyperlink ref="D183" r:id="rId180" xr:uid="{8D99BAAD-C906-4D91-9790-5A2F1E151DD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286D-059E-44D1-8D3D-4CAE18BBE916}">
  <sheetPr filterMode="1"/>
  <dimension ref="A1:H185"/>
  <sheetViews>
    <sheetView workbookViewId="0">
      <pane ySplit="1" topLeftCell="A53" activePane="bottomLeft" state="frozen"/>
      <selection pane="bottomLeft" sqref="A1:C127"/>
    </sheetView>
  </sheetViews>
  <sheetFormatPr defaultRowHeight="15" customHeight="1"/>
  <cols>
    <col min="1" max="1" width="37.5703125" style="54" customWidth="1"/>
    <col min="2" max="2" width="19.42578125" style="129" customWidth="1"/>
    <col min="3" max="3" width="38.7109375" style="215" customWidth="1"/>
    <col min="4" max="4" width="22.140625" style="129" customWidth="1"/>
    <col min="5" max="5" width="32.42578125" style="163" customWidth="1"/>
    <col min="6" max="7" width="34.7109375" style="129" customWidth="1"/>
    <col min="8" max="8" width="34.7109375" style="163" customWidth="1"/>
  </cols>
  <sheetData>
    <row r="1" spans="1:8" s="129" customFormat="1" ht="15" customHeight="1">
      <c r="A1" s="216" t="s">
        <v>1</v>
      </c>
      <c r="B1" s="216" t="s">
        <v>458</v>
      </c>
      <c r="C1" s="216" t="s">
        <v>459</v>
      </c>
      <c r="D1" s="210" t="s">
        <v>460</v>
      </c>
      <c r="E1" s="210" t="s">
        <v>461</v>
      </c>
      <c r="F1" s="216" t="s">
        <v>462</v>
      </c>
      <c r="G1" s="216" t="s">
        <v>463</v>
      </c>
      <c r="H1" s="216" t="s">
        <v>276</v>
      </c>
    </row>
    <row r="2" spans="1:8" ht="15" hidden="1" customHeight="1">
      <c r="A2" s="219" t="s">
        <v>50</v>
      </c>
      <c r="B2" s="217" t="s">
        <v>464</v>
      </c>
      <c r="C2" s="213" t="s">
        <v>465</v>
      </c>
      <c r="D2" s="211" t="s">
        <v>466</v>
      </c>
      <c r="E2" s="374" t="s">
        <v>467</v>
      </c>
      <c r="F2" s="208" t="s">
        <v>3</v>
      </c>
      <c r="G2" s="382">
        <v>46056</v>
      </c>
      <c r="H2" s="209"/>
    </row>
    <row r="3" spans="1:8" ht="15" hidden="1" customHeight="1">
      <c r="A3" s="219" t="s">
        <v>74</v>
      </c>
      <c r="B3" s="217" t="s">
        <v>464</v>
      </c>
      <c r="C3" s="213" t="s">
        <v>468</v>
      </c>
      <c r="D3" s="211" t="s">
        <v>469</v>
      </c>
      <c r="E3" s="374" t="s">
        <v>467</v>
      </c>
      <c r="F3" s="208" t="s">
        <v>3</v>
      </c>
      <c r="G3" s="382">
        <v>46056</v>
      </c>
      <c r="H3" s="209"/>
    </row>
    <row r="4" spans="1:8" ht="15" hidden="1" customHeight="1">
      <c r="A4" s="219" t="s">
        <v>74</v>
      </c>
      <c r="B4" s="217" t="s">
        <v>470</v>
      </c>
      <c r="C4" s="213" t="s">
        <v>468</v>
      </c>
      <c r="D4" s="211" t="s">
        <v>466</v>
      </c>
      <c r="E4" s="374" t="s">
        <v>467</v>
      </c>
      <c r="F4" s="208" t="s">
        <v>3</v>
      </c>
      <c r="G4" s="382">
        <v>46056</v>
      </c>
      <c r="H4" s="209"/>
    </row>
    <row r="5" spans="1:8" ht="15" customHeight="1">
      <c r="A5" s="219" t="s">
        <v>74</v>
      </c>
      <c r="B5" s="217" t="s">
        <v>464</v>
      </c>
      <c r="C5" s="213" t="s">
        <v>471</v>
      </c>
      <c r="D5" s="211" t="s">
        <v>466</v>
      </c>
      <c r="E5" s="374" t="s">
        <v>472</v>
      </c>
      <c r="F5" s="241" t="s">
        <v>473</v>
      </c>
      <c r="G5" s="241" t="s">
        <v>474</v>
      </c>
      <c r="H5" s="209" t="s">
        <v>475</v>
      </c>
    </row>
    <row r="6" spans="1:8" ht="15" hidden="1" customHeight="1">
      <c r="A6" s="219" t="s">
        <v>79</v>
      </c>
      <c r="B6" s="217" t="s">
        <v>464</v>
      </c>
      <c r="C6" s="213" t="s">
        <v>471</v>
      </c>
      <c r="D6" s="211" t="s">
        <v>466</v>
      </c>
      <c r="E6" s="374" t="s">
        <v>476</v>
      </c>
      <c r="F6" s="208" t="s">
        <v>3</v>
      </c>
      <c r="G6" s="382">
        <v>46056</v>
      </c>
      <c r="H6" s="209"/>
    </row>
    <row r="7" spans="1:8" s="42" customFormat="1" ht="15" customHeight="1">
      <c r="A7" s="219" t="s">
        <v>79</v>
      </c>
      <c r="B7" s="217" t="s">
        <v>470</v>
      </c>
      <c r="C7" s="213" t="s">
        <v>477</v>
      </c>
      <c r="D7" s="211" t="s">
        <v>466</v>
      </c>
      <c r="E7" s="374" t="s">
        <v>467</v>
      </c>
      <c r="F7" s="223" t="s">
        <v>473</v>
      </c>
      <c r="G7" s="241" t="s">
        <v>474</v>
      </c>
      <c r="H7" s="380"/>
    </row>
    <row r="8" spans="1:8" ht="15" customHeight="1">
      <c r="A8" s="219" t="s">
        <v>93</v>
      </c>
      <c r="B8" s="217" t="s">
        <v>464</v>
      </c>
      <c r="C8" s="213" t="s">
        <v>477</v>
      </c>
      <c r="D8" s="211" t="s">
        <v>466</v>
      </c>
      <c r="E8" s="374" t="s">
        <v>467</v>
      </c>
      <c r="F8" s="208" t="s">
        <v>473</v>
      </c>
      <c r="G8" s="241" t="s">
        <v>474</v>
      </c>
      <c r="H8" s="209"/>
    </row>
    <row r="9" spans="1:8" ht="15" hidden="1" customHeight="1">
      <c r="A9" s="219" t="s">
        <v>478</v>
      </c>
      <c r="B9" s="217" t="s">
        <v>464</v>
      </c>
      <c r="C9" s="213" t="s">
        <v>477</v>
      </c>
      <c r="D9" s="211" t="s">
        <v>466</v>
      </c>
      <c r="E9" s="374" t="s">
        <v>467</v>
      </c>
      <c r="F9" s="208" t="s">
        <v>3</v>
      </c>
      <c r="G9" s="382">
        <v>46056</v>
      </c>
      <c r="H9" s="209"/>
    </row>
    <row r="10" spans="1:8" ht="15" hidden="1" customHeight="1">
      <c r="A10" s="219" t="s">
        <v>100</v>
      </c>
      <c r="B10" s="217" t="s">
        <v>464</v>
      </c>
      <c r="C10" s="213" t="s">
        <v>477</v>
      </c>
      <c r="D10" s="211" t="s">
        <v>466</v>
      </c>
      <c r="E10" s="374" t="s">
        <v>467</v>
      </c>
      <c r="F10" s="208" t="s">
        <v>3</v>
      </c>
      <c r="G10" s="382">
        <v>46056</v>
      </c>
      <c r="H10" s="209"/>
    </row>
    <row r="11" spans="1:8" ht="15" hidden="1" customHeight="1">
      <c r="A11" s="219" t="s">
        <v>479</v>
      </c>
      <c r="B11" s="217" t="s">
        <v>464</v>
      </c>
      <c r="C11" s="213" t="s">
        <v>480</v>
      </c>
      <c r="D11" s="211" t="s">
        <v>469</v>
      </c>
      <c r="E11" s="374" t="s">
        <v>467</v>
      </c>
      <c r="F11" s="208" t="s">
        <v>3</v>
      </c>
      <c r="G11" s="382">
        <v>46056</v>
      </c>
      <c r="H11" s="209"/>
    </row>
    <row r="12" spans="1:8" ht="15" customHeight="1">
      <c r="A12" s="219" t="s">
        <v>479</v>
      </c>
      <c r="B12" s="217" t="s">
        <v>464</v>
      </c>
      <c r="C12" s="213" t="s">
        <v>480</v>
      </c>
      <c r="D12" s="211" t="s">
        <v>466</v>
      </c>
      <c r="E12" s="374" t="s">
        <v>467</v>
      </c>
      <c r="F12" s="208" t="s">
        <v>473</v>
      </c>
      <c r="G12" s="241" t="s">
        <v>474</v>
      </c>
      <c r="H12" s="209"/>
    </row>
    <row r="13" spans="1:8" ht="15" hidden="1" customHeight="1">
      <c r="A13" s="219" t="s">
        <v>106</v>
      </c>
      <c r="B13" s="217" t="s">
        <v>464</v>
      </c>
      <c r="C13" s="213" t="s">
        <v>477</v>
      </c>
      <c r="D13" s="211" t="s">
        <v>469</v>
      </c>
      <c r="E13" s="374" t="s">
        <v>467</v>
      </c>
      <c r="F13" s="208" t="s">
        <v>3</v>
      </c>
      <c r="G13" s="382">
        <v>46056</v>
      </c>
      <c r="H13" s="209"/>
    </row>
    <row r="14" spans="1:8" ht="15" hidden="1" customHeight="1">
      <c r="A14" s="219" t="s">
        <v>106</v>
      </c>
      <c r="B14" s="217" t="s">
        <v>464</v>
      </c>
      <c r="C14" s="213" t="s">
        <v>477</v>
      </c>
      <c r="D14" s="211" t="s">
        <v>466</v>
      </c>
      <c r="E14" s="374" t="s">
        <v>467</v>
      </c>
      <c r="F14" s="208" t="s">
        <v>3</v>
      </c>
      <c r="G14" s="382">
        <v>46056</v>
      </c>
      <c r="H14" s="209"/>
    </row>
    <row r="15" spans="1:8" ht="15" hidden="1" customHeight="1">
      <c r="A15" s="219" t="s">
        <v>481</v>
      </c>
      <c r="B15" s="217" t="s">
        <v>464</v>
      </c>
      <c r="C15" s="213" t="s">
        <v>482</v>
      </c>
      <c r="D15" s="211" t="s">
        <v>466</v>
      </c>
      <c r="E15" s="374" t="s">
        <v>483</v>
      </c>
      <c r="F15" s="208" t="s">
        <v>3</v>
      </c>
      <c r="G15" s="382">
        <v>46056</v>
      </c>
      <c r="H15" s="209"/>
    </row>
    <row r="16" spans="1:8" ht="15" customHeight="1">
      <c r="A16" s="219" t="s">
        <v>120</v>
      </c>
      <c r="B16" s="217" t="s">
        <v>470</v>
      </c>
      <c r="C16" s="213" t="s">
        <v>477</v>
      </c>
      <c r="D16" s="211" t="s">
        <v>466</v>
      </c>
      <c r="E16" s="374" t="s">
        <v>467</v>
      </c>
      <c r="F16" s="208" t="s">
        <v>473</v>
      </c>
      <c r="G16" s="241" t="s">
        <v>474</v>
      </c>
      <c r="H16" s="209"/>
    </row>
    <row r="17" spans="1:8" ht="15" customHeight="1">
      <c r="A17" s="219" t="s">
        <v>120</v>
      </c>
      <c r="B17" s="217" t="s">
        <v>464</v>
      </c>
      <c r="C17" s="213" t="s">
        <v>468</v>
      </c>
      <c r="D17" s="211" t="s">
        <v>466</v>
      </c>
      <c r="E17" s="374" t="s">
        <v>484</v>
      </c>
      <c r="F17" s="208" t="s">
        <v>473</v>
      </c>
      <c r="G17" s="241" t="s">
        <v>474</v>
      </c>
      <c r="H17" s="209" t="s">
        <v>475</v>
      </c>
    </row>
    <row r="18" spans="1:8" ht="15" hidden="1" customHeight="1">
      <c r="A18" s="219" t="s">
        <v>120</v>
      </c>
      <c r="B18" s="217" t="s">
        <v>464</v>
      </c>
      <c r="C18" s="213" t="s">
        <v>485</v>
      </c>
      <c r="D18" s="211" t="s">
        <v>469</v>
      </c>
      <c r="E18" s="374" t="s">
        <v>467</v>
      </c>
      <c r="F18" s="208" t="s">
        <v>3</v>
      </c>
      <c r="G18" s="382">
        <v>46056</v>
      </c>
      <c r="H18" s="209"/>
    </row>
    <row r="19" spans="1:8" ht="15" hidden="1" customHeight="1">
      <c r="A19" s="219" t="s">
        <v>120</v>
      </c>
      <c r="B19" s="217" t="s">
        <v>470</v>
      </c>
      <c r="C19" s="213" t="s">
        <v>485</v>
      </c>
      <c r="D19" s="211" t="s">
        <v>466</v>
      </c>
      <c r="E19" s="374" t="s">
        <v>467</v>
      </c>
      <c r="F19" s="208" t="s">
        <v>3</v>
      </c>
      <c r="G19" s="382">
        <v>46056</v>
      </c>
      <c r="H19" s="209"/>
    </row>
    <row r="20" spans="1:8" ht="15" hidden="1" customHeight="1">
      <c r="A20" s="219" t="s">
        <v>120</v>
      </c>
      <c r="B20" s="217" t="s">
        <v>464</v>
      </c>
      <c r="C20" s="213" t="s">
        <v>485</v>
      </c>
      <c r="D20" s="211" t="s">
        <v>466</v>
      </c>
      <c r="E20" s="374" t="s">
        <v>467</v>
      </c>
      <c r="F20" s="208" t="s">
        <v>3</v>
      </c>
      <c r="G20" s="382">
        <v>46056</v>
      </c>
      <c r="H20" s="209"/>
    </row>
    <row r="21" spans="1:8" ht="15" hidden="1" customHeight="1">
      <c r="A21" s="219" t="s">
        <v>120</v>
      </c>
      <c r="B21" s="217" t="s">
        <v>464</v>
      </c>
      <c r="C21" s="213" t="s">
        <v>486</v>
      </c>
      <c r="D21" s="211" t="s">
        <v>469</v>
      </c>
      <c r="E21" s="374" t="s">
        <v>467</v>
      </c>
      <c r="F21" s="208" t="s">
        <v>3</v>
      </c>
      <c r="G21" s="382">
        <v>46056</v>
      </c>
      <c r="H21" s="209"/>
    </row>
    <row r="22" spans="1:8">
      <c r="A22" s="220" t="s">
        <v>120</v>
      </c>
      <c r="B22" s="218" t="s">
        <v>464</v>
      </c>
      <c r="C22" s="214" t="s">
        <v>486</v>
      </c>
      <c r="D22" s="212" t="s">
        <v>466</v>
      </c>
      <c r="E22" s="374" t="s">
        <v>487</v>
      </c>
      <c r="F22" s="208" t="s">
        <v>473</v>
      </c>
      <c r="G22" s="384">
        <v>46359</v>
      </c>
      <c r="H22" s="209" t="s">
        <v>488</v>
      </c>
    </row>
    <row r="23" spans="1:8" hidden="1">
      <c r="A23" s="219" t="s">
        <v>123</v>
      </c>
      <c r="B23" s="217" t="s">
        <v>470</v>
      </c>
      <c r="C23" s="213" t="s">
        <v>489</v>
      </c>
      <c r="D23" s="211" t="s">
        <v>469</v>
      </c>
      <c r="E23" s="374" t="s">
        <v>467</v>
      </c>
      <c r="F23" s="208" t="s">
        <v>3</v>
      </c>
      <c r="G23" s="382">
        <v>46056</v>
      </c>
      <c r="H23" s="209"/>
    </row>
    <row r="24" spans="1:8" hidden="1">
      <c r="A24" s="220" t="s">
        <v>126</v>
      </c>
      <c r="B24" s="218" t="s">
        <v>464</v>
      </c>
      <c r="C24" s="214" t="s">
        <v>468</v>
      </c>
      <c r="D24" s="212" t="s">
        <v>469</v>
      </c>
      <c r="E24" s="374" t="s">
        <v>487</v>
      </c>
      <c r="F24" s="208" t="s">
        <v>3</v>
      </c>
      <c r="G24" s="241" t="s">
        <v>490</v>
      </c>
      <c r="H24" s="209" t="s">
        <v>491</v>
      </c>
    </row>
    <row r="25" spans="1:8">
      <c r="A25" s="219" t="s">
        <v>126</v>
      </c>
      <c r="B25" s="217" t="s">
        <v>464</v>
      </c>
      <c r="C25" s="213" t="s">
        <v>468</v>
      </c>
      <c r="D25" s="211" t="s">
        <v>466</v>
      </c>
      <c r="E25" s="374" t="s">
        <v>467</v>
      </c>
      <c r="F25" s="208" t="s">
        <v>473</v>
      </c>
      <c r="G25" s="241" t="s">
        <v>474</v>
      </c>
      <c r="H25" s="209"/>
    </row>
    <row r="26" spans="1:8" hidden="1">
      <c r="A26" s="219" t="s">
        <v>126</v>
      </c>
      <c r="B26" s="217" t="s">
        <v>464</v>
      </c>
      <c r="C26" s="213" t="s">
        <v>486</v>
      </c>
      <c r="D26" s="211" t="s">
        <v>466</v>
      </c>
      <c r="E26" s="374" t="s">
        <v>492</v>
      </c>
      <c r="F26" s="208" t="s">
        <v>3</v>
      </c>
      <c r="G26" s="382">
        <v>46056</v>
      </c>
      <c r="H26" s="209"/>
    </row>
    <row r="27" spans="1:8" hidden="1">
      <c r="A27" s="219" t="s">
        <v>129</v>
      </c>
      <c r="B27" s="217" t="s">
        <v>464</v>
      </c>
      <c r="C27" s="213" t="s">
        <v>489</v>
      </c>
      <c r="D27" s="211" t="s">
        <v>469</v>
      </c>
      <c r="E27" s="374" t="s">
        <v>467</v>
      </c>
      <c r="F27" s="208" t="s">
        <v>3</v>
      </c>
      <c r="G27" s="382">
        <v>46056</v>
      </c>
      <c r="H27" s="209"/>
    </row>
    <row r="28" spans="1:8" hidden="1">
      <c r="A28" s="219" t="s">
        <v>129</v>
      </c>
      <c r="B28" s="217" t="s">
        <v>464</v>
      </c>
      <c r="C28" s="213" t="s">
        <v>489</v>
      </c>
      <c r="D28" s="211" t="s">
        <v>466</v>
      </c>
      <c r="E28" s="374" t="s">
        <v>467</v>
      </c>
      <c r="F28" s="208" t="s">
        <v>3</v>
      </c>
      <c r="G28" s="382">
        <v>46056</v>
      </c>
      <c r="H28" s="209"/>
    </row>
    <row r="29" spans="1:8" hidden="1">
      <c r="A29" s="219" t="s">
        <v>129</v>
      </c>
      <c r="B29" s="217" t="s">
        <v>470</v>
      </c>
      <c r="C29" s="213" t="s">
        <v>493</v>
      </c>
      <c r="D29" s="211" t="s">
        <v>494</v>
      </c>
      <c r="E29" s="374" t="s">
        <v>467</v>
      </c>
      <c r="F29" s="208" t="s">
        <v>3</v>
      </c>
      <c r="G29" s="382">
        <v>46056</v>
      </c>
      <c r="H29" s="209"/>
    </row>
    <row r="30" spans="1:8" hidden="1">
      <c r="A30" s="219" t="s">
        <v>129</v>
      </c>
      <c r="B30" s="217" t="s">
        <v>470</v>
      </c>
      <c r="C30" s="213" t="s">
        <v>493</v>
      </c>
      <c r="D30" s="211" t="s">
        <v>469</v>
      </c>
      <c r="E30" s="374" t="s">
        <v>495</v>
      </c>
      <c r="F30" s="208" t="s">
        <v>3</v>
      </c>
      <c r="G30" s="382">
        <v>46056</v>
      </c>
      <c r="H30" s="209"/>
    </row>
    <row r="31" spans="1:8">
      <c r="A31" s="219" t="s">
        <v>129</v>
      </c>
      <c r="B31" s="217" t="s">
        <v>470</v>
      </c>
      <c r="C31" s="213" t="s">
        <v>493</v>
      </c>
      <c r="D31" s="211" t="s">
        <v>466</v>
      </c>
      <c r="E31" s="374" t="s">
        <v>467</v>
      </c>
      <c r="F31" s="208" t="s">
        <v>473</v>
      </c>
      <c r="G31" s="241" t="s">
        <v>474</v>
      </c>
      <c r="H31" s="209"/>
    </row>
    <row r="32" spans="1:8" hidden="1">
      <c r="A32" s="219" t="s">
        <v>496</v>
      </c>
      <c r="B32" s="217" t="s">
        <v>464</v>
      </c>
      <c r="C32" s="213" t="s">
        <v>497</v>
      </c>
      <c r="D32" s="211" t="s">
        <v>466</v>
      </c>
      <c r="E32" s="374" t="s">
        <v>467</v>
      </c>
      <c r="F32" s="208" t="s">
        <v>3</v>
      </c>
      <c r="G32" s="382">
        <v>46056</v>
      </c>
      <c r="H32" s="209"/>
    </row>
    <row r="33" spans="1:8" hidden="1">
      <c r="A33" s="219" t="s">
        <v>496</v>
      </c>
      <c r="B33" s="217" t="s">
        <v>464</v>
      </c>
      <c r="C33" s="213" t="s">
        <v>477</v>
      </c>
      <c r="D33" s="211" t="s">
        <v>469</v>
      </c>
      <c r="E33" s="374" t="s">
        <v>467</v>
      </c>
      <c r="F33" s="208" t="s">
        <v>3</v>
      </c>
      <c r="G33" s="382">
        <v>46056</v>
      </c>
      <c r="H33" s="209"/>
    </row>
    <row r="34" spans="1:8">
      <c r="A34" s="219" t="s">
        <v>496</v>
      </c>
      <c r="B34" s="217" t="s">
        <v>464</v>
      </c>
      <c r="C34" s="213" t="s">
        <v>477</v>
      </c>
      <c r="D34" s="211" t="s">
        <v>466</v>
      </c>
      <c r="E34" s="374" t="s">
        <v>498</v>
      </c>
      <c r="F34" s="208" t="s">
        <v>473</v>
      </c>
      <c r="G34" s="241" t="s">
        <v>474</v>
      </c>
      <c r="H34" s="209"/>
    </row>
    <row r="35" spans="1:8">
      <c r="A35" s="219" t="s">
        <v>499</v>
      </c>
      <c r="B35" s="217" t="s">
        <v>464</v>
      </c>
      <c r="C35" s="213" t="s">
        <v>468</v>
      </c>
      <c r="D35" s="211" t="s">
        <v>466</v>
      </c>
      <c r="E35" s="374" t="s">
        <v>500</v>
      </c>
      <c r="F35" s="208" t="s">
        <v>473</v>
      </c>
      <c r="G35" s="241" t="s">
        <v>474</v>
      </c>
      <c r="H35" s="209"/>
    </row>
    <row r="36" spans="1:8" hidden="1">
      <c r="A36" s="219" t="s">
        <v>501</v>
      </c>
      <c r="B36" s="217" t="s">
        <v>464</v>
      </c>
      <c r="C36" s="213" t="s">
        <v>477</v>
      </c>
      <c r="D36" s="211" t="s">
        <v>466</v>
      </c>
      <c r="E36" s="374" t="s">
        <v>467</v>
      </c>
      <c r="F36" s="208" t="s">
        <v>3</v>
      </c>
      <c r="G36" s="382">
        <v>46056</v>
      </c>
      <c r="H36" s="209"/>
    </row>
    <row r="37" spans="1:8" hidden="1">
      <c r="A37" s="219" t="s">
        <v>502</v>
      </c>
      <c r="B37" s="217" t="s">
        <v>464</v>
      </c>
      <c r="C37" s="213" t="s">
        <v>503</v>
      </c>
      <c r="D37" s="211" t="s">
        <v>466</v>
      </c>
      <c r="E37" s="374" t="s">
        <v>467</v>
      </c>
      <c r="F37" s="208" t="s">
        <v>3</v>
      </c>
      <c r="G37" s="382">
        <v>46056</v>
      </c>
      <c r="H37" s="209"/>
    </row>
    <row r="38" spans="1:8" hidden="1">
      <c r="A38" s="219" t="s">
        <v>154</v>
      </c>
      <c r="B38" s="217" t="s">
        <v>504</v>
      </c>
      <c r="C38" s="213" t="s">
        <v>504</v>
      </c>
      <c r="D38" s="211" t="s">
        <v>504</v>
      </c>
      <c r="E38" s="374" t="s">
        <v>467</v>
      </c>
      <c r="F38" s="208" t="s">
        <v>3</v>
      </c>
      <c r="G38" s="382">
        <v>46056</v>
      </c>
      <c r="H38" s="209"/>
    </row>
    <row r="39" spans="1:8" hidden="1">
      <c r="A39" s="219" t="s">
        <v>505</v>
      </c>
      <c r="B39" s="217" t="s">
        <v>464</v>
      </c>
      <c r="C39" s="213" t="s">
        <v>489</v>
      </c>
      <c r="D39" s="211" t="s">
        <v>466</v>
      </c>
      <c r="E39" s="374" t="s">
        <v>506</v>
      </c>
      <c r="F39" s="208" t="s">
        <v>3</v>
      </c>
      <c r="G39" s="382">
        <v>46056</v>
      </c>
      <c r="H39" s="209"/>
    </row>
    <row r="40" spans="1:8" hidden="1">
      <c r="A40" s="219" t="s">
        <v>161</v>
      </c>
      <c r="B40" s="217" t="s">
        <v>464</v>
      </c>
      <c r="C40" s="213" t="s">
        <v>477</v>
      </c>
      <c r="D40" s="211" t="s">
        <v>466</v>
      </c>
      <c r="E40" s="374" t="s">
        <v>467</v>
      </c>
      <c r="F40" s="208" t="s">
        <v>3</v>
      </c>
      <c r="G40" s="382">
        <v>46056</v>
      </c>
      <c r="H40" s="209"/>
    </row>
    <row r="41" spans="1:8" hidden="1">
      <c r="A41" s="219" t="s">
        <v>164</v>
      </c>
      <c r="B41" s="217" t="s">
        <v>464</v>
      </c>
      <c r="C41" s="213" t="s">
        <v>507</v>
      </c>
      <c r="D41" s="211" t="s">
        <v>466</v>
      </c>
      <c r="E41" s="374" t="s">
        <v>467</v>
      </c>
      <c r="F41" s="208" t="s">
        <v>3</v>
      </c>
      <c r="G41" s="382">
        <v>46056</v>
      </c>
      <c r="H41" s="209"/>
    </row>
    <row r="42" spans="1:8" hidden="1">
      <c r="A42" s="219" t="s">
        <v>167</v>
      </c>
      <c r="B42" s="217" t="s">
        <v>464</v>
      </c>
      <c r="C42" s="213" t="s">
        <v>477</v>
      </c>
      <c r="D42" s="211" t="s">
        <v>466</v>
      </c>
      <c r="E42" s="374" t="s">
        <v>467</v>
      </c>
      <c r="F42" s="208" t="s">
        <v>3</v>
      </c>
      <c r="G42" s="382">
        <v>46056</v>
      </c>
      <c r="H42" s="209"/>
    </row>
    <row r="43" spans="1:8" hidden="1">
      <c r="A43" s="219" t="s">
        <v>508</v>
      </c>
      <c r="B43" s="217" t="s">
        <v>464</v>
      </c>
      <c r="C43" s="213" t="s">
        <v>503</v>
      </c>
      <c r="D43" s="211" t="s">
        <v>466</v>
      </c>
      <c r="E43" s="374" t="s">
        <v>467</v>
      </c>
      <c r="F43" s="208" t="s">
        <v>3</v>
      </c>
      <c r="G43" s="382">
        <v>46056</v>
      </c>
      <c r="H43" s="209"/>
    </row>
    <row r="44" spans="1:8" hidden="1">
      <c r="A44" s="219" t="s">
        <v>509</v>
      </c>
      <c r="B44" s="217" t="s">
        <v>464</v>
      </c>
      <c r="C44" s="213" t="s">
        <v>510</v>
      </c>
      <c r="D44" s="211" t="s">
        <v>466</v>
      </c>
      <c r="E44" s="374" t="s">
        <v>511</v>
      </c>
      <c r="F44" s="208" t="s">
        <v>3</v>
      </c>
      <c r="G44" s="382">
        <v>46056</v>
      </c>
      <c r="H44" s="209"/>
    </row>
    <row r="45" spans="1:8" hidden="1">
      <c r="A45" s="219" t="s">
        <v>176</v>
      </c>
      <c r="B45" s="217" t="s">
        <v>464</v>
      </c>
      <c r="C45" s="213" t="s">
        <v>512</v>
      </c>
      <c r="D45" s="211" t="s">
        <v>466</v>
      </c>
      <c r="E45" s="374" t="s">
        <v>467</v>
      </c>
      <c r="F45" s="208" t="s">
        <v>3</v>
      </c>
      <c r="G45" s="382">
        <v>46056</v>
      </c>
      <c r="H45" s="209"/>
    </row>
    <row r="46" spans="1:8" hidden="1">
      <c r="A46" s="219" t="s">
        <v>176</v>
      </c>
      <c r="B46" s="217" t="s">
        <v>464</v>
      </c>
      <c r="C46" s="213" t="s">
        <v>468</v>
      </c>
      <c r="D46" s="211" t="s">
        <v>466</v>
      </c>
      <c r="E46" s="374" t="s">
        <v>513</v>
      </c>
      <c r="F46" s="208" t="s">
        <v>3</v>
      </c>
      <c r="G46" s="382">
        <v>46056</v>
      </c>
      <c r="H46" s="209"/>
    </row>
    <row r="47" spans="1:8" hidden="1">
      <c r="A47" s="219" t="s">
        <v>514</v>
      </c>
      <c r="B47" s="217" t="s">
        <v>464</v>
      </c>
      <c r="C47" s="213" t="s">
        <v>515</v>
      </c>
      <c r="D47" s="211" t="s">
        <v>466</v>
      </c>
      <c r="E47" s="374" t="s">
        <v>467</v>
      </c>
      <c r="F47" s="208" t="s">
        <v>3</v>
      </c>
      <c r="G47" s="382">
        <v>46056</v>
      </c>
      <c r="H47" s="209"/>
    </row>
    <row r="48" spans="1:8" s="27" customFormat="1" hidden="1">
      <c r="A48" s="219" t="s">
        <v>514</v>
      </c>
      <c r="B48" s="217" t="s">
        <v>470</v>
      </c>
      <c r="C48" s="213" t="s">
        <v>515</v>
      </c>
      <c r="D48" s="211" t="s">
        <v>466</v>
      </c>
      <c r="E48" s="375" t="s">
        <v>467</v>
      </c>
      <c r="F48" s="208" t="s">
        <v>3</v>
      </c>
      <c r="G48" s="382">
        <v>46056</v>
      </c>
      <c r="H48" s="209"/>
    </row>
    <row r="49" spans="1:8" hidden="1">
      <c r="A49" s="225" t="s">
        <v>514</v>
      </c>
      <c r="B49" s="226" t="s">
        <v>464</v>
      </c>
      <c r="C49" s="227" t="s">
        <v>516</v>
      </c>
      <c r="D49" s="228" t="s">
        <v>466</v>
      </c>
      <c r="E49" s="376" t="s">
        <v>467</v>
      </c>
      <c r="F49" s="208" t="s">
        <v>3</v>
      </c>
      <c r="G49" s="382">
        <v>46056</v>
      </c>
      <c r="H49" s="209"/>
    </row>
    <row r="50" spans="1:8" ht="15" hidden="1" customHeight="1">
      <c r="A50" s="222" t="s">
        <v>517</v>
      </c>
      <c r="B50" s="208" t="s">
        <v>464</v>
      </c>
      <c r="C50" s="209" t="s">
        <v>489</v>
      </c>
      <c r="D50" s="208" t="s">
        <v>466</v>
      </c>
      <c r="E50" s="255"/>
      <c r="F50" s="335" t="s">
        <v>3</v>
      </c>
      <c r="G50" s="383">
        <v>46268</v>
      </c>
      <c r="H50" s="381"/>
    </row>
    <row r="51" spans="1:8" ht="15" hidden="1" customHeight="1">
      <c r="A51" s="222" t="s">
        <v>517</v>
      </c>
      <c r="B51" s="208" t="s">
        <v>464</v>
      </c>
      <c r="C51" s="209" t="s">
        <v>507</v>
      </c>
      <c r="D51" s="208" t="s">
        <v>466</v>
      </c>
      <c r="E51" s="255"/>
      <c r="F51" s="335" t="s">
        <v>3</v>
      </c>
      <c r="G51" s="383">
        <v>46268</v>
      </c>
      <c r="H51" s="381"/>
    </row>
    <row r="52" spans="1:8" ht="15" hidden="1" customHeight="1">
      <c r="A52" s="222" t="s">
        <v>74</v>
      </c>
      <c r="B52" s="208" t="s">
        <v>464</v>
      </c>
      <c r="C52" s="209" t="s">
        <v>489</v>
      </c>
      <c r="D52" s="208" t="s">
        <v>466</v>
      </c>
      <c r="E52" s="255"/>
      <c r="F52" s="335" t="s">
        <v>3</v>
      </c>
      <c r="G52" s="383">
        <v>46268</v>
      </c>
      <c r="H52" s="381"/>
    </row>
    <row r="53" spans="1:8" ht="15" customHeight="1">
      <c r="A53" s="222" t="s">
        <v>74</v>
      </c>
      <c r="B53" s="208" t="s">
        <v>470</v>
      </c>
      <c r="C53" s="209" t="s">
        <v>489</v>
      </c>
      <c r="D53" s="208" t="s">
        <v>469</v>
      </c>
      <c r="E53" s="255"/>
      <c r="F53" s="335" t="s">
        <v>473</v>
      </c>
      <c r="G53" s="241" t="s">
        <v>474</v>
      </c>
      <c r="H53" s="381" t="s">
        <v>518</v>
      </c>
    </row>
    <row r="54" spans="1:8" ht="15" customHeight="1">
      <c r="A54" s="222" t="s">
        <v>74</v>
      </c>
      <c r="B54" s="208" t="s">
        <v>470</v>
      </c>
      <c r="C54" s="209" t="s">
        <v>489</v>
      </c>
      <c r="D54" s="208" t="s">
        <v>466</v>
      </c>
      <c r="E54" s="255"/>
      <c r="F54" s="335" t="s">
        <v>473</v>
      </c>
      <c r="G54" s="241" t="s">
        <v>474</v>
      </c>
      <c r="H54" s="381"/>
    </row>
    <row r="55" spans="1:8" ht="15" hidden="1" customHeight="1">
      <c r="A55" s="222" t="s">
        <v>74</v>
      </c>
      <c r="B55" s="208" t="s">
        <v>470</v>
      </c>
      <c r="C55" s="209" t="s">
        <v>477</v>
      </c>
      <c r="D55" s="208" t="s">
        <v>466</v>
      </c>
      <c r="E55" s="255"/>
      <c r="F55" s="335" t="s">
        <v>3</v>
      </c>
      <c r="G55" s="383">
        <v>46268</v>
      </c>
      <c r="H55" s="381"/>
    </row>
    <row r="56" spans="1:8" ht="15" hidden="1" customHeight="1">
      <c r="A56" s="14" t="s">
        <v>74</v>
      </c>
      <c r="B56" s="128" t="s">
        <v>464</v>
      </c>
      <c r="C56" s="161" t="s">
        <v>519</v>
      </c>
      <c r="D56" s="128" t="s">
        <v>466</v>
      </c>
      <c r="E56" s="377"/>
      <c r="F56" s="335" t="s">
        <v>3</v>
      </c>
      <c r="G56" s="383">
        <v>46268</v>
      </c>
      <c r="H56" s="381"/>
    </row>
    <row r="57" spans="1:8" ht="15" customHeight="1">
      <c r="A57" s="14" t="s">
        <v>74</v>
      </c>
      <c r="B57" s="128" t="s">
        <v>470</v>
      </c>
      <c r="C57" s="161" t="s">
        <v>519</v>
      </c>
      <c r="D57" s="128" t="s">
        <v>466</v>
      </c>
      <c r="E57" s="377"/>
      <c r="F57" s="335" t="s">
        <v>473</v>
      </c>
      <c r="G57" s="241" t="s">
        <v>474</v>
      </c>
      <c r="H57" s="381"/>
    </row>
    <row r="58" spans="1:8" ht="15" hidden="1" customHeight="1">
      <c r="A58" s="14" t="s">
        <v>74</v>
      </c>
      <c r="B58" s="128" t="s">
        <v>464</v>
      </c>
      <c r="C58" s="161" t="s">
        <v>507</v>
      </c>
      <c r="D58" s="128" t="s">
        <v>466</v>
      </c>
      <c r="E58" s="377"/>
      <c r="F58" s="335" t="s">
        <v>3</v>
      </c>
      <c r="G58" s="383">
        <v>46268</v>
      </c>
      <c r="H58" s="381"/>
    </row>
    <row r="59" spans="1:8" ht="15" hidden="1" customHeight="1">
      <c r="A59" s="14" t="s">
        <v>79</v>
      </c>
      <c r="B59" s="128" t="s">
        <v>464</v>
      </c>
      <c r="C59" s="161" t="s">
        <v>489</v>
      </c>
      <c r="D59" s="128" t="s">
        <v>466</v>
      </c>
      <c r="E59" s="377"/>
      <c r="F59" s="335" t="s">
        <v>3</v>
      </c>
      <c r="G59" s="383">
        <v>46268</v>
      </c>
      <c r="H59" s="381"/>
    </row>
    <row r="60" spans="1:8" ht="15" hidden="1" customHeight="1">
      <c r="A60" s="14" t="s">
        <v>520</v>
      </c>
      <c r="B60" s="128" t="s">
        <v>464</v>
      </c>
      <c r="C60" s="161" t="s">
        <v>507</v>
      </c>
      <c r="D60" s="128" t="s">
        <v>466</v>
      </c>
      <c r="E60" s="377"/>
      <c r="F60" s="335" t="s">
        <v>3</v>
      </c>
      <c r="G60" s="383">
        <v>46268</v>
      </c>
      <c r="H60" s="381"/>
    </row>
    <row r="61" spans="1:8" ht="15" hidden="1" customHeight="1">
      <c r="A61" s="14" t="s">
        <v>100</v>
      </c>
      <c r="B61" s="128" t="s">
        <v>464</v>
      </c>
      <c r="C61" s="161" t="s">
        <v>519</v>
      </c>
      <c r="D61" s="128" t="s">
        <v>466</v>
      </c>
      <c r="E61" s="377"/>
      <c r="F61" s="335" t="s">
        <v>3</v>
      </c>
      <c r="G61" s="383">
        <v>46268</v>
      </c>
      <c r="H61" s="381"/>
    </row>
    <row r="62" spans="1:8" ht="15" hidden="1" customHeight="1">
      <c r="A62" s="14" t="s">
        <v>479</v>
      </c>
      <c r="B62" s="128" t="s">
        <v>464</v>
      </c>
      <c r="C62" s="161" t="s">
        <v>521</v>
      </c>
      <c r="D62" s="128" t="s">
        <v>466</v>
      </c>
      <c r="E62" s="377"/>
      <c r="F62" s="335" t="s">
        <v>3</v>
      </c>
      <c r="G62" s="383">
        <v>46268</v>
      </c>
      <c r="H62" s="381"/>
    </row>
    <row r="63" spans="1:8" ht="15" hidden="1" customHeight="1">
      <c r="A63" s="14" t="s">
        <v>479</v>
      </c>
      <c r="B63" s="128" t="s">
        <v>464</v>
      </c>
      <c r="C63" s="161" t="s">
        <v>522</v>
      </c>
      <c r="D63" s="128" t="s">
        <v>466</v>
      </c>
      <c r="E63" s="377"/>
      <c r="F63" s="335" t="s">
        <v>3</v>
      </c>
      <c r="G63" s="383">
        <v>46268</v>
      </c>
      <c r="H63" s="381"/>
    </row>
    <row r="64" spans="1:8" ht="15" hidden="1" customHeight="1">
      <c r="A64" s="14" t="s">
        <v>479</v>
      </c>
      <c r="B64" s="128" t="s">
        <v>464</v>
      </c>
      <c r="C64" s="161" t="s">
        <v>507</v>
      </c>
      <c r="D64" s="128" t="s">
        <v>466</v>
      </c>
      <c r="E64" s="377"/>
      <c r="F64" s="335" t="s">
        <v>3</v>
      </c>
      <c r="G64" s="383">
        <v>46268</v>
      </c>
      <c r="H64" s="381"/>
    </row>
    <row r="65" spans="1:8" ht="15" hidden="1" customHeight="1">
      <c r="A65" s="14" t="s">
        <v>106</v>
      </c>
      <c r="B65" s="128" t="s">
        <v>464</v>
      </c>
      <c r="C65" s="161" t="s">
        <v>497</v>
      </c>
      <c r="D65" s="128" t="s">
        <v>466</v>
      </c>
      <c r="E65" s="377"/>
      <c r="F65" s="335" t="s">
        <v>3</v>
      </c>
      <c r="G65" s="383">
        <v>46268</v>
      </c>
      <c r="H65" s="381"/>
    </row>
    <row r="66" spans="1:8" ht="15" hidden="1" customHeight="1">
      <c r="A66" s="14" t="s">
        <v>481</v>
      </c>
      <c r="B66" s="128" t="s">
        <v>470</v>
      </c>
      <c r="C66" s="161" t="s">
        <v>468</v>
      </c>
      <c r="D66" s="128" t="s">
        <v>466</v>
      </c>
      <c r="E66" s="377"/>
      <c r="F66" s="335" t="s">
        <v>3</v>
      </c>
      <c r="G66" s="383">
        <v>46268</v>
      </c>
      <c r="H66" s="381"/>
    </row>
    <row r="67" spans="1:8" ht="15" hidden="1" customHeight="1">
      <c r="A67" s="14" t="s">
        <v>120</v>
      </c>
      <c r="B67" s="128" t="s">
        <v>470</v>
      </c>
      <c r="C67" s="161" t="s">
        <v>523</v>
      </c>
      <c r="D67" s="128" t="s">
        <v>466</v>
      </c>
      <c r="E67" s="377"/>
      <c r="F67" s="335" t="s">
        <v>3</v>
      </c>
      <c r="G67" s="383">
        <v>46268</v>
      </c>
      <c r="H67" s="381"/>
    </row>
    <row r="68" spans="1:8" ht="15" customHeight="1">
      <c r="A68" s="14" t="s">
        <v>120</v>
      </c>
      <c r="B68" s="128" t="s">
        <v>470</v>
      </c>
      <c r="C68" s="161" t="s">
        <v>486</v>
      </c>
      <c r="D68" s="128" t="s">
        <v>466</v>
      </c>
      <c r="E68" s="377"/>
      <c r="F68" s="335" t="s">
        <v>473</v>
      </c>
      <c r="G68" s="241" t="s">
        <v>474</v>
      </c>
      <c r="H68" s="381"/>
    </row>
    <row r="69" spans="1:8" ht="15" hidden="1" customHeight="1">
      <c r="A69" s="14" t="s">
        <v>120</v>
      </c>
      <c r="B69" s="128" t="s">
        <v>470</v>
      </c>
      <c r="C69" s="161" t="s">
        <v>468</v>
      </c>
      <c r="D69" s="128" t="s">
        <v>466</v>
      </c>
      <c r="E69" s="377"/>
      <c r="F69" s="335" t="s">
        <v>3</v>
      </c>
      <c r="G69" s="383">
        <v>46268</v>
      </c>
      <c r="H69" s="381"/>
    </row>
    <row r="70" spans="1:8" ht="15" customHeight="1">
      <c r="A70" s="14" t="s">
        <v>126</v>
      </c>
      <c r="B70" s="128" t="s">
        <v>464</v>
      </c>
      <c r="C70" s="161" t="s">
        <v>468</v>
      </c>
      <c r="D70" s="128" t="s">
        <v>466</v>
      </c>
      <c r="E70" s="377"/>
      <c r="F70" s="335" t="s">
        <v>473</v>
      </c>
      <c r="G70" s="241" t="s">
        <v>474</v>
      </c>
      <c r="H70" s="381"/>
    </row>
    <row r="71" spans="1:8" ht="15" customHeight="1">
      <c r="A71" s="14" t="s">
        <v>126</v>
      </c>
      <c r="B71" s="128" t="s">
        <v>464</v>
      </c>
      <c r="C71" s="161" t="s">
        <v>468</v>
      </c>
      <c r="D71" s="128" t="s">
        <v>466</v>
      </c>
      <c r="E71" s="377"/>
      <c r="F71" s="335" t="s">
        <v>473</v>
      </c>
      <c r="G71" s="241" t="s">
        <v>474</v>
      </c>
      <c r="H71" s="381"/>
    </row>
    <row r="72" spans="1:8" ht="15" hidden="1" customHeight="1">
      <c r="A72" s="14" t="s">
        <v>126</v>
      </c>
      <c r="B72" s="128" t="s">
        <v>470</v>
      </c>
      <c r="C72" s="161" t="s">
        <v>468</v>
      </c>
      <c r="D72" s="128" t="s">
        <v>469</v>
      </c>
      <c r="E72" s="377"/>
      <c r="F72" s="335" t="s">
        <v>3</v>
      </c>
      <c r="G72" s="383">
        <v>46268</v>
      </c>
      <c r="H72" s="381"/>
    </row>
    <row r="73" spans="1:8" ht="15" hidden="1" customHeight="1">
      <c r="A73" s="14" t="s">
        <v>126</v>
      </c>
      <c r="B73" s="128" t="s">
        <v>470</v>
      </c>
      <c r="C73" s="161" t="s">
        <v>468</v>
      </c>
      <c r="D73" s="128" t="s">
        <v>466</v>
      </c>
      <c r="E73" s="377"/>
      <c r="F73" s="335" t="s">
        <v>3</v>
      </c>
      <c r="G73" s="383">
        <v>46268</v>
      </c>
      <c r="H73" s="381"/>
    </row>
    <row r="74" spans="1:8" ht="15" hidden="1" customHeight="1">
      <c r="A74" s="14" t="s">
        <v>129</v>
      </c>
      <c r="B74" s="128" t="s">
        <v>464</v>
      </c>
      <c r="C74" s="161" t="s">
        <v>477</v>
      </c>
      <c r="D74" s="128" t="s">
        <v>466</v>
      </c>
      <c r="E74" s="377"/>
      <c r="F74" s="335" t="s">
        <v>3</v>
      </c>
      <c r="G74" s="383">
        <v>46268</v>
      </c>
      <c r="H74" s="381"/>
    </row>
    <row r="75" spans="1:8" ht="15" hidden="1" customHeight="1">
      <c r="A75" s="237" t="s">
        <v>501</v>
      </c>
      <c r="B75" s="128" t="s">
        <v>464</v>
      </c>
      <c r="C75" s="161" t="s">
        <v>489</v>
      </c>
      <c r="D75" s="128" t="s">
        <v>466</v>
      </c>
      <c r="E75" s="377"/>
      <c r="F75" s="335" t="s">
        <v>3</v>
      </c>
      <c r="G75" s="383">
        <v>46268</v>
      </c>
      <c r="H75" s="381"/>
    </row>
    <row r="76" spans="1:8" ht="15" hidden="1" customHeight="1">
      <c r="A76" s="237" t="s">
        <v>501</v>
      </c>
      <c r="B76" s="128" t="s">
        <v>464</v>
      </c>
      <c r="C76" s="161" t="s">
        <v>524</v>
      </c>
      <c r="D76" s="128" t="s">
        <v>466</v>
      </c>
      <c r="E76" s="377"/>
      <c r="F76" s="335" t="s">
        <v>3</v>
      </c>
      <c r="G76" s="383">
        <v>46268</v>
      </c>
      <c r="H76" s="381"/>
    </row>
    <row r="77" spans="1:8" ht="15" hidden="1" customHeight="1">
      <c r="A77" s="237" t="s">
        <v>501</v>
      </c>
      <c r="B77" s="128" t="s">
        <v>464</v>
      </c>
      <c r="C77" s="161" t="s">
        <v>507</v>
      </c>
      <c r="D77" s="128" t="s">
        <v>466</v>
      </c>
      <c r="E77" s="377"/>
      <c r="F77" s="335" t="s">
        <v>3</v>
      </c>
      <c r="G77" s="383">
        <v>46268</v>
      </c>
      <c r="H77" s="381"/>
    </row>
    <row r="78" spans="1:8" ht="15" hidden="1" customHeight="1">
      <c r="A78" s="14" t="s">
        <v>502</v>
      </c>
      <c r="B78" s="128" t="s">
        <v>464</v>
      </c>
      <c r="C78" s="161" t="s">
        <v>507</v>
      </c>
      <c r="D78" s="128" t="s">
        <v>466</v>
      </c>
      <c r="E78" s="377"/>
      <c r="F78" s="335" t="s">
        <v>3</v>
      </c>
      <c r="G78" s="383">
        <v>46268</v>
      </c>
      <c r="H78" s="381"/>
    </row>
    <row r="79" spans="1:8" ht="15" hidden="1" customHeight="1">
      <c r="A79" s="14" t="s">
        <v>525</v>
      </c>
      <c r="B79" s="128" t="s">
        <v>464</v>
      </c>
      <c r="C79" s="161" t="s">
        <v>526</v>
      </c>
      <c r="D79" s="128" t="s">
        <v>466</v>
      </c>
      <c r="E79" s="377"/>
      <c r="F79" s="335" t="s">
        <v>3</v>
      </c>
      <c r="G79" s="383">
        <v>46268</v>
      </c>
      <c r="H79" s="381"/>
    </row>
    <row r="80" spans="1:8" ht="15" hidden="1" customHeight="1">
      <c r="A80" s="14" t="s">
        <v>525</v>
      </c>
      <c r="B80" s="128" t="s">
        <v>470</v>
      </c>
      <c r="C80" s="161" t="s">
        <v>477</v>
      </c>
      <c r="D80" s="128" t="s">
        <v>466</v>
      </c>
      <c r="E80" s="377"/>
      <c r="F80" s="335" t="s">
        <v>3</v>
      </c>
      <c r="G80" s="383">
        <v>46268</v>
      </c>
      <c r="H80" s="381"/>
    </row>
    <row r="81" spans="1:8" ht="15" hidden="1" customHeight="1">
      <c r="A81" s="14" t="s">
        <v>525</v>
      </c>
      <c r="B81" s="128" t="s">
        <v>470</v>
      </c>
      <c r="C81" s="161" t="s">
        <v>468</v>
      </c>
      <c r="D81" s="128" t="s">
        <v>466</v>
      </c>
      <c r="E81" s="377"/>
      <c r="F81" s="335" t="s">
        <v>3</v>
      </c>
      <c r="G81" s="383">
        <v>46298</v>
      </c>
      <c r="H81" s="381"/>
    </row>
    <row r="82" spans="1:8" ht="15" hidden="1" customHeight="1">
      <c r="A82" s="14" t="s">
        <v>525</v>
      </c>
      <c r="B82" s="128" t="s">
        <v>470</v>
      </c>
      <c r="C82" s="161" t="s">
        <v>516</v>
      </c>
      <c r="D82" s="128" t="s">
        <v>466</v>
      </c>
      <c r="E82" s="377"/>
      <c r="F82" s="335" t="s">
        <v>3</v>
      </c>
      <c r="G82" s="383">
        <v>46268</v>
      </c>
      <c r="H82" s="381"/>
    </row>
    <row r="83" spans="1:8" ht="15" hidden="1" customHeight="1">
      <c r="A83" s="14" t="s">
        <v>525</v>
      </c>
      <c r="B83" s="128" t="s">
        <v>470</v>
      </c>
      <c r="C83" s="161" t="s">
        <v>526</v>
      </c>
      <c r="D83" s="128" t="s">
        <v>466</v>
      </c>
      <c r="E83" s="377"/>
      <c r="F83" s="335" t="s">
        <v>3</v>
      </c>
      <c r="G83" s="383">
        <v>46268</v>
      </c>
      <c r="H83" s="381"/>
    </row>
    <row r="84" spans="1:8" ht="15" hidden="1" customHeight="1">
      <c r="A84" s="14" t="s">
        <v>161</v>
      </c>
      <c r="B84" s="128" t="s">
        <v>464</v>
      </c>
      <c r="C84" s="161" t="s">
        <v>507</v>
      </c>
      <c r="D84" s="128" t="s">
        <v>466</v>
      </c>
      <c r="E84" s="377"/>
      <c r="F84" s="335" t="s">
        <v>3</v>
      </c>
      <c r="G84" s="383">
        <v>46268</v>
      </c>
      <c r="H84" s="381"/>
    </row>
    <row r="85" spans="1:8" ht="15" hidden="1" customHeight="1">
      <c r="A85" s="14" t="s">
        <v>527</v>
      </c>
      <c r="B85" s="128" t="s">
        <v>464</v>
      </c>
      <c r="C85" s="161" t="s">
        <v>489</v>
      </c>
      <c r="D85" s="128" t="s">
        <v>466</v>
      </c>
      <c r="E85" s="377"/>
      <c r="F85" s="335" t="s">
        <v>3</v>
      </c>
      <c r="G85" s="383">
        <v>46268</v>
      </c>
      <c r="H85" s="381"/>
    </row>
    <row r="86" spans="1:8" ht="15" hidden="1" customHeight="1">
      <c r="A86" s="14" t="s">
        <v>527</v>
      </c>
      <c r="B86" s="128" t="s">
        <v>464</v>
      </c>
      <c r="C86" s="161" t="s">
        <v>523</v>
      </c>
      <c r="D86" s="128" t="s">
        <v>466</v>
      </c>
      <c r="E86" s="377"/>
      <c r="F86" s="335" t="s">
        <v>3</v>
      </c>
      <c r="G86" s="383">
        <v>46268</v>
      </c>
      <c r="H86" s="381"/>
    </row>
    <row r="87" spans="1:8" ht="15" customHeight="1">
      <c r="A87" s="14" t="s">
        <v>527</v>
      </c>
      <c r="B87" s="128" t="s">
        <v>464</v>
      </c>
      <c r="C87" s="161" t="s">
        <v>485</v>
      </c>
      <c r="D87" s="128" t="s">
        <v>466</v>
      </c>
      <c r="E87" s="377"/>
      <c r="F87" s="335" t="s">
        <v>473</v>
      </c>
      <c r="G87" s="241" t="s">
        <v>474</v>
      </c>
      <c r="H87" s="381"/>
    </row>
    <row r="88" spans="1:8" ht="15" hidden="1" customHeight="1">
      <c r="A88" s="14" t="s">
        <v>528</v>
      </c>
      <c r="B88" s="128" t="s">
        <v>464</v>
      </c>
      <c r="C88" s="161" t="s">
        <v>524</v>
      </c>
      <c r="D88" s="128" t="s">
        <v>466</v>
      </c>
      <c r="E88" s="377"/>
      <c r="F88" s="335" t="s">
        <v>3</v>
      </c>
      <c r="G88" s="383">
        <v>46268</v>
      </c>
      <c r="H88" s="381"/>
    </row>
    <row r="89" spans="1:8" ht="15" hidden="1" customHeight="1">
      <c r="A89" s="14" t="s">
        <v>528</v>
      </c>
      <c r="B89" s="128" t="s">
        <v>464</v>
      </c>
      <c r="C89" s="161" t="s">
        <v>507</v>
      </c>
      <c r="D89" s="128" t="s">
        <v>466</v>
      </c>
      <c r="E89" s="377"/>
      <c r="F89" s="335" t="s">
        <v>3</v>
      </c>
      <c r="G89" s="383">
        <v>46268</v>
      </c>
      <c r="H89" s="381"/>
    </row>
    <row r="90" spans="1:8" ht="15" hidden="1" customHeight="1">
      <c r="A90" s="14" t="s">
        <v>508</v>
      </c>
      <c r="B90" s="128" t="s">
        <v>464</v>
      </c>
      <c r="C90" s="161" t="s">
        <v>507</v>
      </c>
      <c r="D90" s="128" t="s">
        <v>466</v>
      </c>
      <c r="E90" s="377"/>
      <c r="F90" s="335" t="s">
        <v>3</v>
      </c>
      <c r="G90" s="383">
        <v>46268</v>
      </c>
      <c r="H90" s="381"/>
    </row>
    <row r="91" spans="1:8" ht="15" hidden="1" customHeight="1">
      <c r="A91" s="14" t="s">
        <v>509</v>
      </c>
      <c r="B91" s="128" t="s">
        <v>464</v>
      </c>
      <c r="C91" s="161" t="s">
        <v>507</v>
      </c>
      <c r="D91" s="128" t="s">
        <v>466</v>
      </c>
      <c r="E91" s="377"/>
      <c r="F91" s="335" t="s">
        <v>3</v>
      </c>
      <c r="G91" s="383">
        <v>46268</v>
      </c>
      <c r="H91" s="381"/>
    </row>
    <row r="92" spans="1:8" ht="15" customHeight="1">
      <c r="A92" s="14" t="s">
        <v>180</v>
      </c>
      <c r="B92" s="128" t="s">
        <v>464</v>
      </c>
      <c r="C92" s="161" t="s">
        <v>468</v>
      </c>
      <c r="D92" s="128" t="s">
        <v>466</v>
      </c>
      <c r="E92" s="377"/>
      <c r="F92" s="335" t="s">
        <v>473</v>
      </c>
      <c r="G92" s="241" t="s">
        <v>474</v>
      </c>
      <c r="H92" s="381"/>
    </row>
    <row r="93" spans="1:8" ht="15" customHeight="1">
      <c r="A93" s="12" t="s">
        <v>180</v>
      </c>
      <c r="B93" s="235" t="s">
        <v>470</v>
      </c>
      <c r="C93" s="236" t="s">
        <v>516</v>
      </c>
      <c r="D93" s="235" t="s">
        <v>466</v>
      </c>
      <c r="E93" s="378"/>
      <c r="F93" s="335" t="s">
        <v>473</v>
      </c>
      <c r="G93" s="241" t="s">
        <v>474</v>
      </c>
      <c r="H93" s="381"/>
    </row>
    <row r="94" spans="1:8" ht="15" hidden="1" customHeight="1">
      <c r="A94" s="14" t="s">
        <v>58</v>
      </c>
      <c r="B94" s="128" t="s">
        <v>464</v>
      </c>
      <c r="C94" s="161" t="s">
        <v>529</v>
      </c>
      <c r="D94" s="128" t="s">
        <v>466</v>
      </c>
      <c r="E94" s="377"/>
      <c r="F94" s="335" t="s">
        <v>3</v>
      </c>
      <c r="G94" s="383">
        <v>46298</v>
      </c>
      <c r="H94" s="381"/>
    </row>
    <row r="95" spans="1:8" ht="15" hidden="1" customHeight="1">
      <c r="A95" s="14" t="s">
        <v>58</v>
      </c>
      <c r="B95" s="128" t="s">
        <v>464</v>
      </c>
      <c r="C95" s="161" t="s">
        <v>530</v>
      </c>
      <c r="D95" s="128" t="s">
        <v>466</v>
      </c>
      <c r="E95" s="377"/>
      <c r="F95" s="335" t="s">
        <v>3</v>
      </c>
      <c r="G95" s="383">
        <v>46268</v>
      </c>
      <c r="H95" s="381"/>
    </row>
    <row r="96" spans="1:8" ht="15" hidden="1" customHeight="1">
      <c r="A96" s="14" t="s">
        <v>58</v>
      </c>
      <c r="B96" s="128" t="s">
        <v>464</v>
      </c>
      <c r="C96" s="161" t="s">
        <v>531</v>
      </c>
      <c r="D96" s="128" t="s">
        <v>466</v>
      </c>
      <c r="E96" s="377"/>
      <c r="F96" s="335" t="s">
        <v>3</v>
      </c>
      <c r="G96" s="383">
        <v>46268</v>
      </c>
      <c r="H96" s="381"/>
    </row>
    <row r="97" spans="1:8" ht="15" hidden="1" customHeight="1">
      <c r="A97" s="14" t="s">
        <v>58</v>
      </c>
      <c r="B97" s="128" t="s">
        <v>464</v>
      </c>
      <c r="C97" s="161" t="s">
        <v>522</v>
      </c>
      <c r="D97" s="128" t="s">
        <v>466</v>
      </c>
      <c r="E97" s="377"/>
      <c r="F97" s="335" t="s">
        <v>3</v>
      </c>
      <c r="G97" s="383">
        <v>46268</v>
      </c>
      <c r="H97" s="381"/>
    </row>
    <row r="98" spans="1:8" ht="15" hidden="1" customHeight="1">
      <c r="A98" s="14" t="s">
        <v>58</v>
      </c>
      <c r="B98" s="128" t="s">
        <v>464</v>
      </c>
      <c r="C98" s="161" t="s">
        <v>532</v>
      </c>
      <c r="D98" s="128" t="s">
        <v>466</v>
      </c>
      <c r="E98" s="377"/>
      <c r="F98" s="335" t="s">
        <v>3</v>
      </c>
      <c r="G98" s="383">
        <v>46268</v>
      </c>
      <c r="H98" s="381"/>
    </row>
    <row r="99" spans="1:8" ht="15" hidden="1" customHeight="1">
      <c r="A99" s="14" t="s">
        <v>58</v>
      </c>
      <c r="B99" s="128" t="s">
        <v>470</v>
      </c>
      <c r="C99" s="161" t="s">
        <v>533</v>
      </c>
      <c r="D99" s="128" t="s">
        <v>466</v>
      </c>
      <c r="E99" s="377"/>
      <c r="F99" s="335" t="s">
        <v>3</v>
      </c>
      <c r="G99" s="383">
        <v>46268</v>
      </c>
      <c r="H99" s="381"/>
    </row>
    <row r="100" spans="1:8" ht="15" hidden="1" customHeight="1">
      <c r="A100" s="14" t="s">
        <v>58</v>
      </c>
      <c r="B100" s="128" t="s">
        <v>470</v>
      </c>
      <c r="C100" s="161" t="s">
        <v>531</v>
      </c>
      <c r="D100" s="128" t="s">
        <v>466</v>
      </c>
      <c r="E100" s="377"/>
      <c r="F100" s="335" t="s">
        <v>3</v>
      </c>
      <c r="G100" s="383">
        <v>46268</v>
      </c>
      <c r="H100" s="381"/>
    </row>
    <row r="101" spans="1:8" ht="15" hidden="1" customHeight="1">
      <c r="A101" s="14" t="s">
        <v>63</v>
      </c>
      <c r="B101" s="128" t="s">
        <v>464</v>
      </c>
      <c r="C101" s="161" t="s">
        <v>507</v>
      </c>
      <c r="D101" s="128" t="s">
        <v>466</v>
      </c>
      <c r="E101" s="377"/>
      <c r="F101" s="335" t="s">
        <v>3</v>
      </c>
      <c r="G101" s="383">
        <v>46268</v>
      </c>
      <c r="H101" s="381"/>
    </row>
    <row r="102" spans="1:8" ht="15" hidden="1" customHeight="1">
      <c r="A102" s="14" t="s">
        <v>70</v>
      </c>
      <c r="B102" s="128" t="s">
        <v>464</v>
      </c>
      <c r="C102" s="161" t="s">
        <v>534</v>
      </c>
      <c r="D102" s="128" t="s">
        <v>466</v>
      </c>
      <c r="E102" s="253"/>
      <c r="F102" s="335" t="s">
        <v>3</v>
      </c>
      <c r="G102" s="383">
        <v>46268</v>
      </c>
      <c r="H102" s="381"/>
    </row>
    <row r="103" spans="1:8" ht="15" hidden="1" customHeight="1">
      <c r="A103" s="14" t="s">
        <v>70</v>
      </c>
      <c r="B103" s="128" t="s">
        <v>464</v>
      </c>
      <c r="C103" s="161" t="s">
        <v>535</v>
      </c>
      <c r="D103" s="128" t="s">
        <v>466</v>
      </c>
      <c r="E103" s="253"/>
      <c r="F103" s="335" t="s">
        <v>3</v>
      </c>
      <c r="G103" s="383">
        <v>46268</v>
      </c>
      <c r="H103" s="381"/>
    </row>
    <row r="104" spans="1:8" ht="15" hidden="1" customHeight="1">
      <c r="A104" s="14" t="s">
        <v>70</v>
      </c>
      <c r="B104" s="128" t="s">
        <v>464</v>
      </c>
      <c r="C104" s="161" t="s">
        <v>536</v>
      </c>
      <c r="D104" s="128" t="s">
        <v>466</v>
      </c>
      <c r="E104" s="253"/>
      <c r="F104" s="335" t="s">
        <v>3</v>
      </c>
      <c r="G104" s="383">
        <v>46268</v>
      </c>
      <c r="H104" s="381"/>
    </row>
    <row r="105" spans="1:8" ht="15" hidden="1" customHeight="1">
      <c r="A105" s="14" t="s">
        <v>70</v>
      </c>
      <c r="B105" s="128" t="s">
        <v>464</v>
      </c>
      <c r="C105" s="161" t="s">
        <v>519</v>
      </c>
      <c r="D105" s="128" t="s">
        <v>466</v>
      </c>
      <c r="E105" s="253"/>
      <c r="F105" s="335" t="s">
        <v>3</v>
      </c>
      <c r="G105" s="383">
        <v>46268</v>
      </c>
      <c r="H105" s="381"/>
    </row>
    <row r="106" spans="1:8" ht="15" hidden="1" customHeight="1">
      <c r="A106" s="14" t="s">
        <v>70</v>
      </c>
      <c r="B106" s="128" t="s">
        <v>470</v>
      </c>
      <c r="C106" s="161" t="s">
        <v>535</v>
      </c>
      <c r="D106" s="128" t="s">
        <v>466</v>
      </c>
      <c r="E106" s="253"/>
      <c r="F106" s="335" t="s">
        <v>3</v>
      </c>
      <c r="G106" s="383">
        <v>46268</v>
      </c>
      <c r="H106" s="381"/>
    </row>
    <row r="107" spans="1:8" ht="15" hidden="1" customHeight="1">
      <c r="A107" s="14" t="s">
        <v>82</v>
      </c>
      <c r="B107" s="128" t="s">
        <v>464</v>
      </c>
      <c r="C107" s="161" t="s">
        <v>480</v>
      </c>
      <c r="D107" s="128" t="s">
        <v>466</v>
      </c>
      <c r="E107" s="253"/>
      <c r="F107" s="335" t="s">
        <v>3</v>
      </c>
      <c r="G107" s="383">
        <v>46268</v>
      </c>
      <c r="H107" s="381"/>
    </row>
    <row r="108" spans="1:8" ht="15" hidden="1" customHeight="1">
      <c r="A108" s="14" t="s">
        <v>82</v>
      </c>
      <c r="B108" s="128" t="s">
        <v>464</v>
      </c>
      <c r="C108" s="161" t="s">
        <v>519</v>
      </c>
      <c r="D108" s="128" t="s">
        <v>466</v>
      </c>
      <c r="E108" s="253"/>
      <c r="F108" s="335" t="s">
        <v>3</v>
      </c>
      <c r="G108" s="383">
        <v>46268</v>
      </c>
      <c r="H108" s="381"/>
    </row>
    <row r="109" spans="1:8" ht="15" hidden="1" customHeight="1">
      <c r="A109" s="14" t="s">
        <v>85</v>
      </c>
      <c r="B109" s="128" t="s">
        <v>464</v>
      </c>
      <c r="C109" s="161" t="s">
        <v>507</v>
      </c>
      <c r="D109" s="128" t="s">
        <v>466</v>
      </c>
      <c r="E109" s="253"/>
      <c r="F109" s="335" t="s">
        <v>3</v>
      </c>
      <c r="G109" s="383">
        <v>46268</v>
      </c>
      <c r="H109" s="381"/>
    </row>
    <row r="110" spans="1:8" ht="15" hidden="1" customHeight="1">
      <c r="A110" s="14" t="s">
        <v>85</v>
      </c>
      <c r="B110" s="128" t="s">
        <v>470</v>
      </c>
      <c r="C110" s="161" t="s">
        <v>537</v>
      </c>
      <c r="D110" s="128" t="s">
        <v>466</v>
      </c>
      <c r="E110" s="253"/>
      <c r="F110" s="335" t="s">
        <v>3</v>
      </c>
      <c r="G110" s="383">
        <v>46268</v>
      </c>
      <c r="H110" s="381"/>
    </row>
    <row r="111" spans="1:8" ht="15" hidden="1" customHeight="1">
      <c r="A111" s="14" t="s">
        <v>187</v>
      </c>
      <c r="B111" s="128" t="s">
        <v>464</v>
      </c>
      <c r="C111" s="161" t="s">
        <v>507</v>
      </c>
      <c r="D111" s="128" t="s">
        <v>466</v>
      </c>
      <c r="E111" s="253"/>
      <c r="F111" s="335" t="s">
        <v>3</v>
      </c>
      <c r="G111" s="383">
        <v>46268</v>
      </c>
      <c r="H111" s="381"/>
    </row>
    <row r="112" spans="1:8" ht="15" hidden="1" customHeight="1">
      <c r="A112" s="14" t="s">
        <v>187</v>
      </c>
      <c r="B112" s="128" t="s">
        <v>470</v>
      </c>
      <c r="C112" s="161" t="s">
        <v>477</v>
      </c>
      <c r="D112" s="128" t="s">
        <v>469</v>
      </c>
      <c r="E112" s="253"/>
      <c r="F112" s="335" t="s">
        <v>3</v>
      </c>
      <c r="G112" s="383">
        <v>46268</v>
      </c>
      <c r="H112" s="381"/>
    </row>
    <row r="113" spans="1:8" ht="15" hidden="1" customHeight="1">
      <c r="A113" s="14" t="s">
        <v>187</v>
      </c>
      <c r="B113" s="128" t="s">
        <v>470</v>
      </c>
      <c r="C113" s="161" t="s">
        <v>477</v>
      </c>
      <c r="D113" s="128" t="s">
        <v>466</v>
      </c>
      <c r="E113" s="253"/>
      <c r="F113" s="335" t="s">
        <v>3</v>
      </c>
      <c r="G113" s="383">
        <v>46268</v>
      </c>
      <c r="H113" s="381"/>
    </row>
    <row r="114" spans="1:8" ht="15" hidden="1" customHeight="1">
      <c r="A114" s="14" t="s">
        <v>110</v>
      </c>
      <c r="B114" s="128" t="s">
        <v>470</v>
      </c>
      <c r="C114" s="161" t="s">
        <v>523</v>
      </c>
      <c r="D114" s="128" t="s">
        <v>469</v>
      </c>
      <c r="E114" s="253"/>
      <c r="F114" s="335" t="s">
        <v>3</v>
      </c>
      <c r="G114" s="383">
        <v>46268</v>
      </c>
      <c r="H114" s="381"/>
    </row>
    <row r="115" spans="1:8" ht="15" customHeight="1">
      <c r="A115" s="14" t="s">
        <v>110</v>
      </c>
      <c r="B115" s="128" t="s">
        <v>470</v>
      </c>
      <c r="C115" s="161" t="s">
        <v>523</v>
      </c>
      <c r="D115" s="128" t="s">
        <v>466</v>
      </c>
      <c r="E115" s="253"/>
      <c r="F115" s="335" t="s">
        <v>473</v>
      </c>
      <c r="G115" s="241" t="s">
        <v>474</v>
      </c>
      <c r="H115" s="381"/>
    </row>
    <row r="116" spans="1:8" ht="15" hidden="1" customHeight="1">
      <c r="A116" s="14" t="s">
        <v>538</v>
      </c>
      <c r="B116" s="128" t="s">
        <v>464</v>
      </c>
      <c r="C116" s="161" t="s">
        <v>480</v>
      </c>
      <c r="D116" s="128" t="s">
        <v>466</v>
      </c>
      <c r="E116" s="253"/>
      <c r="F116" s="335" t="s">
        <v>3</v>
      </c>
      <c r="G116" s="383">
        <v>46268</v>
      </c>
      <c r="H116" s="381"/>
    </row>
    <row r="117" spans="1:8" ht="15" hidden="1" customHeight="1">
      <c r="A117" s="14" t="s">
        <v>538</v>
      </c>
      <c r="B117" s="128" t="s">
        <v>464</v>
      </c>
      <c r="C117" s="161" t="s">
        <v>507</v>
      </c>
      <c r="D117" s="128" t="s">
        <v>466</v>
      </c>
      <c r="E117" s="253"/>
      <c r="F117" s="335" t="s">
        <v>3</v>
      </c>
      <c r="G117" s="383">
        <v>46268</v>
      </c>
      <c r="H117" s="381"/>
    </row>
    <row r="118" spans="1:8" ht="15" hidden="1" customHeight="1">
      <c r="A118" s="14" t="s">
        <v>538</v>
      </c>
      <c r="B118" s="128" t="s">
        <v>464</v>
      </c>
      <c r="C118" s="161" t="s">
        <v>531</v>
      </c>
      <c r="D118" s="128" t="s">
        <v>466</v>
      </c>
      <c r="E118" s="253"/>
      <c r="F118" s="335" t="s">
        <v>3</v>
      </c>
      <c r="G118" s="383">
        <v>46268</v>
      </c>
      <c r="H118" s="381"/>
    </row>
    <row r="119" spans="1:8" ht="15" hidden="1" customHeight="1">
      <c r="A119" s="14" t="s">
        <v>539</v>
      </c>
      <c r="B119" s="128" t="s">
        <v>464</v>
      </c>
      <c r="C119" s="161" t="s">
        <v>477</v>
      </c>
      <c r="D119" s="128" t="s">
        <v>466</v>
      </c>
      <c r="E119" s="253"/>
      <c r="F119" s="335" t="s">
        <v>3</v>
      </c>
      <c r="G119" s="383">
        <v>46268</v>
      </c>
      <c r="H119" s="381"/>
    </row>
    <row r="120" spans="1:8" ht="15" hidden="1" customHeight="1">
      <c r="A120" s="14" t="s">
        <v>539</v>
      </c>
      <c r="B120" s="128" t="s">
        <v>470</v>
      </c>
      <c r="C120" s="161" t="s">
        <v>493</v>
      </c>
      <c r="D120" s="128" t="s">
        <v>466</v>
      </c>
      <c r="E120" s="253"/>
      <c r="F120" s="335" t="s">
        <v>3</v>
      </c>
      <c r="G120" s="383">
        <v>46268</v>
      </c>
      <c r="H120" s="381"/>
    </row>
    <row r="121" spans="1:8" ht="15" hidden="1" customHeight="1">
      <c r="A121" s="14" t="s">
        <v>540</v>
      </c>
      <c r="B121" s="128" t="s">
        <v>464</v>
      </c>
      <c r="C121" s="161" t="s">
        <v>507</v>
      </c>
      <c r="D121" s="128" t="s">
        <v>466</v>
      </c>
      <c r="E121" s="253"/>
      <c r="F121" s="335" t="s">
        <v>3</v>
      </c>
      <c r="G121" s="383">
        <v>46268</v>
      </c>
      <c r="H121" s="381"/>
    </row>
    <row r="122" spans="1:8" ht="15" hidden="1" customHeight="1">
      <c r="A122" s="14" t="s">
        <v>540</v>
      </c>
      <c r="B122" s="128" t="s">
        <v>470</v>
      </c>
      <c r="C122" s="161" t="s">
        <v>519</v>
      </c>
      <c r="D122" s="128" t="s">
        <v>469</v>
      </c>
      <c r="E122" s="253"/>
      <c r="F122" s="335" t="s">
        <v>3</v>
      </c>
      <c r="G122" s="383">
        <v>46268</v>
      </c>
      <c r="H122" s="381"/>
    </row>
    <row r="123" spans="1:8" ht="15" customHeight="1">
      <c r="A123" s="14" t="s">
        <v>540</v>
      </c>
      <c r="B123" s="128" t="s">
        <v>470</v>
      </c>
      <c r="C123" s="161" t="s">
        <v>519</v>
      </c>
      <c r="D123" s="128" t="s">
        <v>466</v>
      </c>
      <c r="E123" s="253"/>
      <c r="F123" s="335" t="s">
        <v>473</v>
      </c>
      <c r="G123" s="241" t="s">
        <v>474</v>
      </c>
      <c r="H123" s="381"/>
    </row>
    <row r="124" spans="1:8" ht="15" hidden="1" customHeight="1">
      <c r="A124" s="12" t="s">
        <v>151</v>
      </c>
      <c r="B124" s="235" t="s">
        <v>464</v>
      </c>
      <c r="C124" s="236" t="s">
        <v>507</v>
      </c>
      <c r="D124" s="235" t="s">
        <v>466</v>
      </c>
      <c r="E124" s="379"/>
      <c r="F124" s="335" t="s">
        <v>3</v>
      </c>
      <c r="G124" s="383">
        <v>46268</v>
      </c>
      <c r="H124" s="381"/>
    </row>
    <row r="125" spans="1:8" ht="15" hidden="1" customHeight="1">
      <c r="A125" s="14" t="s">
        <v>183</v>
      </c>
      <c r="B125" s="128" t="s">
        <v>470</v>
      </c>
      <c r="C125" s="161" t="s">
        <v>477</v>
      </c>
      <c r="D125" s="128" t="s">
        <v>466</v>
      </c>
      <c r="E125" s="253"/>
      <c r="F125" s="335" t="s">
        <v>3</v>
      </c>
      <c r="G125" s="383">
        <v>46268</v>
      </c>
      <c r="H125" s="381"/>
    </row>
    <row r="126" spans="1:8" ht="15" hidden="1" customHeight="1">
      <c r="A126" s="14" t="s">
        <v>183</v>
      </c>
      <c r="B126" s="128" t="s">
        <v>470</v>
      </c>
      <c r="C126" s="161" t="s">
        <v>516</v>
      </c>
      <c r="D126" s="128" t="s">
        <v>466</v>
      </c>
      <c r="E126" s="253"/>
      <c r="F126" s="335" t="s">
        <v>3</v>
      </c>
      <c r="G126" s="383">
        <v>46268</v>
      </c>
      <c r="H126" s="381"/>
    </row>
    <row r="127" spans="1:8" ht="15" customHeight="1">
      <c r="A127" s="14" t="s">
        <v>541</v>
      </c>
      <c r="B127" s="128" t="s">
        <v>470</v>
      </c>
      <c r="C127" s="161" t="s">
        <v>477</v>
      </c>
      <c r="D127" s="128" t="s">
        <v>469</v>
      </c>
      <c r="E127" s="253"/>
      <c r="F127" s="335" t="s">
        <v>473</v>
      </c>
      <c r="G127" s="241" t="s">
        <v>474</v>
      </c>
      <c r="H127" s="381" t="s">
        <v>542</v>
      </c>
    </row>
    <row r="128" spans="1:8" ht="15" customHeight="1">
      <c r="A128" s="14" t="s">
        <v>541</v>
      </c>
      <c r="B128" s="128" t="s">
        <v>470</v>
      </c>
      <c r="C128" s="161" t="s">
        <v>477</v>
      </c>
      <c r="D128" s="128" t="s">
        <v>466</v>
      </c>
      <c r="E128" s="253"/>
      <c r="F128" s="335" t="s">
        <v>473</v>
      </c>
      <c r="G128" s="241" t="s">
        <v>474</v>
      </c>
      <c r="H128" s="381"/>
    </row>
    <row r="129" spans="1:8" ht="15" customHeight="1">
      <c r="A129" s="14" t="s">
        <v>541</v>
      </c>
      <c r="B129" s="128" t="s">
        <v>464</v>
      </c>
      <c r="C129" s="161" t="s">
        <v>543</v>
      </c>
      <c r="D129" s="128" t="s">
        <v>466</v>
      </c>
      <c r="E129" s="253"/>
      <c r="F129" s="335" t="s">
        <v>473</v>
      </c>
      <c r="G129" s="241" t="s">
        <v>474</v>
      </c>
      <c r="H129" s="381"/>
    </row>
    <row r="130" spans="1:8" ht="15" hidden="1" customHeight="1">
      <c r="A130" s="14" t="s">
        <v>216</v>
      </c>
      <c r="B130" s="128" t="s">
        <v>464</v>
      </c>
      <c r="C130" s="161" t="s">
        <v>544</v>
      </c>
      <c r="D130" s="128" t="s">
        <v>466</v>
      </c>
      <c r="E130" s="253"/>
      <c r="F130" s="335" t="s">
        <v>3</v>
      </c>
      <c r="G130" s="383">
        <v>46268</v>
      </c>
      <c r="H130" s="381"/>
    </row>
    <row r="131" spans="1:8" ht="15" hidden="1" customHeight="1">
      <c r="A131" s="14" t="s">
        <v>545</v>
      </c>
      <c r="B131" s="128" t="s">
        <v>464</v>
      </c>
      <c r="C131" s="161" t="s">
        <v>546</v>
      </c>
      <c r="D131" s="128" t="s">
        <v>466</v>
      </c>
      <c r="E131" s="253"/>
      <c r="F131" s="335" t="s">
        <v>3</v>
      </c>
      <c r="G131" s="383">
        <v>46298</v>
      </c>
      <c r="H131" s="381"/>
    </row>
    <row r="132" spans="1:8" ht="15" hidden="1" customHeight="1">
      <c r="A132" s="14" t="s">
        <v>547</v>
      </c>
      <c r="B132" s="128" t="s">
        <v>464</v>
      </c>
      <c r="C132" s="161" t="s">
        <v>548</v>
      </c>
      <c r="D132" s="128" t="s">
        <v>469</v>
      </c>
      <c r="E132" s="253"/>
      <c r="F132" s="335" t="s">
        <v>3</v>
      </c>
      <c r="G132" s="384">
        <v>46329</v>
      </c>
      <c r="H132" s="381"/>
    </row>
    <row r="133" spans="1:8" ht="15" customHeight="1">
      <c r="A133" s="14" t="s">
        <v>547</v>
      </c>
      <c r="B133" s="128" t="s">
        <v>464</v>
      </c>
      <c r="C133" s="161" t="s">
        <v>548</v>
      </c>
      <c r="D133" s="128" t="s">
        <v>466</v>
      </c>
      <c r="E133" s="253"/>
      <c r="F133" s="335" t="s">
        <v>473</v>
      </c>
      <c r="G133" s="241" t="s">
        <v>474</v>
      </c>
      <c r="H133" s="381"/>
    </row>
    <row r="134" spans="1:8" ht="15" customHeight="1">
      <c r="A134" s="14"/>
      <c r="B134" s="128"/>
      <c r="C134" s="161"/>
      <c r="D134" s="128"/>
      <c r="E134" s="253"/>
      <c r="F134" s="128"/>
      <c r="G134" s="128"/>
      <c r="H134" s="161"/>
    </row>
    <row r="135" spans="1:8" ht="15" customHeight="1">
      <c r="A135" s="14"/>
      <c r="B135" s="128"/>
      <c r="C135" s="161"/>
      <c r="D135" s="128"/>
      <c r="E135" s="253"/>
      <c r="F135" s="128"/>
      <c r="G135" s="128"/>
      <c r="H135" s="161"/>
    </row>
    <row r="136" spans="1:8" ht="15" customHeight="1">
      <c r="A136" s="14"/>
      <c r="B136" s="128"/>
      <c r="C136" s="161"/>
      <c r="D136" s="128"/>
      <c r="E136" s="253"/>
      <c r="F136" s="128"/>
      <c r="G136" s="128"/>
      <c r="H136" s="161"/>
    </row>
    <row r="137" spans="1:8" ht="15" customHeight="1">
      <c r="A137" s="14"/>
      <c r="B137" s="128"/>
      <c r="C137" s="161"/>
      <c r="D137" s="128"/>
      <c r="E137" s="253"/>
      <c r="F137" s="128"/>
      <c r="G137" s="128"/>
      <c r="H137" s="161"/>
    </row>
    <row r="138" spans="1:8" ht="15" customHeight="1">
      <c r="A138" s="14"/>
      <c r="B138" s="128"/>
      <c r="C138" s="161"/>
      <c r="D138" s="128"/>
      <c r="E138" s="253"/>
      <c r="F138" s="128"/>
      <c r="G138" s="128"/>
      <c r="H138" s="161"/>
    </row>
    <row r="139" spans="1:8" ht="15" customHeight="1">
      <c r="A139" s="14"/>
      <c r="B139" s="128"/>
      <c r="C139" s="161"/>
      <c r="D139" s="128"/>
      <c r="E139" s="253"/>
      <c r="F139" s="128"/>
      <c r="G139" s="128"/>
      <c r="H139" s="161"/>
    </row>
    <row r="140" spans="1:8" ht="15" customHeight="1">
      <c r="A140" s="14"/>
      <c r="B140" s="128"/>
      <c r="C140" s="161"/>
      <c r="D140" s="128"/>
      <c r="E140" s="253"/>
      <c r="F140" s="128"/>
      <c r="G140" s="128"/>
      <c r="H140" s="161"/>
    </row>
    <row r="141" spans="1:8" ht="15" customHeight="1">
      <c r="A141" s="14"/>
      <c r="B141" s="128"/>
      <c r="C141" s="161"/>
      <c r="D141" s="128"/>
      <c r="E141" s="253"/>
      <c r="F141" s="128"/>
      <c r="G141" s="128"/>
      <c r="H141" s="161"/>
    </row>
    <row r="142" spans="1:8" ht="15" customHeight="1">
      <c r="A142" s="14"/>
      <c r="B142" s="128"/>
      <c r="C142" s="161"/>
      <c r="D142" s="128"/>
      <c r="E142" s="253"/>
      <c r="F142" s="128"/>
      <c r="G142" s="128"/>
      <c r="H142" s="161"/>
    </row>
    <row r="143" spans="1:8" ht="15" customHeight="1">
      <c r="A143" s="14"/>
      <c r="B143" s="128"/>
      <c r="C143" s="161"/>
      <c r="D143" s="128"/>
      <c r="E143" s="253"/>
      <c r="F143" s="128"/>
      <c r="G143" s="128"/>
      <c r="H143" s="161"/>
    </row>
    <row r="144" spans="1:8" ht="15" customHeight="1">
      <c r="A144" s="14"/>
      <c r="B144" s="128"/>
      <c r="C144" s="161"/>
      <c r="D144" s="128"/>
      <c r="E144" s="253"/>
      <c r="F144" s="128"/>
      <c r="G144" s="128"/>
      <c r="H144" s="161"/>
    </row>
    <row r="145" spans="1:8" ht="15" customHeight="1">
      <c r="A145" s="14"/>
      <c r="B145" s="128"/>
      <c r="C145" s="161"/>
      <c r="D145" s="128"/>
      <c r="E145" s="253"/>
      <c r="F145" s="128"/>
      <c r="G145" s="128"/>
      <c r="H145" s="161"/>
    </row>
    <row r="146" spans="1:8" ht="15" customHeight="1">
      <c r="A146" s="14"/>
      <c r="B146" s="128"/>
      <c r="C146" s="161"/>
      <c r="D146" s="128"/>
      <c r="E146" s="253"/>
      <c r="F146" s="128"/>
      <c r="G146" s="128"/>
      <c r="H146" s="161"/>
    </row>
    <row r="147" spans="1:8" ht="15" customHeight="1">
      <c r="A147" s="14"/>
      <c r="B147" s="128"/>
      <c r="C147" s="161"/>
      <c r="D147" s="128"/>
      <c r="E147" s="253"/>
      <c r="F147" s="128"/>
      <c r="G147" s="128"/>
      <c r="H147" s="161"/>
    </row>
    <row r="148" spans="1:8" ht="15" customHeight="1">
      <c r="A148" s="14"/>
      <c r="B148" s="128"/>
      <c r="C148" s="161"/>
      <c r="D148" s="128"/>
      <c r="E148" s="253"/>
      <c r="F148" s="128"/>
      <c r="G148" s="128"/>
      <c r="H148" s="161"/>
    </row>
    <row r="149" spans="1:8" ht="15" customHeight="1">
      <c r="A149" s="14"/>
      <c r="B149" s="128"/>
      <c r="C149" s="161"/>
      <c r="D149" s="128"/>
      <c r="E149" s="253"/>
      <c r="F149" s="128"/>
      <c r="G149" s="128"/>
      <c r="H149" s="161"/>
    </row>
    <row r="150" spans="1:8" ht="15" customHeight="1">
      <c r="A150" s="14"/>
      <c r="B150" s="128"/>
      <c r="C150" s="161"/>
      <c r="D150" s="128"/>
      <c r="E150" s="253"/>
      <c r="F150" s="128"/>
      <c r="G150" s="128"/>
      <c r="H150" s="161"/>
    </row>
    <row r="151" spans="1:8" ht="15" customHeight="1">
      <c r="A151" s="14"/>
      <c r="B151" s="128"/>
      <c r="C151" s="161"/>
      <c r="D151" s="128"/>
      <c r="E151" s="253"/>
      <c r="F151" s="128"/>
      <c r="G151" s="128"/>
      <c r="H151" s="161"/>
    </row>
    <row r="152" spans="1:8" ht="15" customHeight="1">
      <c r="A152" s="15"/>
      <c r="C152" s="163"/>
    </row>
    <row r="153" spans="1:8" ht="15" customHeight="1">
      <c r="A153" s="15"/>
      <c r="C153" s="163"/>
    </row>
    <row r="154" spans="1:8" ht="15" customHeight="1">
      <c r="A154" s="15"/>
      <c r="C154" s="163"/>
    </row>
    <row r="155" spans="1:8" ht="15" customHeight="1">
      <c r="A155" s="15"/>
      <c r="C155" s="163"/>
    </row>
    <row r="156" spans="1:8" ht="15" customHeight="1">
      <c r="A156" s="15"/>
      <c r="C156" s="163"/>
    </row>
    <row r="157" spans="1:8" ht="15" customHeight="1">
      <c r="A157" s="15"/>
      <c r="C157" s="163"/>
    </row>
    <row r="158" spans="1:8" ht="15" customHeight="1">
      <c r="A158" s="15"/>
      <c r="C158" s="163"/>
    </row>
    <row r="159" spans="1:8" ht="15" customHeight="1">
      <c r="A159" s="15"/>
      <c r="C159" s="163"/>
    </row>
    <row r="160" spans="1:8" ht="15" customHeight="1">
      <c r="A160" s="15"/>
      <c r="C160" s="163"/>
    </row>
    <row r="161" spans="1:3" ht="15" customHeight="1">
      <c r="A161" s="15"/>
      <c r="C161" s="163"/>
    </row>
    <row r="162" spans="1:3" ht="15" customHeight="1">
      <c r="A162" s="15"/>
      <c r="C162" s="163"/>
    </row>
    <row r="163" spans="1:3" ht="15" customHeight="1">
      <c r="A163" s="15"/>
      <c r="C163" s="163"/>
    </row>
    <row r="164" spans="1:3" ht="15" customHeight="1">
      <c r="A164" s="15"/>
      <c r="C164" s="163"/>
    </row>
    <row r="165" spans="1:3" ht="15" customHeight="1">
      <c r="A165" s="15"/>
      <c r="C165" s="163"/>
    </row>
    <row r="166" spans="1:3" ht="15" customHeight="1">
      <c r="A166" s="15"/>
      <c r="C166" s="163"/>
    </row>
    <row r="167" spans="1:3" ht="15" customHeight="1">
      <c r="A167" s="15"/>
      <c r="C167" s="163"/>
    </row>
    <row r="168" spans="1:3" ht="15" customHeight="1">
      <c r="A168" s="15"/>
      <c r="C168" s="163"/>
    </row>
    <row r="169" spans="1:3" ht="15" customHeight="1">
      <c r="A169" s="15"/>
      <c r="C169" s="163"/>
    </row>
    <row r="170" spans="1:3" ht="15" customHeight="1">
      <c r="A170" s="15"/>
      <c r="C170" s="163"/>
    </row>
    <row r="171" spans="1:3" ht="15" customHeight="1">
      <c r="A171" s="15"/>
      <c r="C171" s="163"/>
    </row>
    <row r="172" spans="1:3" ht="15" customHeight="1">
      <c r="A172" s="15"/>
      <c r="C172" s="163"/>
    </row>
    <row r="173" spans="1:3" ht="15" customHeight="1">
      <c r="A173" s="15"/>
      <c r="C173" s="163"/>
    </row>
    <row r="174" spans="1:3" ht="15" customHeight="1">
      <c r="A174" s="15"/>
      <c r="C174" s="163"/>
    </row>
    <row r="175" spans="1:3" ht="15" customHeight="1">
      <c r="A175" s="15"/>
      <c r="C175" s="163"/>
    </row>
    <row r="176" spans="1:3" ht="15" customHeight="1">
      <c r="A176" s="15"/>
      <c r="C176" s="163"/>
    </row>
    <row r="177" spans="1:3" ht="15" customHeight="1">
      <c r="A177" s="15"/>
      <c r="C177" s="163"/>
    </row>
    <row r="178" spans="1:3" ht="15" customHeight="1">
      <c r="A178" s="15"/>
      <c r="C178" s="163"/>
    </row>
    <row r="179" spans="1:3" ht="15" customHeight="1">
      <c r="A179" s="15"/>
      <c r="C179" s="163"/>
    </row>
    <row r="180" spans="1:3" ht="15" customHeight="1">
      <c r="A180" s="15"/>
      <c r="C180" s="163"/>
    </row>
    <row r="181" spans="1:3" ht="15" customHeight="1">
      <c r="A181" s="15"/>
      <c r="C181" s="163"/>
    </row>
    <row r="182" spans="1:3" ht="15" customHeight="1">
      <c r="A182" s="15"/>
      <c r="C182" s="163"/>
    </row>
    <row r="183" spans="1:3" ht="15" customHeight="1">
      <c r="A183" s="15"/>
      <c r="C183" s="163"/>
    </row>
    <row r="184" spans="1:3" ht="15" customHeight="1">
      <c r="A184" s="15"/>
      <c r="C184" s="163"/>
    </row>
    <row r="185" spans="1:3" ht="15" customHeight="1">
      <c r="A185" s="15"/>
      <c r="C185" s="163"/>
    </row>
  </sheetData>
  <autoFilter ref="A1:F151" xr:uid="{A12A286D-059E-44D1-8D3D-4CAE18BBE916}">
    <filterColumn colId="5">
      <filters blank="1">
        <filter val="Unresolved"/>
      </filters>
    </filterColumn>
  </autoFilter>
  <pageMargins left="0.7" right="0.7" top="0.75" bottom="0.75" header="0.3" footer="0.3"/>
  <headerFooter>
    <oddFooter>&amp;C_x000D_&amp;1#&amp;"Aptos"&amp;12&amp;K000000 SBI Card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16B4-6F13-47CA-B2B7-0030E33BC770}">
  <dimension ref="A1:H48"/>
  <sheetViews>
    <sheetView workbookViewId="0">
      <pane ySplit="1" topLeftCell="A21" activePane="bottomLeft" state="frozen"/>
      <selection pane="bottomLeft" activeCell="B35" sqref="B35"/>
    </sheetView>
  </sheetViews>
  <sheetFormatPr defaultRowHeight="15"/>
  <cols>
    <col min="1" max="1" width="32.85546875" style="15" customWidth="1"/>
    <col min="2" max="2" width="48.42578125" style="15" customWidth="1"/>
    <col min="3" max="3" width="51.28515625" style="15" customWidth="1"/>
    <col min="4" max="4" width="52.7109375" style="15" customWidth="1"/>
    <col min="5" max="7" width="20" style="8" customWidth="1"/>
    <col min="8" max="8" width="39.5703125" style="423" customWidth="1"/>
    <col min="9" max="16384" width="9.140625" style="27"/>
  </cols>
  <sheetData>
    <row r="1" spans="1:8">
      <c r="A1" s="304" t="s">
        <v>549</v>
      </c>
      <c r="B1" s="304" t="s">
        <v>550</v>
      </c>
      <c r="C1" s="304" t="s">
        <v>551</v>
      </c>
      <c r="D1" s="304" t="s">
        <v>552</v>
      </c>
      <c r="E1" s="304" t="s">
        <v>553</v>
      </c>
      <c r="F1" s="304" t="s">
        <v>550</v>
      </c>
      <c r="G1" s="304" t="s">
        <v>554</v>
      </c>
      <c r="H1" s="422" t="s">
        <v>276</v>
      </c>
    </row>
    <row r="2" spans="1:8" s="281" customFormat="1" ht="101.25">
      <c r="A2" s="302" t="s">
        <v>555</v>
      </c>
      <c r="B2" s="302" t="s">
        <v>556</v>
      </c>
      <c r="C2" s="303" t="s">
        <v>557</v>
      </c>
      <c r="D2" s="303" t="s">
        <v>558</v>
      </c>
      <c r="E2" s="259" t="s">
        <v>559</v>
      </c>
      <c r="F2" s="259" t="s">
        <v>559</v>
      </c>
      <c r="G2" s="259" t="s">
        <v>560</v>
      </c>
      <c r="H2" s="79" t="s">
        <v>561</v>
      </c>
    </row>
    <row r="3" spans="1:8">
      <c r="A3" s="49" t="s">
        <v>562</v>
      </c>
      <c r="B3" s="49" t="s">
        <v>563</v>
      </c>
      <c r="C3" s="14" t="s">
        <v>564</v>
      </c>
      <c r="D3" s="14" t="s">
        <v>564</v>
      </c>
      <c r="E3" s="259" t="s">
        <v>559</v>
      </c>
      <c r="F3" s="259" t="s">
        <v>559</v>
      </c>
      <c r="G3" s="259" t="s">
        <v>559</v>
      </c>
      <c r="H3" s="79"/>
    </row>
    <row r="4" spans="1:8" ht="57.75">
      <c r="A4" s="49" t="s">
        <v>145</v>
      </c>
      <c r="B4" s="302" t="s">
        <v>565</v>
      </c>
      <c r="C4" s="303" t="s">
        <v>566</v>
      </c>
      <c r="D4" s="303" t="s">
        <v>567</v>
      </c>
      <c r="E4" s="259" t="s">
        <v>559</v>
      </c>
      <c r="F4" s="259" t="s">
        <v>559</v>
      </c>
      <c r="G4" s="259" t="s">
        <v>559</v>
      </c>
      <c r="H4" s="79" t="s">
        <v>568</v>
      </c>
    </row>
    <row r="5" spans="1:8">
      <c r="A5" s="49" t="s">
        <v>50</v>
      </c>
      <c r="B5" s="49" t="s">
        <v>569</v>
      </c>
      <c r="C5" s="14" t="s">
        <v>570</v>
      </c>
      <c r="D5" s="14" t="s">
        <v>39</v>
      </c>
      <c r="E5" s="7" t="s">
        <v>39</v>
      </c>
      <c r="F5" s="7" t="s">
        <v>39</v>
      </c>
      <c r="G5" s="7" t="s">
        <v>39</v>
      </c>
      <c r="H5" s="79"/>
    </row>
    <row r="6" spans="1:8" ht="57.75">
      <c r="A6" s="49" t="s">
        <v>571</v>
      </c>
      <c r="B6" s="302" t="s">
        <v>572</v>
      </c>
      <c r="C6" s="303" t="s">
        <v>573</v>
      </c>
      <c r="D6" s="303" t="s">
        <v>574</v>
      </c>
      <c r="E6" s="259" t="s">
        <v>559</v>
      </c>
      <c r="F6" s="259" t="s">
        <v>559</v>
      </c>
      <c r="G6" s="259" t="s">
        <v>559</v>
      </c>
      <c r="H6" s="79"/>
    </row>
    <row r="7" spans="1:8" ht="57.75">
      <c r="A7" s="49" t="s">
        <v>479</v>
      </c>
      <c r="B7" s="302" t="s">
        <v>575</v>
      </c>
      <c r="C7" s="303" t="s">
        <v>576</v>
      </c>
      <c r="D7" s="303" t="s">
        <v>577</v>
      </c>
      <c r="E7" s="259" t="s">
        <v>559</v>
      </c>
      <c r="F7" s="259" t="s">
        <v>559</v>
      </c>
      <c r="G7" s="259" t="s">
        <v>559</v>
      </c>
      <c r="H7" s="79" t="s">
        <v>578</v>
      </c>
    </row>
    <row r="8" spans="1:8">
      <c r="A8" s="49" t="s">
        <v>579</v>
      </c>
      <c r="B8" s="49" t="s">
        <v>569</v>
      </c>
      <c r="C8" s="14" t="s">
        <v>570</v>
      </c>
      <c r="D8" s="14" t="s">
        <v>39</v>
      </c>
      <c r="E8" s="7" t="s">
        <v>39</v>
      </c>
      <c r="F8" s="7" t="s">
        <v>39</v>
      </c>
      <c r="G8" s="7" t="s">
        <v>39</v>
      </c>
      <c r="H8" s="79"/>
    </row>
    <row r="9" spans="1:8" ht="72.75">
      <c r="A9" s="49" t="s">
        <v>85</v>
      </c>
      <c r="B9" s="302" t="s">
        <v>580</v>
      </c>
      <c r="C9" s="303" t="s">
        <v>581</v>
      </c>
      <c r="D9" s="303" t="s">
        <v>582</v>
      </c>
      <c r="E9" s="259" t="s">
        <v>559</v>
      </c>
      <c r="F9" s="259" t="s">
        <v>559</v>
      </c>
      <c r="G9" s="259" t="s">
        <v>559</v>
      </c>
      <c r="H9" s="79" t="s">
        <v>583</v>
      </c>
    </row>
    <row r="10" spans="1:8">
      <c r="A10" s="49" t="s">
        <v>584</v>
      </c>
      <c r="B10" s="49" t="s">
        <v>585</v>
      </c>
      <c r="C10" s="14" t="s">
        <v>586</v>
      </c>
      <c r="D10" s="14" t="s">
        <v>586</v>
      </c>
      <c r="E10" s="259" t="s">
        <v>559</v>
      </c>
      <c r="F10" s="259" t="s">
        <v>559</v>
      </c>
      <c r="G10" s="259" t="s">
        <v>559</v>
      </c>
      <c r="H10" s="79" t="s">
        <v>587</v>
      </c>
    </row>
    <row r="11" spans="1:8" ht="87">
      <c r="A11" s="49" t="s">
        <v>588</v>
      </c>
      <c r="B11" s="302" t="s">
        <v>589</v>
      </c>
      <c r="C11" s="303" t="s">
        <v>590</v>
      </c>
      <c r="D11" s="303" t="s">
        <v>590</v>
      </c>
      <c r="E11" s="259" t="s">
        <v>559</v>
      </c>
      <c r="F11" s="259" t="s">
        <v>559</v>
      </c>
      <c r="G11" s="259" t="s">
        <v>559</v>
      </c>
      <c r="H11" s="79"/>
    </row>
    <row r="12" spans="1:8" ht="87">
      <c r="A12" s="49" t="s">
        <v>591</v>
      </c>
      <c r="B12" s="302" t="s">
        <v>592</v>
      </c>
      <c r="C12" s="303" t="s">
        <v>593</v>
      </c>
      <c r="D12" s="303" t="s">
        <v>593</v>
      </c>
      <c r="E12" s="259" t="s">
        <v>559</v>
      </c>
      <c r="F12" s="259" t="s">
        <v>559</v>
      </c>
      <c r="G12" s="259" t="s">
        <v>559</v>
      </c>
      <c r="H12" s="79" t="s">
        <v>594</v>
      </c>
    </row>
    <row r="13" spans="1:8">
      <c r="A13" s="49" t="s">
        <v>502</v>
      </c>
      <c r="B13" s="49" t="s">
        <v>595</v>
      </c>
      <c r="C13" s="14" t="s">
        <v>596</v>
      </c>
      <c r="D13" s="14" t="s">
        <v>597</v>
      </c>
      <c r="E13" s="259" t="s">
        <v>559</v>
      </c>
      <c r="F13" s="259" t="s">
        <v>559</v>
      </c>
      <c r="G13" s="259" t="s">
        <v>559</v>
      </c>
      <c r="H13" s="79" t="s">
        <v>598</v>
      </c>
    </row>
    <row r="14" spans="1:8">
      <c r="A14" s="49" t="s">
        <v>135</v>
      </c>
      <c r="B14" s="49" t="s">
        <v>569</v>
      </c>
      <c r="C14" s="14" t="s">
        <v>570</v>
      </c>
      <c r="D14" s="14" t="s">
        <v>39</v>
      </c>
      <c r="E14" s="7" t="s">
        <v>39</v>
      </c>
      <c r="F14" s="7" t="s">
        <v>39</v>
      </c>
      <c r="G14" s="7" t="s">
        <v>39</v>
      </c>
      <c r="H14" s="79"/>
    </row>
    <row r="15" spans="1:8" ht="43.5">
      <c r="A15" s="49" t="s">
        <v>599</v>
      </c>
      <c r="B15" s="302" t="s">
        <v>600</v>
      </c>
      <c r="C15" s="303" t="s">
        <v>601</v>
      </c>
      <c r="D15" s="303" t="s">
        <v>602</v>
      </c>
      <c r="E15" s="259" t="s">
        <v>559</v>
      </c>
      <c r="F15" s="259" t="s">
        <v>559</v>
      </c>
      <c r="G15" s="259" t="s">
        <v>559</v>
      </c>
      <c r="H15" s="79" t="s">
        <v>603</v>
      </c>
    </row>
    <row r="16" spans="1:8">
      <c r="A16" s="49" t="s">
        <v>123</v>
      </c>
      <c r="B16" s="49" t="s">
        <v>604</v>
      </c>
      <c r="C16" s="14" t="s">
        <v>605</v>
      </c>
      <c r="D16" s="14" t="s">
        <v>606</v>
      </c>
      <c r="E16" s="259" t="s">
        <v>559</v>
      </c>
      <c r="F16" s="259" t="s">
        <v>559</v>
      </c>
      <c r="G16" s="259" t="s">
        <v>559</v>
      </c>
      <c r="H16" s="79" t="s">
        <v>607</v>
      </c>
    </row>
    <row r="17" spans="1:8" ht="101.25">
      <c r="A17" s="49" t="s">
        <v>608</v>
      </c>
      <c r="B17" s="302" t="s">
        <v>609</v>
      </c>
      <c r="C17" s="303" t="s">
        <v>610</v>
      </c>
      <c r="D17" s="303" t="s">
        <v>610</v>
      </c>
      <c r="E17" s="259" t="s">
        <v>559</v>
      </c>
      <c r="F17" s="259" t="s">
        <v>560</v>
      </c>
      <c r="G17" s="259" t="s">
        <v>560</v>
      </c>
      <c r="H17" s="79" t="s">
        <v>611</v>
      </c>
    </row>
    <row r="18" spans="1:8">
      <c r="A18" s="49" t="s">
        <v>509</v>
      </c>
      <c r="B18" s="49" t="s">
        <v>612</v>
      </c>
      <c r="C18" s="14" t="s">
        <v>613</v>
      </c>
      <c r="D18" s="14" t="s">
        <v>614</v>
      </c>
      <c r="E18" s="259" t="s">
        <v>559</v>
      </c>
      <c r="F18" s="259" t="s">
        <v>559</v>
      </c>
      <c r="G18" s="259" t="s">
        <v>559</v>
      </c>
      <c r="H18" s="79" t="s">
        <v>615</v>
      </c>
    </row>
    <row r="19" spans="1:8">
      <c r="A19" s="424" t="s">
        <v>616</v>
      </c>
      <c r="B19" s="49" t="s">
        <v>569</v>
      </c>
      <c r="C19" s="14" t="s">
        <v>570</v>
      </c>
      <c r="D19" s="14" t="s">
        <v>39</v>
      </c>
      <c r="E19" s="7" t="s">
        <v>39</v>
      </c>
      <c r="F19" s="7" t="s">
        <v>39</v>
      </c>
      <c r="G19" s="7" t="s">
        <v>39</v>
      </c>
      <c r="H19" s="79"/>
    </row>
    <row r="20" spans="1:8">
      <c r="A20" s="424" t="s">
        <v>617</v>
      </c>
      <c r="B20" s="49" t="s">
        <v>569</v>
      </c>
      <c r="C20" s="14" t="s">
        <v>570</v>
      </c>
      <c r="D20" s="14" t="s">
        <v>39</v>
      </c>
      <c r="E20" s="7" t="s">
        <v>39</v>
      </c>
      <c r="F20" s="7" t="s">
        <v>39</v>
      </c>
      <c r="G20" s="7" t="s">
        <v>39</v>
      </c>
      <c r="H20" s="79"/>
    </row>
    <row r="21" spans="1:8" ht="130.5">
      <c r="A21" s="49" t="s">
        <v>547</v>
      </c>
      <c r="B21" s="302" t="s">
        <v>618</v>
      </c>
      <c r="C21" s="303" t="s">
        <v>619</v>
      </c>
      <c r="D21" s="303" t="s">
        <v>620</v>
      </c>
      <c r="E21" s="259" t="s">
        <v>559</v>
      </c>
      <c r="F21" s="259" t="s">
        <v>559</v>
      </c>
      <c r="G21" s="259" t="s">
        <v>560</v>
      </c>
      <c r="H21" s="79" t="s">
        <v>621</v>
      </c>
    </row>
    <row r="22" spans="1:8" ht="144.75">
      <c r="A22" s="49" t="s">
        <v>545</v>
      </c>
      <c r="B22" s="302" t="s">
        <v>622</v>
      </c>
      <c r="C22" s="303" t="s">
        <v>623</v>
      </c>
      <c r="D22" s="303" t="s">
        <v>623</v>
      </c>
      <c r="E22" s="259" t="s">
        <v>559</v>
      </c>
      <c r="F22" s="259" t="s">
        <v>559</v>
      </c>
      <c r="G22" s="259" t="s">
        <v>559</v>
      </c>
      <c r="H22" s="79" t="s">
        <v>624</v>
      </c>
    </row>
    <row r="23" spans="1:8">
      <c r="A23" s="49" t="s">
        <v>625</v>
      </c>
      <c r="B23" s="49" t="s">
        <v>626</v>
      </c>
      <c r="C23" s="14" t="s">
        <v>627</v>
      </c>
      <c r="D23" s="14" t="s">
        <v>628</v>
      </c>
      <c r="E23" s="259" t="s">
        <v>559</v>
      </c>
      <c r="F23" s="259" t="s">
        <v>559</v>
      </c>
      <c r="G23" s="259" t="s">
        <v>559</v>
      </c>
      <c r="H23" s="79" t="s">
        <v>629</v>
      </c>
    </row>
    <row r="24" spans="1:8">
      <c r="A24" s="49" t="s">
        <v>630</v>
      </c>
      <c r="B24" s="49" t="s">
        <v>569</v>
      </c>
      <c r="C24" s="14" t="s">
        <v>570</v>
      </c>
      <c r="D24" s="14" t="s">
        <v>39</v>
      </c>
      <c r="E24" s="7" t="s">
        <v>39</v>
      </c>
      <c r="F24" s="7" t="s">
        <v>39</v>
      </c>
      <c r="G24" s="7" t="s">
        <v>39</v>
      </c>
      <c r="H24" s="79"/>
    </row>
    <row r="25" spans="1:8">
      <c r="A25" s="49" t="s">
        <v>93</v>
      </c>
      <c r="B25" s="49" t="s">
        <v>569</v>
      </c>
      <c r="C25" s="14" t="s">
        <v>570</v>
      </c>
      <c r="D25" s="14" t="s">
        <v>39</v>
      </c>
      <c r="E25" s="7" t="s">
        <v>39</v>
      </c>
      <c r="F25" s="7" t="s">
        <v>39</v>
      </c>
      <c r="G25" s="7" t="s">
        <v>39</v>
      </c>
      <c r="H25" s="79"/>
    </row>
    <row r="26" spans="1:8" ht="87">
      <c r="A26" s="49" t="s">
        <v>214</v>
      </c>
      <c r="B26" s="302" t="s">
        <v>631</v>
      </c>
      <c r="C26" s="303" t="s">
        <v>632</v>
      </c>
      <c r="D26" s="303" t="s">
        <v>632</v>
      </c>
      <c r="E26" s="259" t="s">
        <v>559</v>
      </c>
      <c r="F26" s="259" t="s">
        <v>559</v>
      </c>
      <c r="G26" s="259" t="s">
        <v>559</v>
      </c>
      <c r="H26" s="79" t="s">
        <v>633</v>
      </c>
    </row>
    <row r="27" spans="1:8">
      <c r="A27" s="49" t="s">
        <v>161</v>
      </c>
      <c r="B27" s="49" t="s">
        <v>569</v>
      </c>
      <c r="C27" s="14" t="s">
        <v>570</v>
      </c>
      <c r="D27" s="14" t="s">
        <v>39</v>
      </c>
      <c r="E27" s="7" t="s">
        <v>39</v>
      </c>
      <c r="F27" s="7" t="s">
        <v>39</v>
      </c>
      <c r="G27" s="7" t="s">
        <v>39</v>
      </c>
      <c r="H27" s="79"/>
    </row>
    <row r="28" spans="1:8">
      <c r="A28" s="49" t="s">
        <v>528</v>
      </c>
      <c r="B28" s="49" t="s">
        <v>569</v>
      </c>
      <c r="C28" s="14" t="s">
        <v>570</v>
      </c>
      <c r="D28" s="14" t="s">
        <v>39</v>
      </c>
      <c r="E28" s="7" t="s">
        <v>39</v>
      </c>
      <c r="F28" s="7" t="s">
        <v>39</v>
      </c>
      <c r="G28" s="7" t="s">
        <v>39</v>
      </c>
      <c r="H28" s="79"/>
    </row>
    <row r="29" spans="1:8">
      <c r="A29" s="49" t="s">
        <v>187</v>
      </c>
      <c r="B29" s="49" t="s">
        <v>569</v>
      </c>
      <c r="C29" s="14" t="s">
        <v>570</v>
      </c>
      <c r="D29" s="14" t="s">
        <v>39</v>
      </c>
      <c r="E29" s="7" t="s">
        <v>39</v>
      </c>
      <c r="F29" s="7" t="s">
        <v>39</v>
      </c>
      <c r="G29" s="7" t="s">
        <v>39</v>
      </c>
      <c r="H29" s="79"/>
    </row>
    <row r="30" spans="1:8">
      <c r="A30" s="49" t="s">
        <v>216</v>
      </c>
      <c r="B30" s="49" t="s">
        <v>569</v>
      </c>
      <c r="C30" s="14" t="s">
        <v>570</v>
      </c>
      <c r="D30" s="14" t="s">
        <v>39</v>
      </c>
      <c r="E30" s="7" t="s">
        <v>39</v>
      </c>
      <c r="F30" s="7" t="s">
        <v>39</v>
      </c>
      <c r="G30" s="7" t="s">
        <v>39</v>
      </c>
      <c r="H30" s="79"/>
    </row>
    <row r="31" spans="1:8">
      <c r="A31" s="49" t="s">
        <v>218</v>
      </c>
      <c r="B31" s="49" t="s">
        <v>569</v>
      </c>
      <c r="C31" s="14" t="s">
        <v>570</v>
      </c>
      <c r="D31" s="14" t="s">
        <v>39</v>
      </c>
      <c r="E31" s="7" t="s">
        <v>39</v>
      </c>
      <c r="F31" s="7" t="s">
        <v>39</v>
      </c>
      <c r="G31" s="7" t="s">
        <v>39</v>
      </c>
      <c r="H31" s="79"/>
    </row>
    <row r="32" spans="1:8">
      <c r="A32" s="49" t="s">
        <v>634</v>
      </c>
      <c r="B32" s="49" t="s">
        <v>635</v>
      </c>
      <c r="C32" s="14" t="s">
        <v>636</v>
      </c>
      <c r="D32" s="14" t="s">
        <v>637</v>
      </c>
      <c r="E32" s="259" t="s">
        <v>559</v>
      </c>
      <c r="F32" s="259" t="s">
        <v>559</v>
      </c>
      <c r="G32" s="259" t="s">
        <v>559</v>
      </c>
      <c r="H32" s="79" t="s">
        <v>638</v>
      </c>
    </row>
    <row r="33" spans="1:8" ht="43.5">
      <c r="A33" s="49" t="s">
        <v>639</v>
      </c>
      <c r="B33" s="302" t="s">
        <v>640</v>
      </c>
      <c r="C33" s="303" t="s">
        <v>641</v>
      </c>
      <c r="D33" s="303" t="s">
        <v>641</v>
      </c>
      <c r="E33" s="259" t="s">
        <v>559</v>
      </c>
      <c r="F33" s="259" t="s">
        <v>559</v>
      </c>
      <c r="G33" s="259" t="s">
        <v>559</v>
      </c>
      <c r="H33" s="79" t="s">
        <v>642</v>
      </c>
    </row>
    <row r="34" spans="1:8">
      <c r="A34" s="49" t="s">
        <v>540</v>
      </c>
      <c r="B34" s="49" t="s">
        <v>569</v>
      </c>
      <c r="C34" s="14" t="s">
        <v>570</v>
      </c>
      <c r="D34" s="14" t="s">
        <v>39</v>
      </c>
      <c r="E34" s="7" t="s">
        <v>39</v>
      </c>
      <c r="F34" s="7" t="s">
        <v>39</v>
      </c>
      <c r="G34" s="7" t="s">
        <v>39</v>
      </c>
      <c r="H34" s="79"/>
    </row>
    <row r="35" spans="1:8" ht="101.25">
      <c r="A35" s="49" t="s">
        <v>643</v>
      </c>
      <c r="B35" s="302" t="s">
        <v>644</v>
      </c>
      <c r="C35" s="303" t="s">
        <v>645</v>
      </c>
      <c r="D35" s="303" t="s">
        <v>645</v>
      </c>
      <c r="E35" s="259" t="s">
        <v>559</v>
      </c>
      <c r="F35" s="259" t="s">
        <v>559</v>
      </c>
      <c r="G35" s="259" t="s">
        <v>560</v>
      </c>
      <c r="H35" s="79" t="s">
        <v>646</v>
      </c>
    </row>
    <row r="36" spans="1:8">
      <c r="A36" s="49" t="s">
        <v>647</v>
      </c>
      <c r="B36" s="49" t="s">
        <v>569</v>
      </c>
      <c r="C36" s="14" t="s">
        <v>570</v>
      </c>
      <c r="D36" s="14" t="s">
        <v>39</v>
      </c>
      <c r="E36" s="7" t="s">
        <v>39</v>
      </c>
      <c r="F36" s="7" t="s">
        <v>39</v>
      </c>
      <c r="G36" s="7" t="s">
        <v>39</v>
      </c>
      <c r="H36" s="79"/>
    </row>
    <row r="37" spans="1:8">
      <c r="A37" s="49" t="s">
        <v>154</v>
      </c>
      <c r="B37" s="49" t="s">
        <v>569</v>
      </c>
      <c r="C37" s="14" t="s">
        <v>570</v>
      </c>
      <c r="D37" s="14" t="s">
        <v>39</v>
      </c>
      <c r="E37" s="7" t="s">
        <v>39</v>
      </c>
      <c r="F37" s="7" t="s">
        <v>39</v>
      </c>
      <c r="G37" s="7" t="s">
        <v>39</v>
      </c>
      <c r="H37" s="79"/>
    </row>
    <row r="38" spans="1:8" ht="115.5">
      <c r="A38" s="49" t="s">
        <v>648</v>
      </c>
      <c r="B38" s="302" t="s">
        <v>649</v>
      </c>
      <c r="C38" s="303" t="s">
        <v>650</v>
      </c>
      <c r="D38" s="303" t="s">
        <v>650</v>
      </c>
      <c r="E38" s="259" t="s">
        <v>559</v>
      </c>
      <c r="F38" s="259" t="s">
        <v>559</v>
      </c>
      <c r="G38" s="259" t="s">
        <v>559</v>
      </c>
      <c r="H38" s="79" t="s">
        <v>651</v>
      </c>
    </row>
    <row r="39" spans="1:8">
      <c r="A39" s="49" t="s">
        <v>481</v>
      </c>
      <c r="B39" s="49" t="s">
        <v>652</v>
      </c>
      <c r="C39" s="14" t="s">
        <v>653</v>
      </c>
      <c r="D39" s="14" t="s">
        <v>654</v>
      </c>
      <c r="E39" s="259" t="s">
        <v>559</v>
      </c>
      <c r="F39" s="259" t="s">
        <v>559</v>
      </c>
      <c r="G39" s="259" t="s">
        <v>559</v>
      </c>
      <c r="H39" s="79" t="s">
        <v>655</v>
      </c>
    </row>
    <row r="40" spans="1:8">
      <c r="A40" s="49" t="s">
        <v>539</v>
      </c>
      <c r="B40" s="49" t="s">
        <v>656</v>
      </c>
      <c r="C40" s="14" t="s">
        <v>657</v>
      </c>
      <c r="D40" s="14" t="s">
        <v>658</v>
      </c>
      <c r="E40" s="259" t="s">
        <v>559</v>
      </c>
      <c r="F40" s="259" t="s">
        <v>559</v>
      </c>
      <c r="G40" s="259" t="s">
        <v>559</v>
      </c>
      <c r="H40" s="79" t="s">
        <v>659</v>
      </c>
    </row>
    <row r="41" spans="1:8">
      <c r="A41" s="49" t="s">
        <v>110</v>
      </c>
      <c r="B41" s="49" t="s">
        <v>569</v>
      </c>
      <c r="C41" s="14" t="s">
        <v>570</v>
      </c>
      <c r="D41" s="14" t="s">
        <v>39</v>
      </c>
      <c r="E41" s="7" t="s">
        <v>39</v>
      </c>
      <c r="F41" s="7" t="s">
        <v>39</v>
      </c>
      <c r="G41" s="7" t="s">
        <v>39</v>
      </c>
      <c r="H41" s="79"/>
    </row>
    <row r="42" spans="1:8">
      <c r="A42" s="49" t="s">
        <v>100</v>
      </c>
      <c r="B42" s="49" t="s">
        <v>660</v>
      </c>
      <c r="C42" s="14" t="s">
        <v>661</v>
      </c>
      <c r="D42" s="14" t="s">
        <v>662</v>
      </c>
      <c r="E42" s="259" t="s">
        <v>559</v>
      </c>
      <c r="F42" s="259" t="s">
        <v>559</v>
      </c>
      <c r="G42" s="259" t="s">
        <v>559</v>
      </c>
      <c r="H42" s="79" t="s">
        <v>663</v>
      </c>
    </row>
    <row r="43" spans="1:8">
      <c r="A43" s="49" t="s">
        <v>106</v>
      </c>
      <c r="B43" s="49" t="s">
        <v>664</v>
      </c>
      <c r="C43" s="14" t="s">
        <v>665</v>
      </c>
      <c r="D43" s="14" t="s">
        <v>666</v>
      </c>
      <c r="E43" s="259" t="s">
        <v>559</v>
      </c>
      <c r="F43" s="259" t="s">
        <v>559</v>
      </c>
      <c r="G43" s="259" t="s">
        <v>559</v>
      </c>
      <c r="H43" s="79" t="s">
        <v>667</v>
      </c>
    </row>
    <row r="44" spans="1:8" ht="72.75">
      <c r="A44" s="49" t="s">
        <v>129</v>
      </c>
      <c r="B44" s="49" t="s">
        <v>668</v>
      </c>
      <c r="C44" s="14" t="s">
        <v>669</v>
      </c>
      <c r="D44" s="14" t="s">
        <v>670</v>
      </c>
      <c r="E44" s="259" t="s">
        <v>559</v>
      </c>
      <c r="F44" s="259" t="s">
        <v>559</v>
      </c>
      <c r="G44" s="259" t="s">
        <v>559</v>
      </c>
      <c r="H44" s="79" t="s">
        <v>671</v>
      </c>
    </row>
    <row r="45" spans="1:8" ht="72.75">
      <c r="A45" s="49" t="s">
        <v>672</v>
      </c>
      <c r="B45" s="373" t="s">
        <v>673</v>
      </c>
      <c r="C45" s="306" t="s">
        <v>674</v>
      </c>
      <c r="D45" s="306" t="s">
        <v>674</v>
      </c>
      <c r="E45" s="7" t="s">
        <v>559</v>
      </c>
      <c r="F45" s="7" t="s">
        <v>559</v>
      </c>
      <c r="G45" s="7" t="s">
        <v>559</v>
      </c>
      <c r="H45" s="79" t="s">
        <v>675</v>
      </c>
    </row>
    <row r="46" spans="1:8" ht="43.5">
      <c r="A46" s="49" t="s">
        <v>120</v>
      </c>
      <c r="B46" s="305" t="s">
        <v>569</v>
      </c>
      <c r="C46" s="306" t="s">
        <v>570</v>
      </c>
      <c r="D46" s="306" t="s">
        <v>39</v>
      </c>
      <c r="E46" s="16" t="s">
        <v>39</v>
      </c>
      <c r="F46" s="16" t="s">
        <v>39</v>
      </c>
      <c r="G46" s="16" t="s">
        <v>39</v>
      </c>
      <c r="H46" s="307"/>
    </row>
    <row r="47" spans="1:8">
      <c r="A47" s="124" t="s">
        <v>74</v>
      </c>
      <c r="B47" s="49" t="s">
        <v>569</v>
      </c>
      <c r="C47" s="14" t="s">
        <v>570</v>
      </c>
      <c r="D47" s="14" t="s">
        <v>39</v>
      </c>
      <c r="E47" s="7" t="s">
        <v>39</v>
      </c>
      <c r="F47" s="7" t="s">
        <v>39</v>
      </c>
      <c r="G47" s="7" t="s">
        <v>39</v>
      </c>
      <c r="H47" s="79"/>
    </row>
    <row r="48" spans="1:8">
      <c r="A48" s="124" t="s">
        <v>79</v>
      </c>
      <c r="B48" s="49" t="s">
        <v>569</v>
      </c>
      <c r="C48" s="14" t="s">
        <v>570</v>
      </c>
      <c r="D48" s="14" t="s">
        <v>39</v>
      </c>
      <c r="E48" s="7" t="s">
        <v>39</v>
      </c>
      <c r="F48" s="7" t="s">
        <v>39</v>
      </c>
      <c r="G48" s="7" t="s">
        <v>39</v>
      </c>
      <c r="H48" s="79"/>
    </row>
  </sheetData>
  <autoFilter ref="A1:H48" xr:uid="{C46E16B4-6F13-47CA-B2B7-0030E33BC770}"/>
  <hyperlinks>
    <hyperlink ref="C4" r:id="rId1" display="https://www.youtube.com/shorts/9W-yd2nKbIY_x0009_https://www.youtube.com/shorts/NFFdaffkdy8_x0009_https://www.youtube.com/shorts/NFFdaffkdy8" xr:uid="{0616A105-7F9D-4ACD-A91E-F49C3059F564}"/>
    <hyperlink ref="C6" r:id="rId2" display="https://www.youtube.com/watch?v=8x2fWFLDk2k_x0009_https://www.youtube.com/watch?v=FoZaQr9zHSY" xr:uid="{0581C407-44C5-4FC7-BA76-8723ABC38CF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B263F-8A00-4DE0-836F-C077B2116420}">
  <sheetPr filterMode="1"/>
  <dimension ref="A6:G50"/>
  <sheetViews>
    <sheetView workbookViewId="0">
      <pane ySplit="6" topLeftCell="A43" activePane="bottomLeft" state="frozen"/>
      <selection pane="bottomLeft" activeCell="C50" sqref="C50"/>
    </sheetView>
  </sheetViews>
  <sheetFormatPr defaultRowHeight="15"/>
  <cols>
    <col min="1" max="1" width="35" customWidth="1"/>
    <col min="2" max="2" width="43.5703125" style="386" customWidth="1"/>
    <col min="3" max="3" width="21.5703125" style="40" customWidth="1"/>
    <col min="4" max="4" width="21.140625" style="8" customWidth="1"/>
    <col min="5" max="5" width="22.5703125" style="8" customWidth="1"/>
    <col min="6" max="6" width="24.28515625" style="8" customWidth="1"/>
    <col min="7" max="7" width="54.7109375" style="27" customWidth="1"/>
  </cols>
  <sheetData>
    <row r="6" spans="1:7">
      <c r="A6" s="216" t="s">
        <v>676</v>
      </c>
      <c r="B6" s="385" t="s">
        <v>677</v>
      </c>
      <c r="C6" s="387" t="s">
        <v>678</v>
      </c>
      <c r="D6" s="388" t="s">
        <v>679</v>
      </c>
      <c r="E6" s="388" t="s">
        <v>680</v>
      </c>
      <c r="F6" s="388" t="s">
        <v>681</v>
      </c>
      <c r="G6" s="388" t="s">
        <v>276</v>
      </c>
    </row>
    <row r="7" spans="1:7" ht="78.75" hidden="1" customHeight="1">
      <c r="A7" s="14" t="s">
        <v>50</v>
      </c>
      <c r="B7" s="391" t="s">
        <v>682</v>
      </c>
      <c r="C7" s="7" t="s">
        <v>559</v>
      </c>
      <c r="D7" s="7" t="s">
        <v>559</v>
      </c>
      <c r="E7" s="7" t="s">
        <v>560</v>
      </c>
      <c r="F7" s="47">
        <v>46329</v>
      </c>
      <c r="G7" s="98"/>
    </row>
    <row r="8" spans="1:7" ht="134.25" hidden="1" customHeight="1">
      <c r="A8" s="364" t="s">
        <v>58</v>
      </c>
      <c r="B8" s="391" t="s">
        <v>683</v>
      </c>
      <c r="C8" s="7" t="s">
        <v>559</v>
      </c>
      <c r="D8" s="7" t="s">
        <v>559</v>
      </c>
      <c r="E8" s="7" t="s">
        <v>559</v>
      </c>
      <c r="F8" s="47" t="s">
        <v>684</v>
      </c>
      <c r="G8" s="52" t="s">
        <v>685</v>
      </c>
    </row>
    <row r="9" spans="1:7" ht="57.75" hidden="1">
      <c r="A9" s="364" t="s">
        <v>63</v>
      </c>
      <c r="B9" s="391" t="s">
        <v>686</v>
      </c>
      <c r="C9" s="7" t="s">
        <v>559</v>
      </c>
      <c r="D9" s="7" t="s">
        <v>559</v>
      </c>
      <c r="E9" s="7" t="s">
        <v>560</v>
      </c>
      <c r="F9" s="47">
        <v>46329</v>
      </c>
      <c r="G9" s="98"/>
    </row>
    <row r="10" spans="1:7" ht="87" hidden="1">
      <c r="A10" s="364" t="s">
        <v>70</v>
      </c>
      <c r="B10" s="391" t="s">
        <v>687</v>
      </c>
      <c r="C10" s="7" t="s">
        <v>559</v>
      </c>
      <c r="D10" s="7" t="s">
        <v>559</v>
      </c>
      <c r="E10" s="7" t="s">
        <v>559</v>
      </c>
      <c r="F10" s="47">
        <v>46329</v>
      </c>
      <c r="G10" s="98"/>
    </row>
    <row r="11" spans="1:7" ht="72.75" hidden="1">
      <c r="A11" s="14" t="s">
        <v>74</v>
      </c>
      <c r="B11" s="392" t="s">
        <v>688</v>
      </c>
      <c r="C11" s="7" t="s">
        <v>559</v>
      </c>
      <c r="D11" s="7" t="s">
        <v>559</v>
      </c>
      <c r="E11" s="7" t="s">
        <v>559</v>
      </c>
      <c r="F11" s="47">
        <v>46329</v>
      </c>
      <c r="G11" s="98"/>
    </row>
    <row r="12" spans="1:7" ht="72.75" hidden="1">
      <c r="A12" s="14" t="s">
        <v>79</v>
      </c>
      <c r="B12" s="392" t="s">
        <v>688</v>
      </c>
      <c r="C12" s="7" t="s">
        <v>559</v>
      </c>
      <c r="D12" s="7" t="s">
        <v>559</v>
      </c>
      <c r="E12" s="7" t="s">
        <v>559</v>
      </c>
      <c r="F12" s="47">
        <v>46329</v>
      </c>
      <c r="G12" s="98"/>
    </row>
    <row r="13" spans="1:7" ht="87" hidden="1">
      <c r="A13" s="14" t="s">
        <v>82</v>
      </c>
      <c r="B13" s="392" t="s">
        <v>689</v>
      </c>
      <c r="C13" s="7" t="s">
        <v>559</v>
      </c>
      <c r="D13" s="7" t="s">
        <v>559</v>
      </c>
      <c r="E13" s="7" t="s">
        <v>559</v>
      </c>
      <c r="F13" s="47">
        <v>46329</v>
      </c>
      <c r="G13" s="98"/>
    </row>
    <row r="14" spans="1:7" ht="57.75" hidden="1">
      <c r="A14" s="14" t="s">
        <v>85</v>
      </c>
      <c r="B14" s="392" t="s">
        <v>690</v>
      </c>
      <c r="C14" s="7" t="s">
        <v>559</v>
      </c>
      <c r="D14" s="7" t="s">
        <v>559</v>
      </c>
      <c r="E14" s="7" t="s">
        <v>559</v>
      </c>
      <c r="F14" s="47">
        <v>46329</v>
      </c>
      <c r="G14" s="98"/>
    </row>
    <row r="15" spans="1:7" ht="57.75" hidden="1">
      <c r="A15" s="14" t="s">
        <v>88</v>
      </c>
      <c r="B15" s="392" t="s">
        <v>691</v>
      </c>
      <c r="C15" s="7" t="s">
        <v>559</v>
      </c>
      <c r="D15" s="7" t="s">
        <v>559</v>
      </c>
      <c r="E15" s="7" t="s">
        <v>559</v>
      </c>
      <c r="F15" s="47">
        <v>46329</v>
      </c>
      <c r="G15" s="98"/>
    </row>
    <row r="16" spans="1:7" ht="57.75" hidden="1">
      <c r="A16" s="14" t="s">
        <v>93</v>
      </c>
      <c r="B16" s="392" t="s">
        <v>691</v>
      </c>
      <c r="C16" s="7" t="s">
        <v>559</v>
      </c>
      <c r="D16" s="7" t="s">
        <v>559</v>
      </c>
      <c r="E16" s="7" t="s">
        <v>559</v>
      </c>
      <c r="F16" s="47">
        <v>46329</v>
      </c>
      <c r="G16" s="98"/>
    </row>
    <row r="17" spans="1:7" ht="101.25" hidden="1">
      <c r="A17" s="14" t="s">
        <v>97</v>
      </c>
      <c r="B17" s="392" t="s">
        <v>692</v>
      </c>
      <c r="C17" s="7" t="s">
        <v>559</v>
      </c>
      <c r="D17" s="7" t="s">
        <v>559</v>
      </c>
      <c r="E17" s="7" t="s">
        <v>559</v>
      </c>
      <c r="F17" s="47">
        <v>46329</v>
      </c>
      <c r="G17" s="98"/>
    </row>
    <row r="18" spans="1:7" ht="101.25">
      <c r="A18" s="14" t="s">
        <v>100</v>
      </c>
      <c r="B18" s="391" t="s">
        <v>693</v>
      </c>
      <c r="C18" s="393" t="s">
        <v>560</v>
      </c>
      <c r="D18" s="393" t="s">
        <v>560</v>
      </c>
      <c r="E18" s="393" t="s">
        <v>560</v>
      </c>
      <c r="F18" s="47" t="s">
        <v>490</v>
      </c>
      <c r="G18" s="52" t="s">
        <v>694</v>
      </c>
    </row>
    <row r="19" spans="1:7" ht="108" hidden="1" customHeight="1">
      <c r="A19" s="14" t="s">
        <v>103</v>
      </c>
      <c r="B19" s="391" t="s">
        <v>695</v>
      </c>
      <c r="C19" s="7" t="s">
        <v>559</v>
      </c>
      <c r="D19" s="7" t="s">
        <v>559</v>
      </c>
      <c r="E19" s="7" t="s">
        <v>559</v>
      </c>
      <c r="F19" s="47" t="s">
        <v>684</v>
      </c>
      <c r="G19" s="52" t="s">
        <v>696</v>
      </c>
    </row>
    <row r="20" spans="1:7" ht="84" hidden="1" customHeight="1">
      <c r="A20" s="14" t="s">
        <v>106</v>
      </c>
      <c r="B20" s="394" t="s">
        <v>697</v>
      </c>
      <c r="C20" s="7" t="s">
        <v>559</v>
      </c>
      <c r="D20" s="7" t="s">
        <v>559</v>
      </c>
      <c r="E20" s="393" t="s">
        <v>559</v>
      </c>
      <c r="F20" s="47">
        <v>46329</v>
      </c>
      <c r="G20" s="98"/>
    </row>
    <row r="21" spans="1:7" ht="123.75" customHeight="1">
      <c r="A21" s="14" t="s">
        <v>110</v>
      </c>
      <c r="B21" s="390" t="s">
        <v>698</v>
      </c>
      <c r="C21" s="393" t="s">
        <v>560</v>
      </c>
      <c r="D21" s="393" t="s">
        <v>560</v>
      </c>
      <c r="E21" s="393" t="s">
        <v>560</v>
      </c>
      <c r="F21" s="47" t="s">
        <v>490</v>
      </c>
      <c r="G21" s="52" t="s">
        <v>699</v>
      </c>
    </row>
    <row r="22" spans="1:7" ht="120.75" hidden="1" customHeight="1">
      <c r="A22" s="14" t="s">
        <v>113</v>
      </c>
      <c r="B22" s="391" t="s">
        <v>700</v>
      </c>
      <c r="C22" s="7" t="s">
        <v>559</v>
      </c>
      <c r="D22" s="7" t="s">
        <v>559</v>
      </c>
      <c r="E22" s="7" t="s">
        <v>559</v>
      </c>
      <c r="F22" s="47" t="s">
        <v>701</v>
      </c>
      <c r="G22" s="432" t="s">
        <v>702</v>
      </c>
    </row>
    <row r="23" spans="1:7" ht="105" hidden="1" customHeight="1">
      <c r="A23" s="14" t="s">
        <v>117</v>
      </c>
      <c r="B23" s="392" t="s">
        <v>703</v>
      </c>
      <c r="C23" s="7" t="s">
        <v>559</v>
      </c>
      <c r="D23" s="7" t="s">
        <v>559</v>
      </c>
      <c r="E23" s="7" t="s">
        <v>559</v>
      </c>
      <c r="F23" s="47">
        <v>46329</v>
      </c>
      <c r="G23" s="98"/>
    </row>
    <row r="24" spans="1:7" ht="93" customHeight="1">
      <c r="A24" s="14" t="s">
        <v>120</v>
      </c>
      <c r="B24" s="389" t="s">
        <v>704</v>
      </c>
      <c r="C24" s="7" t="s">
        <v>559</v>
      </c>
      <c r="D24" s="7" t="s">
        <v>560</v>
      </c>
      <c r="E24" s="7" t="s">
        <v>560</v>
      </c>
      <c r="F24" s="47" t="s">
        <v>490</v>
      </c>
      <c r="G24" s="52" t="s">
        <v>705</v>
      </c>
    </row>
    <row r="25" spans="1:7" ht="57.75" hidden="1">
      <c r="A25" s="14" t="s">
        <v>123</v>
      </c>
      <c r="B25" s="392" t="s">
        <v>706</v>
      </c>
      <c r="C25" s="7" t="s">
        <v>559</v>
      </c>
      <c r="D25" s="7" t="s">
        <v>559</v>
      </c>
      <c r="E25" s="7" t="s">
        <v>559</v>
      </c>
      <c r="F25" s="47">
        <v>46329</v>
      </c>
      <c r="G25" s="98"/>
    </row>
    <row r="26" spans="1:7" ht="91.5" customHeight="1">
      <c r="A26" s="14" t="s">
        <v>126</v>
      </c>
      <c r="B26" s="389" t="s">
        <v>704</v>
      </c>
      <c r="C26" s="7" t="s">
        <v>559</v>
      </c>
      <c r="D26" s="7" t="s">
        <v>560</v>
      </c>
      <c r="E26" s="7" t="s">
        <v>560</v>
      </c>
      <c r="F26" s="47" t="s">
        <v>490</v>
      </c>
      <c r="G26" s="52" t="s">
        <v>707</v>
      </c>
    </row>
    <row r="27" spans="1:7" ht="101.25" hidden="1">
      <c r="A27" s="14" t="s">
        <v>129</v>
      </c>
      <c r="B27" s="392" t="s">
        <v>708</v>
      </c>
      <c r="C27" s="7" t="s">
        <v>559</v>
      </c>
      <c r="D27" s="7" t="s">
        <v>559</v>
      </c>
      <c r="E27" s="7" t="s">
        <v>559</v>
      </c>
      <c r="F27" s="47">
        <v>46329</v>
      </c>
      <c r="G27" s="98"/>
    </row>
    <row r="28" spans="1:7" ht="115.5" hidden="1">
      <c r="A28" s="14" t="s">
        <v>132</v>
      </c>
      <c r="B28" s="392" t="s">
        <v>709</v>
      </c>
      <c r="C28" s="7" t="s">
        <v>559</v>
      </c>
      <c r="D28" s="7" t="s">
        <v>559</v>
      </c>
      <c r="E28" s="7" t="s">
        <v>559</v>
      </c>
      <c r="F28" s="47">
        <v>46329</v>
      </c>
      <c r="G28" s="98"/>
    </row>
    <row r="29" spans="1:7" ht="43.5" hidden="1">
      <c r="A29" s="14" t="s">
        <v>135</v>
      </c>
      <c r="B29" s="392" t="s">
        <v>710</v>
      </c>
      <c r="C29" s="32" t="s">
        <v>559</v>
      </c>
      <c r="D29" s="7" t="s">
        <v>559</v>
      </c>
      <c r="E29" s="7" t="s">
        <v>559</v>
      </c>
      <c r="F29" s="47">
        <v>46329</v>
      </c>
      <c r="G29" s="98"/>
    </row>
    <row r="30" spans="1:7" ht="87" hidden="1">
      <c r="A30" s="14" t="s">
        <v>138</v>
      </c>
      <c r="B30" s="392" t="s">
        <v>711</v>
      </c>
      <c r="C30" s="7" t="s">
        <v>559</v>
      </c>
      <c r="D30" s="7" t="s">
        <v>559</v>
      </c>
      <c r="E30" s="7" t="s">
        <v>559</v>
      </c>
      <c r="F30" s="47">
        <v>46329</v>
      </c>
      <c r="G30" s="98"/>
    </row>
    <row r="31" spans="1:7" ht="87" hidden="1">
      <c r="A31" s="14" t="s">
        <v>141</v>
      </c>
      <c r="B31" s="392" t="s">
        <v>711</v>
      </c>
      <c r="C31" s="7" t="s">
        <v>559</v>
      </c>
      <c r="D31" s="7" t="s">
        <v>559</v>
      </c>
      <c r="E31" s="7" t="s">
        <v>559</v>
      </c>
      <c r="F31" s="47">
        <v>46329</v>
      </c>
      <c r="G31" s="98"/>
    </row>
    <row r="32" spans="1:7" ht="101.25" hidden="1">
      <c r="A32" s="14" t="s">
        <v>145</v>
      </c>
      <c r="B32" s="392" t="s">
        <v>712</v>
      </c>
      <c r="C32" s="32" t="s">
        <v>559</v>
      </c>
      <c r="D32" s="7" t="s">
        <v>559</v>
      </c>
      <c r="E32" s="7" t="s">
        <v>559</v>
      </c>
      <c r="F32" s="47">
        <v>46329</v>
      </c>
      <c r="G32" s="98"/>
    </row>
    <row r="33" spans="1:7" ht="72.75" hidden="1">
      <c r="A33" s="14" t="s">
        <v>148</v>
      </c>
      <c r="B33" s="391" t="s">
        <v>713</v>
      </c>
      <c r="C33" s="32" t="s">
        <v>559</v>
      </c>
      <c r="D33" s="32" t="s">
        <v>559</v>
      </c>
      <c r="E33" s="7" t="s">
        <v>559</v>
      </c>
      <c r="F33" s="47" t="s">
        <v>490</v>
      </c>
      <c r="G33" s="52" t="s">
        <v>714</v>
      </c>
    </row>
    <row r="34" spans="1:7" ht="115.5" hidden="1">
      <c r="A34" s="14" t="s">
        <v>151</v>
      </c>
      <c r="B34" s="391" t="s">
        <v>715</v>
      </c>
      <c r="C34" s="32" t="s">
        <v>559</v>
      </c>
      <c r="D34" s="7" t="s">
        <v>559</v>
      </c>
      <c r="E34" s="7" t="s">
        <v>559</v>
      </c>
      <c r="F34" s="47" t="s">
        <v>490</v>
      </c>
      <c r="G34" s="52" t="s">
        <v>716</v>
      </c>
    </row>
    <row r="35" spans="1:7" ht="101.25" hidden="1">
      <c r="A35" s="364" t="s">
        <v>154</v>
      </c>
      <c r="B35" s="389" t="s">
        <v>717</v>
      </c>
      <c r="C35" s="32" t="s">
        <v>560</v>
      </c>
      <c r="D35" s="7" t="s">
        <v>559</v>
      </c>
      <c r="E35" s="7" t="s">
        <v>559</v>
      </c>
      <c r="F35" s="47">
        <v>46329</v>
      </c>
      <c r="G35" s="98"/>
    </row>
    <row r="36" spans="1:7" ht="115.5">
      <c r="A36" s="14" t="s">
        <v>158</v>
      </c>
      <c r="B36" s="389" t="s">
        <v>718</v>
      </c>
      <c r="C36" s="32" t="s">
        <v>559</v>
      </c>
      <c r="D36" s="7" t="s">
        <v>560</v>
      </c>
      <c r="E36" s="7" t="s">
        <v>559</v>
      </c>
      <c r="F36" s="47" t="s">
        <v>490</v>
      </c>
      <c r="G36" s="52" t="s">
        <v>719</v>
      </c>
    </row>
    <row r="37" spans="1:7" ht="72.75" hidden="1">
      <c r="A37" s="14" t="s">
        <v>161</v>
      </c>
      <c r="B37" s="392" t="s">
        <v>720</v>
      </c>
      <c r="C37" s="32" t="s">
        <v>559</v>
      </c>
      <c r="D37" s="32" t="s">
        <v>559</v>
      </c>
      <c r="E37" s="32" t="s">
        <v>559</v>
      </c>
      <c r="F37" s="47">
        <v>46329</v>
      </c>
      <c r="G37" s="98"/>
    </row>
    <row r="38" spans="1:7" ht="87">
      <c r="A38" s="14" t="s">
        <v>164</v>
      </c>
      <c r="B38" s="389" t="s">
        <v>721</v>
      </c>
      <c r="C38" s="32" t="s">
        <v>559</v>
      </c>
      <c r="D38" s="7" t="s">
        <v>560</v>
      </c>
      <c r="E38" s="7" t="s">
        <v>559</v>
      </c>
      <c r="F38" s="47" t="s">
        <v>490</v>
      </c>
      <c r="G38" s="52" t="s">
        <v>722</v>
      </c>
    </row>
    <row r="39" spans="1:7" ht="121.5" hidden="1" customHeight="1">
      <c r="A39" s="14" t="s">
        <v>167</v>
      </c>
      <c r="B39" s="392" t="s">
        <v>723</v>
      </c>
      <c r="C39" s="32" t="s">
        <v>559</v>
      </c>
      <c r="D39" s="7" t="s">
        <v>559</v>
      </c>
      <c r="E39" s="7" t="s">
        <v>559</v>
      </c>
      <c r="F39" s="47">
        <v>46329</v>
      </c>
      <c r="G39" s="98"/>
    </row>
    <row r="40" spans="1:7" ht="101.25" hidden="1">
      <c r="A40" s="14" t="s">
        <v>170</v>
      </c>
      <c r="B40" s="391" t="s">
        <v>724</v>
      </c>
      <c r="C40" s="32" t="s">
        <v>559</v>
      </c>
      <c r="D40" s="7" t="s">
        <v>560</v>
      </c>
      <c r="E40" s="7" t="s">
        <v>559</v>
      </c>
      <c r="F40" s="47" t="s">
        <v>490</v>
      </c>
      <c r="G40" s="52" t="s">
        <v>725</v>
      </c>
    </row>
    <row r="41" spans="1:7" ht="87" hidden="1">
      <c r="A41" s="14" t="s">
        <v>173</v>
      </c>
      <c r="B41" s="391" t="s">
        <v>726</v>
      </c>
      <c r="C41" s="32" t="s">
        <v>559</v>
      </c>
      <c r="D41" s="7" t="s">
        <v>559</v>
      </c>
      <c r="E41" s="7" t="s">
        <v>559</v>
      </c>
      <c r="F41" s="47">
        <v>46329</v>
      </c>
      <c r="G41" s="52" t="s">
        <v>727</v>
      </c>
    </row>
    <row r="42" spans="1:7" ht="87" hidden="1">
      <c r="A42" s="364" t="s">
        <v>176</v>
      </c>
      <c r="B42" s="391" t="s">
        <v>728</v>
      </c>
      <c r="C42" s="32" t="s">
        <v>559</v>
      </c>
      <c r="D42" s="7" t="s">
        <v>559</v>
      </c>
      <c r="E42" s="7" t="s">
        <v>559</v>
      </c>
      <c r="F42" s="47" t="s">
        <v>490</v>
      </c>
      <c r="G42" s="52" t="s">
        <v>685</v>
      </c>
    </row>
    <row r="43" spans="1:7" ht="87">
      <c r="A43" s="14" t="s">
        <v>180</v>
      </c>
      <c r="B43" s="389" t="s">
        <v>729</v>
      </c>
      <c r="C43" s="32" t="s">
        <v>560</v>
      </c>
      <c r="D43" s="7" t="s">
        <v>560</v>
      </c>
      <c r="E43" s="7" t="s">
        <v>559</v>
      </c>
      <c r="F43" s="47" t="s">
        <v>490</v>
      </c>
      <c r="G43" s="52" t="s">
        <v>730</v>
      </c>
    </row>
    <row r="44" spans="1:7" ht="101.25" hidden="1">
      <c r="A44" s="14" t="s">
        <v>183</v>
      </c>
      <c r="B44" s="389" t="s">
        <v>731</v>
      </c>
      <c r="C44" s="32" t="s">
        <v>560</v>
      </c>
      <c r="D44" s="7" t="s">
        <v>559</v>
      </c>
      <c r="E44" s="7" t="s">
        <v>559</v>
      </c>
      <c r="F44" s="47">
        <v>46329</v>
      </c>
      <c r="G44" s="98"/>
    </row>
    <row r="45" spans="1:7" ht="72.75" hidden="1">
      <c r="A45" s="14" t="s">
        <v>187</v>
      </c>
      <c r="B45" s="391" t="s">
        <v>732</v>
      </c>
      <c r="C45" s="32" t="s">
        <v>559</v>
      </c>
      <c r="D45" s="7" t="s">
        <v>559</v>
      </c>
      <c r="E45" s="7" t="s">
        <v>559</v>
      </c>
      <c r="F45" s="47">
        <v>46329</v>
      </c>
      <c r="G45" s="98"/>
    </row>
    <row r="46" spans="1:7" ht="72.75" hidden="1">
      <c r="A46" s="364" t="s">
        <v>208</v>
      </c>
      <c r="B46" s="392" t="s">
        <v>733</v>
      </c>
      <c r="C46" s="32" t="s">
        <v>559</v>
      </c>
      <c r="D46" s="7" t="s">
        <v>559</v>
      </c>
      <c r="E46" s="7" t="s">
        <v>559</v>
      </c>
      <c r="F46" s="47">
        <v>46329</v>
      </c>
      <c r="G46" s="98"/>
    </row>
    <row r="47" spans="1:7" ht="57.75" hidden="1">
      <c r="A47" s="364" t="s">
        <v>212</v>
      </c>
      <c r="B47" s="392" t="s">
        <v>734</v>
      </c>
      <c r="C47" s="32" t="s">
        <v>559</v>
      </c>
      <c r="D47" s="7" t="s">
        <v>559</v>
      </c>
      <c r="E47" s="7" t="s">
        <v>559</v>
      </c>
      <c r="F47" s="47">
        <v>46329</v>
      </c>
      <c r="G47" s="98"/>
    </row>
    <row r="48" spans="1:7" ht="72.75" hidden="1">
      <c r="A48" s="14" t="s">
        <v>214</v>
      </c>
      <c r="B48" s="392" t="s">
        <v>735</v>
      </c>
      <c r="C48" s="32" t="s">
        <v>559</v>
      </c>
      <c r="D48" s="7" t="s">
        <v>559</v>
      </c>
      <c r="E48" s="7" t="s">
        <v>559</v>
      </c>
      <c r="F48" s="47">
        <v>46329</v>
      </c>
      <c r="G48" s="98"/>
    </row>
    <row r="49" spans="1:7" ht="72.75" hidden="1">
      <c r="A49" s="14" t="s">
        <v>216</v>
      </c>
      <c r="B49" s="392" t="s">
        <v>736</v>
      </c>
      <c r="C49" s="32" t="s">
        <v>559</v>
      </c>
      <c r="D49" s="7" t="s">
        <v>559</v>
      </c>
      <c r="E49" s="7" t="s">
        <v>559</v>
      </c>
      <c r="F49" s="47">
        <v>46329</v>
      </c>
      <c r="G49" s="98"/>
    </row>
    <row r="50" spans="1:7" ht="110.25" customHeight="1">
      <c r="A50" s="14" t="s">
        <v>218</v>
      </c>
      <c r="B50" s="390" t="s">
        <v>737</v>
      </c>
      <c r="C50" s="32" t="s">
        <v>560</v>
      </c>
      <c r="D50" s="7" t="s">
        <v>560</v>
      </c>
      <c r="E50" s="7" t="s">
        <v>559</v>
      </c>
      <c r="F50" s="47" t="s">
        <v>490</v>
      </c>
      <c r="G50" s="52" t="s">
        <v>738</v>
      </c>
    </row>
  </sheetData>
  <autoFilter ref="A6:G50" xr:uid="{685B263F-8A00-4DE0-836F-C077B2116420}">
    <filterColumn colId="1">
      <colorFilter dxfId="0" cellColor="0"/>
    </filterColumn>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D588-B9CA-4BFF-92BC-5EC5E4A61468}">
  <sheetPr filterMode="1"/>
  <dimension ref="A1:K183"/>
  <sheetViews>
    <sheetView workbookViewId="0">
      <pane ySplit="1" topLeftCell="A18" activePane="bottomLeft" state="frozen"/>
      <selection pane="bottomLeft" activeCell="F149" sqref="F149"/>
    </sheetView>
  </sheetViews>
  <sheetFormatPr defaultRowHeight="15" customHeight="1"/>
  <cols>
    <col min="1" max="1" width="37.5703125" style="54" customWidth="1"/>
    <col min="2" max="2" width="9.28515625" style="247" customWidth="1"/>
    <col min="3" max="4" width="19.85546875" style="129" customWidth="1"/>
    <col min="5" max="5" width="24.85546875" style="244" customWidth="1"/>
    <col min="6" max="6" width="30.28515625" style="244" customWidth="1"/>
    <col min="7" max="8" width="22.140625" style="129" customWidth="1"/>
    <col min="9" max="9" width="32.42578125" style="163" customWidth="1"/>
    <col min="10" max="10" width="48.42578125" style="338" customWidth="1"/>
    <col min="11" max="11" width="14" style="129" customWidth="1"/>
  </cols>
  <sheetData>
    <row r="1" spans="1:11" s="129" customFormat="1" ht="15" customHeight="1">
      <c r="A1" s="216" t="s">
        <v>1</v>
      </c>
      <c r="B1" s="216" t="s">
        <v>739</v>
      </c>
      <c r="C1" s="216" t="s">
        <v>740</v>
      </c>
      <c r="D1" s="216" t="s">
        <v>741</v>
      </c>
      <c r="E1" s="216" t="s">
        <v>742</v>
      </c>
      <c r="F1" s="210" t="s">
        <v>743</v>
      </c>
      <c r="G1" s="210" t="s">
        <v>460</v>
      </c>
      <c r="H1" s="210" t="s">
        <v>744</v>
      </c>
      <c r="I1" s="216" t="s">
        <v>461</v>
      </c>
      <c r="J1" s="210" t="s">
        <v>745</v>
      </c>
      <c r="K1" s="216" t="s">
        <v>462</v>
      </c>
    </row>
    <row r="2" spans="1:11" ht="15" hidden="1" customHeight="1">
      <c r="A2" s="237" t="s">
        <v>58</v>
      </c>
      <c r="B2" s="245" t="s">
        <v>746</v>
      </c>
      <c r="C2" s="238" t="s">
        <v>39</v>
      </c>
      <c r="D2" s="238" t="s">
        <v>747</v>
      </c>
      <c r="E2" s="240" t="s">
        <v>748</v>
      </c>
      <c r="F2" s="248" t="s">
        <v>39</v>
      </c>
      <c r="G2" s="239" t="s">
        <v>39</v>
      </c>
      <c r="H2" s="239" t="s">
        <v>749</v>
      </c>
      <c r="I2" s="221"/>
      <c r="J2" s="254"/>
      <c r="K2" s="128" t="s">
        <v>3</v>
      </c>
    </row>
    <row r="3" spans="1:11" ht="15" hidden="1" customHeight="1">
      <c r="A3" s="237" t="s">
        <v>58</v>
      </c>
      <c r="B3" s="245" t="s">
        <v>746</v>
      </c>
      <c r="C3" s="238" t="s">
        <v>39</v>
      </c>
      <c r="D3" s="238" t="s">
        <v>750</v>
      </c>
      <c r="E3" s="240" t="s">
        <v>751</v>
      </c>
      <c r="F3" s="248" t="s">
        <v>480</v>
      </c>
      <c r="G3" s="239" t="s">
        <v>39</v>
      </c>
      <c r="H3" s="239" t="s">
        <v>752</v>
      </c>
      <c r="I3" s="221"/>
      <c r="J3" s="255" t="s">
        <v>753</v>
      </c>
      <c r="K3" s="128" t="s">
        <v>3</v>
      </c>
    </row>
    <row r="4" spans="1:11" ht="15" customHeight="1">
      <c r="A4" s="339" t="s">
        <v>58</v>
      </c>
      <c r="B4" s="340" t="s">
        <v>754</v>
      </c>
      <c r="C4" s="341" t="s">
        <v>755</v>
      </c>
      <c r="D4" s="341" t="s">
        <v>756</v>
      </c>
      <c r="E4" s="342" t="s">
        <v>757</v>
      </c>
      <c r="F4" s="343" t="s">
        <v>758</v>
      </c>
      <c r="G4" s="344" t="s">
        <v>494</v>
      </c>
      <c r="H4" s="344" t="s">
        <v>752</v>
      </c>
      <c r="I4" s="345"/>
      <c r="J4" s="355" t="s">
        <v>759</v>
      </c>
      <c r="K4" s="128" t="s">
        <v>3</v>
      </c>
    </row>
    <row r="5" spans="1:11" ht="15" customHeight="1">
      <c r="A5" s="339" t="s">
        <v>58</v>
      </c>
      <c r="B5" s="340" t="s">
        <v>754</v>
      </c>
      <c r="C5" s="341" t="s">
        <v>760</v>
      </c>
      <c r="D5" s="341" t="s">
        <v>756</v>
      </c>
      <c r="E5" s="342" t="s">
        <v>757</v>
      </c>
      <c r="F5" s="343" t="s">
        <v>758</v>
      </c>
      <c r="G5" s="344" t="s">
        <v>466</v>
      </c>
      <c r="H5" s="344" t="s">
        <v>752</v>
      </c>
      <c r="I5" s="345"/>
      <c r="J5" s="355" t="s">
        <v>759</v>
      </c>
      <c r="K5" s="128" t="s">
        <v>3</v>
      </c>
    </row>
    <row r="6" spans="1:11" ht="15" customHeight="1">
      <c r="A6" s="339" t="s">
        <v>58</v>
      </c>
      <c r="B6" s="340" t="s">
        <v>746</v>
      </c>
      <c r="C6" s="341" t="s">
        <v>761</v>
      </c>
      <c r="D6" s="341" t="s">
        <v>756</v>
      </c>
      <c r="E6" s="342" t="s">
        <v>757</v>
      </c>
      <c r="F6" s="343" t="s">
        <v>758</v>
      </c>
      <c r="G6" s="344" t="s">
        <v>494</v>
      </c>
      <c r="H6" s="344" t="s">
        <v>752</v>
      </c>
      <c r="I6" s="345"/>
      <c r="J6" s="355" t="s">
        <v>759</v>
      </c>
      <c r="K6" s="128" t="s">
        <v>3</v>
      </c>
    </row>
    <row r="7" spans="1:11" s="42" customFormat="1" ht="15" customHeight="1">
      <c r="A7" s="339" t="s">
        <v>63</v>
      </c>
      <c r="B7" s="340" t="s">
        <v>746</v>
      </c>
      <c r="C7" s="341" t="s">
        <v>762</v>
      </c>
      <c r="D7" s="341" t="s">
        <v>756</v>
      </c>
      <c r="E7" s="342" t="s">
        <v>763</v>
      </c>
      <c r="F7" s="343" t="s">
        <v>764</v>
      </c>
      <c r="G7" s="344" t="s">
        <v>494</v>
      </c>
      <c r="H7" s="344" t="s">
        <v>752</v>
      </c>
      <c r="I7" s="345"/>
      <c r="J7" s="355" t="s">
        <v>765</v>
      </c>
      <c r="K7" s="371" t="s">
        <v>3</v>
      </c>
    </row>
    <row r="8" spans="1:11" ht="15" customHeight="1">
      <c r="A8" s="339" t="s">
        <v>63</v>
      </c>
      <c r="B8" s="340" t="s">
        <v>754</v>
      </c>
      <c r="C8" s="341" t="s">
        <v>762</v>
      </c>
      <c r="D8" s="341" t="s">
        <v>756</v>
      </c>
      <c r="E8" s="342" t="s">
        <v>763</v>
      </c>
      <c r="F8" s="343" t="s">
        <v>764</v>
      </c>
      <c r="G8" s="344" t="s">
        <v>766</v>
      </c>
      <c r="H8" s="344" t="s">
        <v>752</v>
      </c>
      <c r="I8" s="345"/>
      <c r="J8" s="355" t="s">
        <v>765</v>
      </c>
      <c r="K8" s="371" t="s">
        <v>3</v>
      </c>
    </row>
    <row r="9" spans="1:11" ht="15" customHeight="1">
      <c r="A9" s="339" t="s">
        <v>63</v>
      </c>
      <c r="B9" s="340" t="s">
        <v>754</v>
      </c>
      <c r="C9" s="341" t="s">
        <v>761</v>
      </c>
      <c r="D9" s="341" t="s">
        <v>756</v>
      </c>
      <c r="E9" s="342" t="s">
        <v>763</v>
      </c>
      <c r="F9" s="343" t="s">
        <v>764</v>
      </c>
      <c r="G9" s="344" t="s">
        <v>494</v>
      </c>
      <c r="H9" s="344" t="s">
        <v>752</v>
      </c>
      <c r="I9" s="345"/>
      <c r="J9" s="355" t="s">
        <v>765</v>
      </c>
      <c r="K9" s="371" t="s">
        <v>3</v>
      </c>
    </row>
    <row r="10" spans="1:11" ht="15" customHeight="1">
      <c r="A10" s="339" t="s">
        <v>70</v>
      </c>
      <c r="B10" s="340" t="s">
        <v>746</v>
      </c>
      <c r="C10" s="341" t="s">
        <v>755</v>
      </c>
      <c r="D10" s="341" t="s">
        <v>756</v>
      </c>
      <c r="E10" s="342" t="s">
        <v>763</v>
      </c>
      <c r="F10" s="343" t="s">
        <v>764</v>
      </c>
      <c r="G10" s="344" t="s">
        <v>494</v>
      </c>
      <c r="H10" s="344" t="s">
        <v>752</v>
      </c>
      <c r="I10" s="345"/>
      <c r="J10" s="355" t="s">
        <v>765</v>
      </c>
      <c r="K10" s="353" t="s">
        <v>3</v>
      </c>
    </row>
    <row r="11" spans="1:11" ht="15" customHeight="1">
      <c r="A11" s="339" t="s">
        <v>70</v>
      </c>
      <c r="B11" s="340" t="s">
        <v>754</v>
      </c>
      <c r="C11" s="341" t="s">
        <v>755</v>
      </c>
      <c r="D11" s="341" t="s">
        <v>756</v>
      </c>
      <c r="E11" s="342" t="s">
        <v>763</v>
      </c>
      <c r="F11" s="343" t="s">
        <v>764</v>
      </c>
      <c r="G11" s="344" t="s">
        <v>466</v>
      </c>
      <c r="H11" s="344" t="s">
        <v>752</v>
      </c>
      <c r="I11" s="345"/>
      <c r="J11" s="355" t="s">
        <v>765</v>
      </c>
      <c r="K11" s="353" t="s">
        <v>3</v>
      </c>
    </row>
    <row r="12" spans="1:11" ht="15" customHeight="1">
      <c r="A12" s="339" t="s">
        <v>70</v>
      </c>
      <c r="B12" s="340" t="s">
        <v>746</v>
      </c>
      <c r="C12" s="341" t="s">
        <v>767</v>
      </c>
      <c r="D12" s="341" t="s">
        <v>756</v>
      </c>
      <c r="E12" s="342" t="s">
        <v>763</v>
      </c>
      <c r="F12" s="343" t="s">
        <v>764</v>
      </c>
      <c r="G12" s="344" t="s">
        <v>494</v>
      </c>
      <c r="H12" s="344" t="s">
        <v>752</v>
      </c>
      <c r="I12" s="345"/>
      <c r="J12" s="355" t="s">
        <v>765</v>
      </c>
      <c r="K12" s="353" t="s">
        <v>3</v>
      </c>
    </row>
    <row r="13" spans="1:11" ht="15" customHeight="1">
      <c r="A13" s="339" t="s">
        <v>70</v>
      </c>
      <c r="B13" s="340" t="s">
        <v>754</v>
      </c>
      <c r="C13" s="341" t="s">
        <v>767</v>
      </c>
      <c r="D13" s="341" t="s">
        <v>756</v>
      </c>
      <c r="E13" s="342" t="s">
        <v>763</v>
      </c>
      <c r="F13" s="343" t="s">
        <v>764</v>
      </c>
      <c r="G13" s="344" t="s">
        <v>469</v>
      </c>
      <c r="H13" s="344" t="s">
        <v>752</v>
      </c>
      <c r="I13" s="345"/>
      <c r="J13" s="355" t="s">
        <v>765</v>
      </c>
      <c r="K13" s="353" t="s">
        <v>3</v>
      </c>
    </row>
    <row r="14" spans="1:11" ht="15" customHeight="1">
      <c r="A14" s="339" t="s">
        <v>70</v>
      </c>
      <c r="B14" s="340" t="s">
        <v>746</v>
      </c>
      <c r="C14" s="341" t="s">
        <v>767</v>
      </c>
      <c r="D14" s="341" t="s">
        <v>756</v>
      </c>
      <c r="E14" s="342" t="s">
        <v>763</v>
      </c>
      <c r="F14" s="343" t="s">
        <v>764</v>
      </c>
      <c r="G14" s="344" t="s">
        <v>466</v>
      </c>
      <c r="H14" s="344" t="s">
        <v>752</v>
      </c>
      <c r="I14" s="345"/>
      <c r="J14" s="355" t="s">
        <v>765</v>
      </c>
      <c r="K14" s="353" t="s">
        <v>3</v>
      </c>
    </row>
    <row r="15" spans="1:11" ht="15" customHeight="1">
      <c r="A15" s="339" t="s">
        <v>70</v>
      </c>
      <c r="B15" s="340" t="s">
        <v>746</v>
      </c>
      <c r="C15" s="341" t="s">
        <v>760</v>
      </c>
      <c r="D15" s="341" t="s">
        <v>756</v>
      </c>
      <c r="E15" s="342" t="s">
        <v>763</v>
      </c>
      <c r="F15" s="343" t="s">
        <v>764</v>
      </c>
      <c r="G15" s="344" t="s">
        <v>466</v>
      </c>
      <c r="H15" s="344" t="s">
        <v>752</v>
      </c>
      <c r="I15" s="345"/>
      <c r="J15" s="355" t="s">
        <v>765</v>
      </c>
      <c r="K15" s="353" t="s">
        <v>3</v>
      </c>
    </row>
    <row r="16" spans="1:11" ht="15" customHeight="1">
      <c r="A16" s="339" t="s">
        <v>70</v>
      </c>
      <c r="B16" s="340" t="s">
        <v>754</v>
      </c>
      <c r="C16" s="341" t="s">
        <v>760</v>
      </c>
      <c r="D16" s="341" t="s">
        <v>756</v>
      </c>
      <c r="E16" s="342" t="s">
        <v>763</v>
      </c>
      <c r="F16" s="343" t="s">
        <v>764</v>
      </c>
      <c r="G16" s="344" t="s">
        <v>469</v>
      </c>
      <c r="H16" s="344" t="s">
        <v>752</v>
      </c>
      <c r="I16" s="345"/>
      <c r="J16" s="355" t="s">
        <v>765</v>
      </c>
      <c r="K16" s="353" t="s">
        <v>3</v>
      </c>
    </row>
    <row r="17" spans="1:11" ht="15" customHeight="1">
      <c r="A17" s="339" t="s">
        <v>70</v>
      </c>
      <c r="B17" s="340" t="s">
        <v>746</v>
      </c>
      <c r="C17" s="345" t="s">
        <v>768</v>
      </c>
      <c r="D17" s="341" t="s">
        <v>756</v>
      </c>
      <c r="E17" s="342" t="s">
        <v>763</v>
      </c>
      <c r="F17" s="343" t="s">
        <v>764</v>
      </c>
      <c r="G17" s="344" t="s">
        <v>494</v>
      </c>
      <c r="H17" s="344" t="s">
        <v>752</v>
      </c>
      <c r="I17" s="345"/>
      <c r="J17" s="355" t="s">
        <v>765</v>
      </c>
      <c r="K17" s="353" t="s">
        <v>3</v>
      </c>
    </row>
    <row r="18" spans="1:11" ht="15" hidden="1" customHeight="1">
      <c r="A18" s="362" t="s">
        <v>74</v>
      </c>
      <c r="B18" s="340" t="s">
        <v>769</v>
      </c>
      <c r="C18" s="341" t="s">
        <v>39</v>
      </c>
      <c r="D18" s="341" t="s">
        <v>747</v>
      </c>
      <c r="E18" s="342" t="s">
        <v>39</v>
      </c>
      <c r="F18" s="343" t="s">
        <v>39</v>
      </c>
      <c r="G18" s="344" t="s">
        <v>39</v>
      </c>
      <c r="H18" s="344" t="s">
        <v>752</v>
      </c>
      <c r="I18" s="345"/>
      <c r="J18" s="346" t="s">
        <v>770</v>
      </c>
      <c r="K18" s="353" t="s">
        <v>4</v>
      </c>
    </row>
    <row r="19" spans="1:11" ht="15" hidden="1" customHeight="1">
      <c r="A19" s="362" t="s">
        <v>79</v>
      </c>
      <c r="B19" s="340" t="s">
        <v>769</v>
      </c>
      <c r="C19" s="341" t="s">
        <v>39</v>
      </c>
      <c r="D19" s="341" t="s">
        <v>747</v>
      </c>
      <c r="E19" s="342" t="s">
        <v>39</v>
      </c>
      <c r="F19" s="343" t="s">
        <v>39</v>
      </c>
      <c r="G19" s="344" t="s">
        <v>39</v>
      </c>
      <c r="H19" s="344" t="s">
        <v>752</v>
      </c>
      <c r="I19" s="345"/>
      <c r="J19" s="346" t="s">
        <v>771</v>
      </c>
      <c r="K19" s="353" t="s">
        <v>4</v>
      </c>
    </row>
    <row r="20" spans="1:11" ht="15" hidden="1" customHeight="1">
      <c r="A20" s="237" t="s">
        <v>82</v>
      </c>
      <c r="B20" s="245" t="s">
        <v>746</v>
      </c>
      <c r="C20" s="238" t="s">
        <v>39</v>
      </c>
      <c r="D20" s="238" t="s">
        <v>750</v>
      </c>
      <c r="E20" s="240" t="s">
        <v>772</v>
      </c>
      <c r="F20" s="249" t="s">
        <v>773</v>
      </c>
      <c r="G20" s="239" t="s">
        <v>39</v>
      </c>
      <c r="H20" s="239" t="s">
        <v>752</v>
      </c>
      <c r="I20" s="221"/>
      <c r="J20" s="308" t="s">
        <v>774</v>
      </c>
      <c r="K20" s="128" t="s">
        <v>4</v>
      </c>
    </row>
    <row r="21" spans="1:11" ht="15" hidden="1" customHeight="1">
      <c r="A21" s="237" t="s">
        <v>88</v>
      </c>
      <c r="B21" s="245" t="s">
        <v>746</v>
      </c>
      <c r="C21" s="238" t="s">
        <v>39</v>
      </c>
      <c r="D21" s="238" t="s">
        <v>750</v>
      </c>
      <c r="E21" s="240" t="s">
        <v>775</v>
      </c>
      <c r="F21" s="248" t="s">
        <v>776</v>
      </c>
      <c r="G21" s="239" t="s">
        <v>39</v>
      </c>
      <c r="H21" s="239" t="s">
        <v>752</v>
      </c>
      <c r="I21" s="221"/>
      <c r="J21" s="255" t="s">
        <v>777</v>
      </c>
      <c r="K21" s="128" t="s">
        <v>4</v>
      </c>
    </row>
    <row r="22" spans="1:11">
      <c r="A22" s="237" t="s">
        <v>88</v>
      </c>
      <c r="B22" s="245" t="s">
        <v>746</v>
      </c>
      <c r="C22" s="238" t="s">
        <v>39</v>
      </c>
      <c r="D22" s="238" t="s">
        <v>756</v>
      </c>
      <c r="E22" s="240" t="s">
        <v>775</v>
      </c>
      <c r="F22" s="248" t="s">
        <v>776</v>
      </c>
      <c r="G22" s="239" t="s">
        <v>494</v>
      </c>
      <c r="H22" s="239" t="s">
        <v>749</v>
      </c>
      <c r="I22" s="221"/>
      <c r="J22" s="337" t="s">
        <v>778</v>
      </c>
      <c r="K22" s="128" t="s">
        <v>4</v>
      </c>
    </row>
    <row r="23" spans="1:11" hidden="1">
      <c r="A23" s="250" t="s">
        <v>93</v>
      </c>
      <c r="B23" s="245" t="s">
        <v>746</v>
      </c>
      <c r="C23" s="238" t="s">
        <v>39</v>
      </c>
      <c r="D23" s="238" t="s">
        <v>750</v>
      </c>
      <c r="E23" s="240" t="s">
        <v>763</v>
      </c>
      <c r="F23" s="248" t="s">
        <v>779</v>
      </c>
      <c r="G23" s="239" t="s">
        <v>39</v>
      </c>
      <c r="H23" s="239" t="s">
        <v>752</v>
      </c>
      <c r="I23" s="221"/>
      <c r="J23" s="255" t="s">
        <v>780</v>
      </c>
      <c r="K23" s="128" t="s">
        <v>4</v>
      </c>
    </row>
    <row r="24" spans="1:11">
      <c r="A24" s="250" t="s">
        <v>93</v>
      </c>
      <c r="B24" s="245" t="s">
        <v>746</v>
      </c>
      <c r="C24" s="238" t="s">
        <v>39</v>
      </c>
      <c r="D24" s="238" t="s">
        <v>756</v>
      </c>
      <c r="E24" s="240" t="s">
        <v>763</v>
      </c>
      <c r="F24" s="248" t="s">
        <v>779</v>
      </c>
      <c r="G24" s="239" t="s">
        <v>494</v>
      </c>
      <c r="H24" s="239" t="s">
        <v>749</v>
      </c>
      <c r="I24" s="221"/>
      <c r="J24" s="337" t="s">
        <v>778</v>
      </c>
      <c r="K24" s="128" t="s">
        <v>4</v>
      </c>
    </row>
    <row r="25" spans="1:11" hidden="1">
      <c r="A25" s="237" t="s">
        <v>781</v>
      </c>
      <c r="B25" s="245" t="s">
        <v>769</v>
      </c>
      <c r="C25" s="238" t="s">
        <v>39</v>
      </c>
      <c r="D25" s="238" t="s">
        <v>750</v>
      </c>
      <c r="E25" s="240" t="s">
        <v>782</v>
      </c>
      <c r="F25" s="248" t="s">
        <v>782</v>
      </c>
      <c r="G25" s="239" t="s">
        <v>39</v>
      </c>
      <c r="H25" s="239" t="s">
        <v>752</v>
      </c>
      <c r="I25" s="221"/>
      <c r="J25" s="255" t="s">
        <v>783</v>
      </c>
      <c r="K25" s="128" t="s">
        <v>4</v>
      </c>
    </row>
    <row r="26" spans="1:11" hidden="1">
      <c r="A26" s="250" t="s">
        <v>97</v>
      </c>
      <c r="B26" s="245" t="s">
        <v>746</v>
      </c>
      <c r="C26" s="238" t="s">
        <v>39</v>
      </c>
      <c r="D26" s="238" t="s">
        <v>750</v>
      </c>
      <c r="E26" s="240" t="s">
        <v>784</v>
      </c>
      <c r="F26" s="248" t="s">
        <v>785</v>
      </c>
      <c r="G26" s="239" t="s">
        <v>39</v>
      </c>
      <c r="H26" s="239" t="s">
        <v>752</v>
      </c>
      <c r="I26" s="221"/>
      <c r="J26" s="255" t="s">
        <v>786</v>
      </c>
      <c r="K26" s="128" t="s">
        <v>3</v>
      </c>
    </row>
    <row r="27" spans="1:11">
      <c r="A27" s="250" t="s">
        <v>97</v>
      </c>
      <c r="B27" s="245" t="s">
        <v>746</v>
      </c>
      <c r="C27" s="238" t="s">
        <v>39</v>
      </c>
      <c r="D27" s="238" t="s">
        <v>756</v>
      </c>
      <c r="E27" s="240" t="s">
        <v>784</v>
      </c>
      <c r="F27" s="248" t="s">
        <v>785</v>
      </c>
      <c r="G27" s="239" t="s">
        <v>494</v>
      </c>
      <c r="H27" s="239" t="s">
        <v>749</v>
      </c>
      <c r="I27" s="221"/>
      <c r="J27" s="337" t="s">
        <v>778</v>
      </c>
      <c r="K27" s="128" t="s">
        <v>4</v>
      </c>
    </row>
    <row r="28" spans="1:11">
      <c r="A28" s="339" t="s">
        <v>100</v>
      </c>
      <c r="B28" s="340" t="s">
        <v>746</v>
      </c>
      <c r="C28" s="341" t="s">
        <v>767</v>
      </c>
      <c r="D28" s="341" t="s">
        <v>756</v>
      </c>
      <c r="E28" s="342" t="s">
        <v>757</v>
      </c>
      <c r="F28" s="343" t="s">
        <v>787</v>
      </c>
      <c r="G28" s="344" t="s">
        <v>466</v>
      </c>
      <c r="H28" s="344" t="s">
        <v>752</v>
      </c>
      <c r="I28" s="345"/>
      <c r="J28" s="355" t="s">
        <v>788</v>
      </c>
      <c r="K28" s="353" t="s">
        <v>4</v>
      </c>
    </row>
    <row r="29" spans="1:11">
      <c r="A29" s="339" t="s">
        <v>100</v>
      </c>
      <c r="B29" s="340" t="s">
        <v>746</v>
      </c>
      <c r="C29" s="341" t="s">
        <v>789</v>
      </c>
      <c r="D29" s="341" t="s">
        <v>756</v>
      </c>
      <c r="E29" s="342" t="s">
        <v>757</v>
      </c>
      <c r="F29" s="343" t="s">
        <v>787</v>
      </c>
      <c r="G29" s="344" t="s">
        <v>466</v>
      </c>
      <c r="H29" s="344" t="s">
        <v>752</v>
      </c>
      <c r="I29" s="345"/>
      <c r="J29" s="355" t="s">
        <v>788</v>
      </c>
      <c r="K29" s="353" t="s">
        <v>4</v>
      </c>
    </row>
    <row r="30" spans="1:11" hidden="1">
      <c r="A30" s="237" t="s">
        <v>100</v>
      </c>
      <c r="B30" s="245" t="s">
        <v>746</v>
      </c>
      <c r="C30" s="238" t="s">
        <v>39</v>
      </c>
      <c r="D30" s="238" t="s">
        <v>750</v>
      </c>
      <c r="E30" s="240" t="s">
        <v>784</v>
      </c>
      <c r="F30" s="248" t="s">
        <v>790</v>
      </c>
      <c r="G30" s="239" t="s">
        <v>39</v>
      </c>
      <c r="H30" s="239" t="s">
        <v>752</v>
      </c>
      <c r="I30" s="221"/>
      <c r="J30" s="255" t="s">
        <v>791</v>
      </c>
      <c r="K30" s="128" t="s">
        <v>3</v>
      </c>
    </row>
    <row r="31" spans="1:11" hidden="1">
      <c r="A31" s="237" t="s">
        <v>479</v>
      </c>
      <c r="B31" s="245" t="s">
        <v>746</v>
      </c>
      <c r="C31" s="238" t="s">
        <v>39</v>
      </c>
      <c r="D31" s="238" t="s">
        <v>747</v>
      </c>
      <c r="E31" s="240" t="s">
        <v>784</v>
      </c>
      <c r="F31" s="248" t="s">
        <v>39</v>
      </c>
      <c r="G31" s="239" t="s">
        <v>39</v>
      </c>
      <c r="H31" s="239" t="s">
        <v>749</v>
      </c>
      <c r="I31" s="221"/>
      <c r="J31" s="255" t="s">
        <v>792</v>
      </c>
      <c r="K31" s="128" t="s">
        <v>3</v>
      </c>
    </row>
    <row r="32" spans="1:11" hidden="1">
      <c r="A32" s="237" t="s">
        <v>479</v>
      </c>
      <c r="B32" s="245" t="s">
        <v>746</v>
      </c>
      <c r="C32" s="238" t="s">
        <v>39</v>
      </c>
      <c r="D32" s="238" t="s">
        <v>750</v>
      </c>
      <c r="E32" s="240" t="s">
        <v>784</v>
      </c>
      <c r="F32" s="248" t="s">
        <v>793</v>
      </c>
      <c r="G32" s="239" t="s">
        <v>39</v>
      </c>
      <c r="H32" s="239" t="s">
        <v>752</v>
      </c>
      <c r="I32" s="221"/>
      <c r="J32" s="255" t="s">
        <v>791</v>
      </c>
      <c r="K32" s="128" t="s">
        <v>3</v>
      </c>
    </row>
    <row r="33" spans="1:11">
      <c r="A33" s="339" t="s">
        <v>479</v>
      </c>
      <c r="B33" s="340" t="s">
        <v>746</v>
      </c>
      <c r="C33" s="341" t="s">
        <v>755</v>
      </c>
      <c r="D33" s="341" t="s">
        <v>756</v>
      </c>
      <c r="E33" s="342" t="s">
        <v>763</v>
      </c>
      <c r="F33" s="343" t="s">
        <v>764</v>
      </c>
      <c r="G33" s="344" t="s">
        <v>494</v>
      </c>
      <c r="H33" s="344" t="s">
        <v>752</v>
      </c>
      <c r="I33" s="345"/>
      <c r="J33" s="355" t="s">
        <v>765</v>
      </c>
      <c r="K33" s="128" t="s">
        <v>3</v>
      </c>
    </row>
    <row r="34" spans="1:11">
      <c r="A34" s="339" t="s">
        <v>479</v>
      </c>
      <c r="B34" s="340" t="s">
        <v>754</v>
      </c>
      <c r="C34" s="341" t="s">
        <v>755</v>
      </c>
      <c r="D34" s="341" t="s">
        <v>756</v>
      </c>
      <c r="E34" s="342" t="s">
        <v>763</v>
      </c>
      <c r="F34" s="343" t="s">
        <v>764</v>
      </c>
      <c r="G34" s="344" t="s">
        <v>466</v>
      </c>
      <c r="H34" s="344" t="s">
        <v>752</v>
      </c>
      <c r="I34" s="345"/>
      <c r="J34" s="355" t="s">
        <v>765</v>
      </c>
      <c r="K34" s="128" t="s">
        <v>3</v>
      </c>
    </row>
    <row r="35" spans="1:11">
      <c r="A35" s="339" t="s">
        <v>479</v>
      </c>
      <c r="B35" s="340" t="s">
        <v>746</v>
      </c>
      <c r="C35" s="341" t="s">
        <v>767</v>
      </c>
      <c r="D35" s="341" t="s">
        <v>756</v>
      </c>
      <c r="E35" s="342" t="s">
        <v>763</v>
      </c>
      <c r="F35" s="343" t="s">
        <v>764</v>
      </c>
      <c r="G35" s="344" t="s">
        <v>494</v>
      </c>
      <c r="H35" s="344" t="s">
        <v>752</v>
      </c>
      <c r="I35" s="345"/>
      <c r="J35" s="355" t="s">
        <v>765</v>
      </c>
      <c r="K35" s="128" t="s">
        <v>3</v>
      </c>
    </row>
    <row r="36" spans="1:11">
      <c r="A36" s="339" t="s">
        <v>479</v>
      </c>
      <c r="B36" s="340" t="s">
        <v>754</v>
      </c>
      <c r="C36" s="341" t="s">
        <v>767</v>
      </c>
      <c r="D36" s="341" t="s">
        <v>756</v>
      </c>
      <c r="E36" s="342" t="s">
        <v>763</v>
      </c>
      <c r="F36" s="343" t="s">
        <v>764</v>
      </c>
      <c r="G36" s="344" t="s">
        <v>469</v>
      </c>
      <c r="H36" s="344" t="s">
        <v>752</v>
      </c>
      <c r="I36" s="345"/>
      <c r="J36" s="355" t="s">
        <v>765</v>
      </c>
      <c r="K36" s="128" t="s">
        <v>3</v>
      </c>
    </row>
    <row r="37" spans="1:11">
      <c r="A37" s="339" t="s">
        <v>479</v>
      </c>
      <c r="B37" s="340" t="s">
        <v>746</v>
      </c>
      <c r="C37" s="341" t="s">
        <v>767</v>
      </c>
      <c r="D37" s="341" t="s">
        <v>756</v>
      </c>
      <c r="E37" s="342" t="s">
        <v>763</v>
      </c>
      <c r="F37" s="343" t="s">
        <v>764</v>
      </c>
      <c r="G37" s="344" t="s">
        <v>466</v>
      </c>
      <c r="H37" s="344" t="s">
        <v>752</v>
      </c>
      <c r="I37" s="345"/>
      <c r="J37" s="355" t="s">
        <v>765</v>
      </c>
      <c r="K37" s="128" t="s">
        <v>3</v>
      </c>
    </row>
    <row r="38" spans="1:11">
      <c r="A38" s="339" t="s">
        <v>479</v>
      </c>
      <c r="B38" s="340" t="s">
        <v>746</v>
      </c>
      <c r="C38" s="341" t="s">
        <v>760</v>
      </c>
      <c r="D38" s="341" t="s">
        <v>756</v>
      </c>
      <c r="E38" s="342" t="s">
        <v>763</v>
      </c>
      <c r="F38" s="343" t="s">
        <v>764</v>
      </c>
      <c r="G38" s="344" t="s">
        <v>466</v>
      </c>
      <c r="H38" s="344" t="s">
        <v>752</v>
      </c>
      <c r="I38" s="345"/>
      <c r="J38" s="355" t="s">
        <v>765</v>
      </c>
      <c r="K38" s="128" t="s">
        <v>3</v>
      </c>
    </row>
    <row r="39" spans="1:11">
      <c r="A39" s="339" t="s">
        <v>479</v>
      </c>
      <c r="B39" s="340" t="s">
        <v>754</v>
      </c>
      <c r="C39" s="341" t="s">
        <v>760</v>
      </c>
      <c r="D39" s="341" t="s">
        <v>756</v>
      </c>
      <c r="E39" s="342" t="s">
        <v>763</v>
      </c>
      <c r="F39" s="343" t="s">
        <v>764</v>
      </c>
      <c r="G39" s="344" t="s">
        <v>469</v>
      </c>
      <c r="H39" s="344" t="s">
        <v>752</v>
      </c>
      <c r="I39" s="345"/>
      <c r="J39" s="355" t="s">
        <v>765</v>
      </c>
      <c r="K39" s="128" t="s">
        <v>3</v>
      </c>
    </row>
    <row r="40" spans="1:11">
      <c r="A40" s="339" t="s">
        <v>479</v>
      </c>
      <c r="B40" s="340" t="s">
        <v>746</v>
      </c>
      <c r="C40" s="345" t="s">
        <v>768</v>
      </c>
      <c r="D40" s="341" t="s">
        <v>756</v>
      </c>
      <c r="E40" s="342" t="s">
        <v>763</v>
      </c>
      <c r="F40" s="343" t="s">
        <v>764</v>
      </c>
      <c r="G40" s="344" t="s">
        <v>494</v>
      </c>
      <c r="H40" s="344" t="s">
        <v>752</v>
      </c>
      <c r="I40" s="345"/>
      <c r="J40" s="355" t="s">
        <v>765</v>
      </c>
      <c r="K40" s="128" t="s">
        <v>3</v>
      </c>
    </row>
    <row r="41" spans="1:11" hidden="1">
      <c r="A41" s="237" t="s">
        <v>110</v>
      </c>
      <c r="B41" s="245" t="s">
        <v>746</v>
      </c>
      <c r="C41" s="238" t="s">
        <v>39</v>
      </c>
      <c r="D41" s="238" t="s">
        <v>750</v>
      </c>
      <c r="E41" s="240" t="s">
        <v>794</v>
      </c>
      <c r="F41" s="248" t="s">
        <v>795</v>
      </c>
      <c r="G41" s="239" t="s">
        <v>39</v>
      </c>
      <c r="H41" s="239" t="s">
        <v>752</v>
      </c>
      <c r="I41" s="221"/>
      <c r="J41" s="255" t="s">
        <v>791</v>
      </c>
      <c r="K41" s="128" t="s">
        <v>4</v>
      </c>
    </row>
    <row r="42" spans="1:11" hidden="1">
      <c r="A42" s="237" t="s">
        <v>796</v>
      </c>
      <c r="B42" s="245" t="s">
        <v>746</v>
      </c>
      <c r="C42" s="238" t="s">
        <v>39</v>
      </c>
      <c r="D42" s="238" t="s">
        <v>750</v>
      </c>
      <c r="E42" s="240" t="s">
        <v>784</v>
      </c>
      <c r="F42" s="248" t="s">
        <v>793</v>
      </c>
      <c r="G42" s="239" t="s">
        <v>39</v>
      </c>
      <c r="H42" s="239" t="s">
        <v>752</v>
      </c>
      <c r="I42" s="221"/>
      <c r="J42" s="255" t="s">
        <v>797</v>
      </c>
      <c r="K42" s="7" t="s">
        <v>3</v>
      </c>
    </row>
    <row r="43" spans="1:11">
      <c r="A43" s="339" t="s">
        <v>796</v>
      </c>
      <c r="B43" s="340" t="s">
        <v>746</v>
      </c>
      <c r="C43" s="341" t="s">
        <v>755</v>
      </c>
      <c r="D43" s="341" t="s">
        <v>756</v>
      </c>
      <c r="E43" s="342" t="s">
        <v>763</v>
      </c>
      <c r="F43" s="343" t="s">
        <v>764</v>
      </c>
      <c r="G43" s="344" t="s">
        <v>494</v>
      </c>
      <c r="H43" s="344" t="s">
        <v>752</v>
      </c>
      <c r="I43" s="345"/>
      <c r="J43" s="355" t="s">
        <v>765</v>
      </c>
      <c r="K43" s="7" t="s">
        <v>3</v>
      </c>
    </row>
    <row r="44" spans="1:11">
      <c r="A44" s="339" t="s">
        <v>796</v>
      </c>
      <c r="B44" s="340" t="s">
        <v>754</v>
      </c>
      <c r="C44" s="341" t="s">
        <v>755</v>
      </c>
      <c r="D44" s="341" t="s">
        <v>756</v>
      </c>
      <c r="E44" s="342" t="s">
        <v>763</v>
      </c>
      <c r="F44" s="343" t="s">
        <v>764</v>
      </c>
      <c r="G44" s="344" t="s">
        <v>466</v>
      </c>
      <c r="H44" s="344" t="s">
        <v>752</v>
      </c>
      <c r="I44" s="345"/>
      <c r="J44" s="355" t="s">
        <v>765</v>
      </c>
      <c r="K44" s="7" t="s">
        <v>3</v>
      </c>
    </row>
    <row r="45" spans="1:11">
      <c r="A45" s="339" t="s">
        <v>796</v>
      </c>
      <c r="B45" s="340" t="s">
        <v>746</v>
      </c>
      <c r="C45" s="341" t="s">
        <v>767</v>
      </c>
      <c r="D45" s="341" t="s">
        <v>756</v>
      </c>
      <c r="E45" s="342" t="s">
        <v>763</v>
      </c>
      <c r="F45" s="343" t="s">
        <v>764</v>
      </c>
      <c r="G45" s="344" t="s">
        <v>494</v>
      </c>
      <c r="H45" s="344" t="s">
        <v>752</v>
      </c>
      <c r="I45" s="345"/>
      <c r="J45" s="355" t="s">
        <v>765</v>
      </c>
      <c r="K45" s="7" t="s">
        <v>3</v>
      </c>
    </row>
    <row r="46" spans="1:11">
      <c r="A46" s="339" t="s">
        <v>796</v>
      </c>
      <c r="B46" s="340" t="s">
        <v>754</v>
      </c>
      <c r="C46" s="341" t="s">
        <v>767</v>
      </c>
      <c r="D46" s="341" t="s">
        <v>756</v>
      </c>
      <c r="E46" s="342" t="s">
        <v>763</v>
      </c>
      <c r="F46" s="343" t="s">
        <v>764</v>
      </c>
      <c r="G46" s="344" t="s">
        <v>469</v>
      </c>
      <c r="H46" s="344" t="s">
        <v>752</v>
      </c>
      <c r="I46" s="345"/>
      <c r="J46" s="355" t="s">
        <v>765</v>
      </c>
      <c r="K46" s="7" t="s">
        <v>3</v>
      </c>
    </row>
    <row r="47" spans="1:11" s="27" customFormat="1">
      <c r="A47" s="339" t="s">
        <v>796</v>
      </c>
      <c r="B47" s="340" t="s">
        <v>746</v>
      </c>
      <c r="C47" s="341" t="s">
        <v>767</v>
      </c>
      <c r="D47" s="341" t="s">
        <v>756</v>
      </c>
      <c r="E47" s="342" t="s">
        <v>763</v>
      </c>
      <c r="F47" s="343" t="s">
        <v>764</v>
      </c>
      <c r="G47" s="344" t="s">
        <v>466</v>
      </c>
      <c r="H47" s="344" t="s">
        <v>752</v>
      </c>
      <c r="I47" s="345"/>
      <c r="J47" s="355" t="s">
        <v>765</v>
      </c>
      <c r="K47" s="7" t="s">
        <v>3</v>
      </c>
    </row>
    <row r="48" spans="1:11">
      <c r="A48" s="339" t="s">
        <v>796</v>
      </c>
      <c r="B48" s="340" t="s">
        <v>746</v>
      </c>
      <c r="C48" s="341" t="s">
        <v>760</v>
      </c>
      <c r="D48" s="341" t="s">
        <v>756</v>
      </c>
      <c r="E48" s="342" t="s">
        <v>763</v>
      </c>
      <c r="F48" s="343" t="s">
        <v>764</v>
      </c>
      <c r="G48" s="344" t="s">
        <v>466</v>
      </c>
      <c r="H48" s="344" t="s">
        <v>752</v>
      </c>
      <c r="I48" s="345"/>
      <c r="J48" s="355" t="s">
        <v>765</v>
      </c>
      <c r="K48" s="7" t="s">
        <v>3</v>
      </c>
    </row>
    <row r="49" spans="1:11" ht="15" customHeight="1">
      <c r="A49" s="339" t="s">
        <v>796</v>
      </c>
      <c r="B49" s="340" t="s">
        <v>754</v>
      </c>
      <c r="C49" s="341" t="s">
        <v>760</v>
      </c>
      <c r="D49" s="341" t="s">
        <v>756</v>
      </c>
      <c r="E49" s="342" t="s">
        <v>763</v>
      </c>
      <c r="F49" s="343" t="s">
        <v>764</v>
      </c>
      <c r="G49" s="344" t="s">
        <v>469</v>
      </c>
      <c r="H49" s="344" t="s">
        <v>752</v>
      </c>
      <c r="I49" s="345"/>
      <c r="J49" s="355" t="s">
        <v>765</v>
      </c>
      <c r="K49" s="7" t="s">
        <v>3</v>
      </c>
    </row>
    <row r="50" spans="1:11" ht="15" customHeight="1">
      <c r="A50" s="339" t="s">
        <v>796</v>
      </c>
      <c r="B50" s="340" t="s">
        <v>746</v>
      </c>
      <c r="C50" s="345" t="s">
        <v>768</v>
      </c>
      <c r="D50" s="341" t="s">
        <v>756</v>
      </c>
      <c r="E50" s="342" t="s">
        <v>763</v>
      </c>
      <c r="F50" s="343" t="s">
        <v>764</v>
      </c>
      <c r="G50" s="344" t="s">
        <v>494</v>
      </c>
      <c r="H50" s="344" t="s">
        <v>752</v>
      </c>
      <c r="I50" s="345"/>
      <c r="J50" s="355" t="s">
        <v>765</v>
      </c>
      <c r="K50" s="7" t="s">
        <v>3</v>
      </c>
    </row>
    <row r="51" spans="1:11" ht="15" hidden="1" customHeight="1">
      <c r="A51" s="222" t="s">
        <v>117</v>
      </c>
      <c r="B51" s="246" t="s">
        <v>746</v>
      </c>
      <c r="C51" s="208" t="s">
        <v>39</v>
      </c>
      <c r="D51" s="208" t="s">
        <v>747</v>
      </c>
      <c r="E51" s="241" t="s">
        <v>763</v>
      </c>
      <c r="F51" s="241" t="s">
        <v>39</v>
      </c>
      <c r="G51" s="208" t="s">
        <v>39</v>
      </c>
      <c r="H51" s="208" t="s">
        <v>749</v>
      </c>
      <c r="I51" s="209"/>
      <c r="J51" s="255" t="s">
        <v>798</v>
      </c>
      <c r="K51" s="128" t="s">
        <v>3</v>
      </c>
    </row>
    <row r="52" spans="1:11" ht="15" hidden="1" customHeight="1">
      <c r="A52" s="222" t="s">
        <v>117</v>
      </c>
      <c r="B52" s="245" t="s">
        <v>746</v>
      </c>
      <c r="C52" s="238" t="s">
        <v>39</v>
      </c>
      <c r="D52" s="238" t="s">
        <v>750</v>
      </c>
      <c r="E52" s="240" t="s">
        <v>775</v>
      </c>
      <c r="F52" s="248" t="s">
        <v>799</v>
      </c>
      <c r="G52" s="239" t="s">
        <v>39</v>
      </c>
      <c r="H52" s="239" t="s">
        <v>752</v>
      </c>
      <c r="I52" s="221"/>
      <c r="J52" s="255" t="s">
        <v>800</v>
      </c>
      <c r="K52" s="128" t="s">
        <v>3</v>
      </c>
    </row>
    <row r="53" spans="1:11" ht="15" customHeight="1">
      <c r="A53" s="359" t="s">
        <v>117</v>
      </c>
      <c r="B53" s="340" t="s">
        <v>746</v>
      </c>
      <c r="C53" s="341" t="s">
        <v>755</v>
      </c>
      <c r="D53" s="341" t="s">
        <v>756</v>
      </c>
      <c r="E53" s="360" t="s">
        <v>763</v>
      </c>
      <c r="F53" s="343" t="s">
        <v>764</v>
      </c>
      <c r="G53" s="344" t="s">
        <v>494</v>
      </c>
      <c r="H53" s="344" t="s">
        <v>752</v>
      </c>
      <c r="I53" s="361"/>
      <c r="J53" s="355" t="s">
        <v>765</v>
      </c>
      <c r="K53" s="128" t="s">
        <v>3</v>
      </c>
    </row>
    <row r="54" spans="1:11" ht="15" customHeight="1">
      <c r="A54" s="359" t="s">
        <v>117</v>
      </c>
      <c r="B54" s="340" t="s">
        <v>754</v>
      </c>
      <c r="C54" s="341" t="s">
        <v>755</v>
      </c>
      <c r="D54" s="341" t="s">
        <v>756</v>
      </c>
      <c r="E54" s="342" t="s">
        <v>763</v>
      </c>
      <c r="F54" s="343" t="s">
        <v>764</v>
      </c>
      <c r="G54" s="344" t="s">
        <v>466</v>
      </c>
      <c r="H54" s="344" t="s">
        <v>752</v>
      </c>
      <c r="I54" s="361"/>
      <c r="J54" s="355" t="s">
        <v>765</v>
      </c>
      <c r="K54" s="128" t="s">
        <v>3</v>
      </c>
    </row>
    <row r="55" spans="1:11" ht="15" customHeight="1">
      <c r="A55" s="359" t="s">
        <v>117</v>
      </c>
      <c r="B55" s="340" t="s">
        <v>746</v>
      </c>
      <c r="C55" s="341" t="s">
        <v>767</v>
      </c>
      <c r="D55" s="341" t="s">
        <v>756</v>
      </c>
      <c r="E55" s="342" t="s">
        <v>763</v>
      </c>
      <c r="F55" s="343" t="s">
        <v>764</v>
      </c>
      <c r="G55" s="344" t="s">
        <v>494</v>
      </c>
      <c r="H55" s="344" t="s">
        <v>752</v>
      </c>
      <c r="I55" s="348"/>
      <c r="J55" s="355" t="s">
        <v>765</v>
      </c>
      <c r="K55" s="128" t="s">
        <v>3</v>
      </c>
    </row>
    <row r="56" spans="1:11" ht="15" customHeight="1">
      <c r="A56" s="359" t="s">
        <v>117</v>
      </c>
      <c r="B56" s="340" t="s">
        <v>754</v>
      </c>
      <c r="C56" s="341" t="s">
        <v>767</v>
      </c>
      <c r="D56" s="341" t="s">
        <v>756</v>
      </c>
      <c r="E56" s="342" t="s">
        <v>763</v>
      </c>
      <c r="F56" s="343" t="s">
        <v>764</v>
      </c>
      <c r="G56" s="344" t="s">
        <v>469</v>
      </c>
      <c r="H56" s="344" t="s">
        <v>752</v>
      </c>
      <c r="I56" s="348"/>
      <c r="J56" s="355" t="s">
        <v>765</v>
      </c>
      <c r="K56" s="128" t="s">
        <v>3</v>
      </c>
    </row>
    <row r="57" spans="1:11" ht="15" customHeight="1">
      <c r="A57" s="359" t="s">
        <v>117</v>
      </c>
      <c r="B57" s="340" t="s">
        <v>746</v>
      </c>
      <c r="C57" s="341" t="s">
        <v>767</v>
      </c>
      <c r="D57" s="341" t="s">
        <v>756</v>
      </c>
      <c r="E57" s="342" t="s">
        <v>763</v>
      </c>
      <c r="F57" s="343" t="s">
        <v>764</v>
      </c>
      <c r="G57" s="344" t="s">
        <v>466</v>
      </c>
      <c r="H57" s="344" t="s">
        <v>752</v>
      </c>
      <c r="I57" s="348"/>
      <c r="J57" s="355" t="s">
        <v>765</v>
      </c>
      <c r="K57" s="128" t="s">
        <v>3</v>
      </c>
    </row>
    <row r="58" spans="1:11" ht="15" customHeight="1">
      <c r="A58" s="359" t="s">
        <v>117</v>
      </c>
      <c r="B58" s="340" t="s">
        <v>746</v>
      </c>
      <c r="C58" s="341" t="s">
        <v>760</v>
      </c>
      <c r="D58" s="341" t="s">
        <v>756</v>
      </c>
      <c r="E58" s="342" t="s">
        <v>763</v>
      </c>
      <c r="F58" s="343" t="s">
        <v>764</v>
      </c>
      <c r="G58" s="344" t="s">
        <v>466</v>
      </c>
      <c r="H58" s="344" t="s">
        <v>752</v>
      </c>
      <c r="I58" s="348"/>
      <c r="J58" s="355" t="s">
        <v>765</v>
      </c>
      <c r="K58" s="128" t="s">
        <v>3</v>
      </c>
    </row>
    <row r="59" spans="1:11" ht="15" customHeight="1">
      <c r="A59" s="359" t="s">
        <v>117</v>
      </c>
      <c r="B59" s="340" t="s">
        <v>754</v>
      </c>
      <c r="C59" s="341" t="s">
        <v>760</v>
      </c>
      <c r="D59" s="341" t="s">
        <v>756</v>
      </c>
      <c r="E59" s="342" t="s">
        <v>763</v>
      </c>
      <c r="F59" s="343" t="s">
        <v>764</v>
      </c>
      <c r="G59" s="344" t="s">
        <v>469</v>
      </c>
      <c r="H59" s="344" t="s">
        <v>752</v>
      </c>
      <c r="I59" s="348"/>
      <c r="J59" s="355" t="s">
        <v>765</v>
      </c>
      <c r="K59" s="128" t="s">
        <v>3</v>
      </c>
    </row>
    <row r="60" spans="1:11" ht="15" customHeight="1">
      <c r="A60" s="359" t="s">
        <v>117</v>
      </c>
      <c r="B60" s="340" t="s">
        <v>746</v>
      </c>
      <c r="C60" s="345" t="s">
        <v>768</v>
      </c>
      <c r="D60" s="341" t="s">
        <v>756</v>
      </c>
      <c r="E60" s="342" t="s">
        <v>763</v>
      </c>
      <c r="F60" s="343" t="s">
        <v>764</v>
      </c>
      <c r="G60" s="344" t="s">
        <v>494</v>
      </c>
      <c r="H60" s="344" t="s">
        <v>752</v>
      </c>
      <c r="I60" s="348"/>
      <c r="J60" s="355" t="s">
        <v>765</v>
      </c>
      <c r="K60" s="128" t="s">
        <v>3</v>
      </c>
    </row>
    <row r="61" spans="1:11" ht="15" customHeight="1">
      <c r="A61" s="347" t="s">
        <v>120</v>
      </c>
      <c r="B61" s="352" t="s">
        <v>746</v>
      </c>
      <c r="C61" s="353" t="s">
        <v>761</v>
      </c>
      <c r="D61" s="353" t="s">
        <v>756</v>
      </c>
      <c r="E61" s="350" t="s">
        <v>763</v>
      </c>
      <c r="F61" s="350" t="s">
        <v>801</v>
      </c>
      <c r="G61" s="353" t="s">
        <v>469</v>
      </c>
      <c r="H61" s="353" t="s">
        <v>752</v>
      </c>
      <c r="I61" s="348"/>
      <c r="J61" s="346" t="s">
        <v>802</v>
      </c>
      <c r="K61" s="353" t="s">
        <v>4</v>
      </c>
    </row>
    <row r="62" spans="1:11" ht="15" customHeight="1">
      <c r="A62" s="347" t="s">
        <v>120</v>
      </c>
      <c r="B62" s="352" t="s">
        <v>769</v>
      </c>
      <c r="C62" s="351" t="s">
        <v>803</v>
      </c>
      <c r="D62" s="353" t="s">
        <v>804</v>
      </c>
      <c r="E62" s="350" t="s">
        <v>763</v>
      </c>
      <c r="F62" s="350" t="s">
        <v>801</v>
      </c>
      <c r="G62" s="353" t="s">
        <v>466</v>
      </c>
      <c r="H62" s="353" t="s">
        <v>752</v>
      </c>
      <c r="I62" s="348"/>
      <c r="J62" s="346" t="s">
        <v>802</v>
      </c>
      <c r="K62" s="353" t="s">
        <v>4</v>
      </c>
    </row>
    <row r="63" spans="1:11" ht="15" customHeight="1">
      <c r="A63" s="347" t="s">
        <v>120</v>
      </c>
      <c r="B63" s="352" t="s">
        <v>769</v>
      </c>
      <c r="C63" s="351" t="s">
        <v>803</v>
      </c>
      <c r="D63" s="353" t="s">
        <v>804</v>
      </c>
      <c r="E63" s="350" t="s">
        <v>763</v>
      </c>
      <c r="F63" s="350" t="s">
        <v>801</v>
      </c>
      <c r="G63" s="353" t="s">
        <v>469</v>
      </c>
      <c r="H63" s="353" t="s">
        <v>752</v>
      </c>
      <c r="I63" s="348"/>
      <c r="J63" s="346" t="s">
        <v>802</v>
      </c>
      <c r="K63" s="353" t="s">
        <v>4</v>
      </c>
    </row>
    <row r="64" spans="1:11" ht="15" customHeight="1">
      <c r="A64" s="347" t="s">
        <v>126</v>
      </c>
      <c r="B64" s="352" t="s">
        <v>746</v>
      </c>
      <c r="C64" s="353" t="s">
        <v>761</v>
      </c>
      <c r="D64" s="353" t="s">
        <v>756</v>
      </c>
      <c r="E64" s="350" t="s">
        <v>805</v>
      </c>
      <c r="F64" s="350" t="s">
        <v>801</v>
      </c>
      <c r="G64" s="353" t="s">
        <v>469</v>
      </c>
      <c r="H64" s="353" t="s">
        <v>752</v>
      </c>
      <c r="I64" s="348"/>
      <c r="J64" s="346" t="s">
        <v>802</v>
      </c>
      <c r="K64" s="353" t="s">
        <v>4</v>
      </c>
    </row>
    <row r="65" spans="1:11" ht="15" customHeight="1">
      <c r="A65" s="347" t="s">
        <v>126</v>
      </c>
      <c r="B65" s="352" t="s">
        <v>769</v>
      </c>
      <c r="C65" s="351" t="s">
        <v>803</v>
      </c>
      <c r="D65" s="353" t="s">
        <v>804</v>
      </c>
      <c r="E65" s="350" t="s">
        <v>805</v>
      </c>
      <c r="F65" s="350" t="s">
        <v>801</v>
      </c>
      <c r="G65" s="353" t="s">
        <v>466</v>
      </c>
      <c r="H65" s="353" t="s">
        <v>752</v>
      </c>
      <c r="I65" s="348"/>
      <c r="J65" s="346" t="s">
        <v>802</v>
      </c>
      <c r="K65" s="353" t="s">
        <v>4</v>
      </c>
    </row>
    <row r="66" spans="1:11" ht="15" customHeight="1">
      <c r="A66" s="347" t="s">
        <v>126</v>
      </c>
      <c r="B66" s="352" t="s">
        <v>769</v>
      </c>
      <c r="C66" s="351" t="s">
        <v>803</v>
      </c>
      <c r="D66" s="353" t="s">
        <v>804</v>
      </c>
      <c r="E66" s="350" t="s">
        <v>805</v>
      </c>
      <c r="F66" s="350" t="s">
        <v>801</v>
      </c>
      <c r="G66" s="353" t="s">
        <v>469</v>
      </c>
      <c r="H66" s="353" t="s">
        <v>752</v>
      </c>
      <c r="I66" s="348"/>
      <c r="J66" s="346" t="s">
        <v>802</v>
      </c>
      <c r="K66" s="353" t="s">
        <v>4</v>
      </c>
    </row>
    <row r="67" spans="1:11" ht="15" hidden="1" customHeight="1">
      <c r="A67" s="14" t="s">
        <v>129</v>
      </c>
      <c r="B67" s="32" t="s">
        <v>769</v>
      </c>
      <c r="C67" s="128" t="s">
        <v>39</v>
      </c>
      <c r="D67" s="128" t="s">
        <v>747</v>
      </c>
      <c r="E67" s="242"/>
      <c r="F67" s="242" t="s">
        <v>39</v>
      </c>
      <c r="G67" s="128" t="s">
        <v>39</v>
      </c>
      <c r="H67" s="128" t="s">
        <v>749</v>
      </c>
      <c r="I67" s="224"/>
      <c r="J67" s="308" t="s">
        <v>806</v>
      </c>
      <c r="K67" s="128" t="s">
        <v>3</v>
      </c>
    </row>
    <row r="68" spans="1:11" ht="15" customHeight="1">
      <c r="A68" s="347" t="s">
        <v>539</v>
      </c>
      <c r="B68" s="340" t="s">
        <v>754</v>
      </c>
      <c r="C68" s="341" t="s">
        <v>755</v>
      </c>
      <c r="D68" s="341" t="s">
        <v>756</v>
      </c>
      <c r="E68" s="342" t="s">
        <v>763</v>
      </c>
      <c r="F68" s="343" t="s">
        <v>758</v>
      </c>
      <c r="G68" s="344" t="s">
        <v>494</v>
      </c>
      <c r="H68" s="344" t="s">
        <v>752</v>
      </c>
      <c r="I68" s="348"/>
      <c r="J68" s="355" t="s">
        <v>759</v>
      </c>
      <c r="K68" s="128" t="s">
        <v>3</v>
      </c>
    </row>
    <row r="69" spans="1:11" ht="15" customHeight="1">
      <c r="A69" s="347" t="s">
        <v>539</v>
      </c>
      <c r="B69" s="340" t="s">
        <v>754</v>
      </c>
      <c r="C69" s="341" t="s">
        <v>760</v>
      </c>
      <c r="D69" s="341" t="s">
        <v>756</v>
      </c>
      <c r="E69" s="342" t="s">
        <v>763</v>
      </c>
      <c r="F69" s="343" t="s">
        <v>758</v>
      </c>
      <c r="G69" s="344" t="s">
        <v>466</v>
      </c>
      <c r="H69" s="344" t="s">
        <v>752</v>
      </c>
      <c r="I69" s="348"/>
      <c r="J69" s="355" t="s">
        <v>759</v>
      </c>
      <c r="K69" s="128" t="s">
        <v>3</v>
      </c>
    </row>
    <row r="70" spans="1:11" ht="15" customHeight="1">
      <c r="A70" s="347" t="s">
        <v>539</v>
      </c>
      <c r="B70" s="340" t="s">
        <v>746</v>
      </c>
      <c r="C70" s="341" t="s">
        <v>761</v>
      </c>
      <c r="D70" s="341" t="s">
        <v>756</v>
      </c>
      <c r="E70" s="342" t="s">
        <v>763</v>
      </c>
      <c r="F70" s="343" t="s">
        <v>758</v>
      </c>
      <c r="G70" s="344" t="s">
        <v>494</v>
      </c>
      <c r="H70" s="344" t="s">
        <v>752</v>
      </c>
      <c r="I70" s="348"/>
      <c r="J70" s="355" t="s">
        <v>759</v>
      </c>
      <c r="K70" s="128" t="s">
        <v>3</v>
      </c>
    </row>
    <row r="71" spans="1:11" ht="15" hidden="1" customHeight="1">
      <c r="A71" s="14" t="s">
        <v>539</v>
      </c>
      <c r="B71" s="245" t="s">
        <v>746</v>
      </c>
      <c r="C71" s="238" t="s">
        <v>39</v>
      </c>
      <c r="D71" s="238" t="s">
        <v>750</v>
      </c>
      <c r="E71" s="240" t="s">
        <v>807</v>
      </c>
      <c r="F71" s="248" t="s">
        <v>808</v>
      </c>
      <c r="G71" s="239" t="s">
        <v>39</v>
      </c>
      <c r="H71" s="239" t="s">
        <v>752</v>
      </c>
      <c r="I71" s="221"/>
      <c r="J71" s="255" t="s">
        <v>791</v>
      </c>
      <c r="K71" s="128" t="s">
        <v>3</v>
      </c>
    </row>
    <row r="72" spans="1:11" ht="15" hidden="1" customHeight="1">
      <c r="A72" s="14" t="s">
        <v>539</v>
      </c>
      <c r="B72" s="245" t="s">
        <v>746</v>
      </c>
      <c r="C72" s="238" t="s">
        <v>39</v>
      </c>
      <c r="D72" s="238" t="s">
        <v>750</v>
      </c>
      <c r="E72" s="240" t="s">
        <v>809</v>
      </c>
      <c r="F72" s="248" t="s">
        <v>810</v>
      </c>
      <c r="G72" s="239" t="s">
        <v>39</v>
      </c>
      <c r="H72" s="239" t="s">
        <v>752</v>
      </c>
      <c r="I72" s="221"/>
      <c r="J72" s="255" t="s">
        <v>791</v>
      </c>
      <c r="K72" s="128" t="s">
        <v>3</v>
      </c>
    </row>
    <row r="73" spans="1:11" ht="15" hidden="1" customHeight="1">
      <c r="A73" s="14" t="s">
        <v>540</v>
      </c>
      <c r="B73" s="32" t="s">
        <v>746</v>
      </c>
      <c r="C73" s="128" t="s">
        <v>39</v>
      </c>
      <c r="D73" s="238" t="s">
        <v>750</v>
      </c>
      <c r="E73" s="242" t="s">
        <v>775</v>
      </c>
      <c r="F73" s="242" t="s">
        <v>811</v>
      </c>
      <c r="G73" s="128" t="s">
        <v>39</v>
      </c>
      <c r="H73" s="128" t="s">
        <v>752</v>
      </c>
      <c r="I73" s="224"/>
      <c r="J73" s="255" t="s">
        <v>791</v>
      </c>
      <c r="K73" s="128" t="s">
        <v>4</v>
      </c>
    </row>
    <row r="74" spans="1:11" ht="15" customHeight="1">
      <c r="A74" s="14" t="s">
        <v>540</v>
      </c>
      <c r="B74" s="32" t="s">
        <v>754</v>
      </c>
      <c r="C74" s="128" t="s">
        <v>755</v>
      </c>
      <c r="D74" s="128" t="s">
        <v>756</v>
      </c>
      <c r="E74" s="242" t="s">
        <v>812</v>
      </c>
      <c r="F74" s="161" t="s">
        <v>813</v>
      </c>
      <c r="G74" s="128" t="s">
        <v>469</v>
      </c>
      <c r="H74" s="128" t="s">
        <v>749</v>
      </c>
      <c r="I74" s="224"/>
      <c r="J74" s="308" t="s">
        <v>814</v>
      </c>
      <c r="K74" s="128" t="s">
        <v>4</v>
      </c>
    </row>
    <row r="75" spans="1:11" ht="15" customHeight="1">
      <c r="A75" s="14" t="s">
        <v>540</v>
      </c>
      <c r="B75" s="32" t="s">
        <v>754</v>
      </c>
      <c r="C75" s="128" t="s">
        <v>755</v>
      </c>
      <c r="D75" s="128" t="s">
        <v>756</v>
      </c>
      <c r="E75" s="242" t="s">
        <v>812</v>
      </c>
      <c r="F75" s="161" t="s">
        <v>813</v>
      </c>
      <c r="G75" s="128" t="s">
        <v>466</v>
      </c>
      <c r="H75" s="128" t="s">
        <v>749</v>
      </c>
      <c r="I75" s="224"/>
      <c r="J75" s="308" t="s">
        <v>814</v>
      </c>
      <c r="K75" s="128" t="s">
        <v>4</v>
      </c>
    </row>
    <row r="76" spans="1:11" ht="15" customHeight="1">
      <c r="A76" s="14" t="s">
        <v>540</v>
      </c>
      <c r="B76" s="32" t="s">
        <v>746</v>
      </c>
      <c r="C76" s="128" t="s">
        <v>767</v>
      </c>
      <c r="D76" s="128" t="s">
        <v>756</v>
      </c>
      <c r="E76" s="242" t="s">
        <v>812</v>
      </c>
      <c r="F76" s="161" t="s">
        <v>813</v>
      </c>
      <c r="G76" s="128" t="s">
        <v>469</v>
      </c>
      <c r="H76" s="128" t="s">
        <v>749</v>
      </c>
      <c r="I76" s="224"/>
      <c r="J76" s="308" t="s">
        <v>814</v>
      </c>
      <c r="K76" s="128" t="s">
        <v>4</v>
      </c>
    </row>
    <row r="77" spans="1:11" ht="15" customHeight="1">
      <c r="A77" s="14" t="s">
        <v>540</v>
      </c>
      <c r="B77" s="32" t="s">
        <v>746</v>
      </c>
      <c r="C77" s="128" t="s">
        <v>767</v>
      </c>
      <c r="D77" s="128" t="s">
        <v>756</v>
      </c>
      <c r="E77" s="242" t="s">
        <v>812</v>
      </c>
      <c r="F77" s="161" t="s">
        <v>813</v>
      </c>
      <c r="G77" s="128" t="s">
        <v>469</v>
      </c>
      <c r="H77" s="128" t="s">
        <v>749</v>
      </c>
      <c r="I77" s="224"/>
      <c r="J77" s="308" t="s">
        <v>814</v>
      </c>
      <c r="K77" s="128" t="s">
        <v>4</v>
      </c>
    </row>
    <row r="78" spans="1:11" ht="15" hidden="1" customHeight="1">
      <c r="A78" s="14" t="s">
        <v>643</v>
      </c>
      <c r="B78" s="32" t="s">
        <v>746</v>
      </c>
      <c r="C78" s="128" t="s">
        <v>39</v>
      </c>
      <c r="D78" s="128" t="s">
        <v>747</v>
      </c>
      <c r="E78" s="242" t="s">
        <v>757</v>
      </c>
      <c r="F78" s="242" t="s">
        <v>39</v>
      </c>
      <c r="G78" s="128" t="s">
        <v>39</v>
      </c>
      <c r="H78" s="128" t="s">
        <v>749</v>
      </c>
      <c r="I78" s="224"/>
      <c r="J78" s="255" t="s">
        <v>815</v>
      </c>
      <c r="K78" s="128" t="s">
        <v>3</v>
      </c>
    </row>
    <row r="79" spans="1:11" ht="15" hidden="1" customHeight="1">
      <c r="A79" s="14" t="s">
        <v>643</v>
      </c>
      <c r="B79" s="32" t="s">
        <v>746</v>
      </c>
      <c r="C79" s="128" t="s">
        <v>39</v>
      </c>
      <c r="D79" s="238" t="s">
        <v>750</v>
      </c>
      <c r="E79" s="242" t="s">
        <v>784</v>
      </c>
      <c r="F79" s="242" t="s">
        <v>816</v>
      </c>
      <c r="G79" s="128" t="s">
        <v>39</v>
      </c>
      <c r="H79" s="128" t="s">
        <v>752</v>
      </c>
      <c r="I79" s="224"/>
      <c r="J79" s="255" t="s">
        <v>791</v>
      </c>
      <c r="K79" s="128" t="s">
        <v>4</v>
      </c>
    </row>
    <row r="80" spans="1:11" ht="15" customHeight="1">
      <c r="A80" s="14" t="s">
        <v>643</v>
      </c>
      <c r="B80" s="32" t="s">
        <v>754</v>
      </c>
      <c r="C80" s="128" t="s">
        <v>755</v>
      </c>
      <c r="D80" s="128" t="s">
        <v>756</v>
      </c>
      <c r="E80" s="242" t="s">
        <v>817</v>
      </c>
      <c r="F80" s="161" t="s">
        <v>818</v>
      </c>
      <c r="G80" s="128" t="s">
        <v>469</v>
      </c>
      <c r="H80" s="128" t="s">
        <v>749</v>
      </c>
      <c r="I80" s="224"/>
      <c r="J80" s="308" t="s">
        <v>814</v>
      </c>
      <c r="K80" s="128" t="s">
        <v>4</v>
      </c>
    </row>
    <row r="81" spans="1:11" ht="15" customHeight="1">
      <c r="A81" s="14" t="s">
        <v>643</v>
      </c>
      <c r="B81" s="32" t="s">
        <v>754</v>
      </c>
      <c r="C81" s="128" t="s">
        <v>755</v>
      </c>
      <c r="D81" s="128" t="s">
        <v>756</v>
      </c>
      <c r="E81" s="242" t="s">
        <v>817</v>
      </c>
      <c r="F81" s="161" t="s">
        <v>818</v>
      </c>
      <c r="G81" s="128" t="s">
        <v>466</v>
      </c>
      <c r="H81" s="128" t="s">
        <v>749</v>
      </c>
      <c r="I81" s="224"/>
      <c r="J81" s="308" t="s">
        <v>814</v>
      </c>
      <c r="K81" s="128" t="s">
        <v>4</v>
      </c>
    </row>
    <row r="82" spans="1:11" ht="15" customHeight="1">
      <c r="A82" s="14" t="s">
        <v>643</v>
      </c>
      <c r="B82" s="32" t="s">
        <v>746</v>
      </c>
      <c r="C82" s="128" t="s">
        <v>767</v>
      </c>
      <c r="D82" s="128" t="s">
        <v>756</v>
      </c>
      <c r="E82" s="242" t="s">
        <v>817</v>
      </c>
      <c r="F82" s="161" t="s">
        <v>818</v>
      </c>
      <c r="G82" s="128" t="s">
        <v>469</v>
      </c>
      <c r="H82" s="128" t="s">
        <v>749</v>
      </c>
      <c r="I82" s="224"/>
      <c r="J82" s="308" t="s">
        <v>814</v>
      </c>
      <c r="K82" s="128" t="s">
        <v>4</v>
      </c>
    </row>
    <row r="83" spans="1:11" ht="15" customHeight="1">
      <c r="A83" s="14" t="s">
        <v>643</v>
      </c>
      <c r="B83" s="32" t="s">
        <v>746</v>
      </c>
      <c r="C83" s="128" t="s">
        <v>767</v>
      </c>
      <c r="D83" s="128" t="s">
        <v>756</v>
      </c>
      <c r="E83" s="242" t="s">
        <v>817</v>
      </c>
      <c r="F83" s="161" t="s">
        <v>818</v>
      </c>
      <c r="G83" s="128" t="s">
        <v>469</v>
      </c>
      <c r="H83" s="128" t="s">
        <v>749</v>
      </c>
      <c r="I83" s="224"/>
      <c r="J83" s="308" t="s">
        <v>814</v>
      </c>
      <c r="K83" s="128" t="s">
        <v>4</v>
      </c>
    </row>
    <row r="84" spans="1:11" ht="15" hidden="1" customHeight="1">
      <c r="A84" s="14" t="s">
        <v>148</v>
      </c>
      <c r="B84" s="32" t="s">
        <v>746</v>
      </c>
      <c r="C84" s="128" t="s">
        <v>39</v>
      </c>
      <c r="D84" s="238" t="s">
        <v>750</v>
      </c>
      <c r="E84" s="242" t="s">
        <v>775</v>
      </c>
      <c r="F84" s="251" t="s">
        <v>819</v>
      </c>
      <c r="G84" s="128" t="s">
        <v>39</v>
      </c>
      <c r="H84" s="128" t="s">
        <v>752</v>
      </c>
      <c r="I84" s="224"/>
      <c r="J84" s="308" t="s">
        <v>820</v>
      </c>
      <c r="K84" s="128" t="s">
        <v>4</v>
      </c>
    </row>
    <row r="85" spans="1:11" ht="15" customHeight="1">
      <c r="A85" s="347" t="s">
        <v>148</v>
      </c>
      <c r="B85" s="340" t="s">
        <v>754</v>
      </c>
      <c r="C85" s="341" t="s">
        <v>755</v>
      </c>
      <c r="D85" s="341" t="s">
        <v>756</v>
      </c>
      <c r="E85" s="342" t="s">
        <v>809</v>
      </c>
      <c r="F85" s="343" t="s">
        <v>758</v>
      </c>
      <c r="G85" s="344" t="s">
        <v>494</v>
      </c>
      <c r="H85" s="344" t="s">
        <v>752</v>
      </c>
      <c r="I85" s="348"/>
      <c r="J85" s="355" t="s">
        <v>759</v>
      </c>
      <c r="K85" s="128" t="s">
        <v>3</v>
      </c>
    </row>
    <row r="86" spans="1:11" ht="15" customHeight="1">
      <c r="A86" s="347" t="s">
        <v>148</v>
      </c>
      <c r="B86" s="340" t="s">
        <v>754</v>
      </c>
      <c r="C86" s="341" t="s">
        <v>760</v>
      </c>
      <c r="D86" s="341" t="s">
        <v>756</v>
      </c>
      <c r="E86" s="342" t="s">
        <v>809</v>
      </c>
      <c r="F86" s="343" t="s">
        <v>758</v>
      </c>
      <c r="G86" s="344" t="s">
        <v>466</v>
      </c>
      <c r="H86" s="344" t="s">
        <v>752</v>
      </c>
      <c r="I86" s="348"/>
      <c r="J86" s="355" t="s">
        <v>759</v>
      </c>
      <c r="K86" s="128" t="s">
        <v>3</v>
      </c>
    </row>
    <row r="87" spans="1:11" ht="15" customHeight="1">
      <c r="A87" s="347" t="s">
        <v>148</v>
      </c>
      <c r="B87" s="340" t="s">
        <v>746</v>
      </c>
      <c r="C87" s="341" t="s">
        <v>761</v>
      </c>
      <c r="D87" s="341" t="s">
        <v>756</v>
      </c>
      <c r="E87" s="342" t="s">
        <v>809</v>
      </c>
      <c r="F87" s="343" t="s">
        <v>758</v>
      </c>
      <c r="G87" s="344" t="s">
        <v>494</v>
      </c>
      <c r="H87" s="344" t="s">
        <v>752</v>
      </c>
      <c r="I87" s="348"/>
      <c r="J87" s="355" t="s">
        <v>759</v>
      </c>
      <c r="K87" s="128" t="s">
        <v>3</v>
      </c>
    </row>
    <row r="88" spans="1:11" ht="15" hidden="1" customHeight="1">
      <c r="A88" s="14" t="s">
        <v>821</v>
      </c>
      <c r="B88" s="32" t="s">
        <v>746</v>
      </c>
      <c r="C88" s="128" t="s">
        <v>39</v>
      </c>
      <c r="D88" s="238" t="s">
        <v>750</v>
      </c>
      <c r="E88" s="242" t="s">
        <v>822</v>
      </c>
      <c r="F88" s="242" t="s">
        <v>823</v>
      </c>
      <c r="G88" s="128" t="s">
        <v>39</v>
      </c>
      <c r="H88" s="128" t="s">
        <v>752</v>
      </c>
      <c r="I88" s="224"/>
      <c r="J88" s="308" t="s">
        <v>820</v>
      </c>
      <c r="K88" s="128" t="s">
        <v>4</v>
      </c>
    </row>
    <row r="89" spans="1:11" ht="15" hidden="1" customHeight="1">
      <c r="A89" s="14" t="s">
        <v>821</v>
      </c>
      <c r="B89" s="32" t="s">
        <v>746</v>
      </c>
      <c r="C89" s="128" t="s">
        <v>39</v>
      </c>
      <c r="D89" s="238" t="s">
        <v>750</v>
      </c>
      <c r="E89" s="242" t="s">
        <v>772</v>
      </c>
      <c r="F89" s="242" t="s">
        <v>824</v>
      </c>
      <c r="G89" s="128" t="s">
        <v>39</v>
      </c>
      <c r="H89" s="128" t="s">
        <v>752</v>
      </c>
      <c r="I89" s="224"/>
      <c r="J89" s="308" t="s">
        <v>820</v>
      </c>
      <c r="K89" s="128" t="s">
        <v>4</v>
      </c>
    </row>
    <row r="90" spans="1:11" ht="15" customHeight="1">
      <c r="A90" s="347" t="s">
        <v>154</v>
      </c>
      <c r="B90" s="340" t="s">
        <v>754</v>
      </c>
      <c r="C90" s="341" t="s">
        <v>755</v>
      </c>
      <c r="D90" s="341" t="s">
        <v>756</v>
      </c>
      <c r="E90" s="342" t="s">
        <v>825</v>
      </c>
      <c r="F90" s="343" t="s">
        <v>758</v>
      </c>
      <c r="G90" s="344" t="s">
        <v>494</v>
      </c>
      <c r="H90" s="344" t="s">
        <v>752</v>
      </c>
      <c r="I90" s="348"/>
      <c r="J90" s="355" t="s">
        <v>759</v>
      </c>
      <c r="K90" s="128" t="s">
        <v>3</v>
      </c>
    </row>
    <row r="91" spans="1:11" ht="15" customHeight="1">
      <c r="A91" s="347" t="s">
        <v>154</v>
      </c>
      <c r="B91" s="340" t="s">
        <v>754</v>
      </c>
      <c r="C91" s="341" t="s">
        <v>760</v>
      </c>
      <c r="D91" s="341" t="s">
        <v>756</v>
      </c>
      <c r="E91" s="342" t="s">
        <v>825</v>
      </c>
      <c r="F91" s="343" t="s">
        <v>758</v>
      </c>
      <c r="G91" s="344" t="s">
        <v>466</v>
      </c>
      <c r="H91" s="344" t="s">
        <v>752</v>
      </c>
      <c r="I91" s="349"/>
      <c r="J91" s="355" t="s">
        <v>759</v>
      </c>
      <c r="K91" s="128" t="s">
        <v>3</v>
      </c>
    </row>
    <row r="92" spans="1:11" ht="15" customHeight="1">
      <c r="A92" s="347" t="s">
        <v>154</v>
      </c>
      <c r="B92" s="340" t="s">
        <v>746</v>
      </c>
      <c r="C92" s="341" t="s">
        <v>761</v>
      </c>
      <c r="D92" s="341" t="s">
        <v>756</v>
      </c>
      <c r="E92" s="342" t="s">
        <v>825</v>
      </c>
      <c r="F92" s="343" t="s">
        <v>758</v>
      </c>
      <c r="G92" s="344" t="s">
        <v>494</v>
      </c>
      <c r="H92" s="344" t="s">
        <v>752</v>
      </c>
      <c r="I92" s="348"/>
      <c r="J92" s="355" t="s">
        <v>759</v>
      </c>
      <c r="K92" s="128" t="s">
        <v>3</v>
      </c>
    </row>
    <row r="93" spans="1:11" ht="15" customHeight="1">
      <c r="A93" s="347" t="s">
        <v>154</v>
      </c>
      <c r="B93" s="352" t="s">
        <v>746</v>
      </c>
      <c r="C93" s="353" t="s">
        <v>755</v>
      </c>
      <c r="D93" s="353" t="s">
        <v>756</v>
      </c>
      <c r="E93" s="350" t="s">
        <v>809</v>
      </c>
      <c r="F93" s="350" t="s">
        <v>826</v>
      </c>
      <c r="G93" s="353" t="s">
        <v>494</v>
      </c>
      <c r="H93" s="353" t="s">
        <v>752</v>
      </c>
      <c r="I93" s="348"/>
      <c r="J93" s="355" t="s">
        <v>827</v>
      </c>
      <c r="K93" s="128" t="s">
        <v>3</v>
      </c>
    </row>
    <row r="94" spans="1:11" ht="15" customHeight="1">
      <c r="A94" s="347" t="s">
        <v>154</v>
      </c>
      <c r="B94" s="352" t="s">
        <v>769</v>
      </c>
      <c r="C94" s="353" t="s">
        <v>828</v>
      </c>
      <c r="D94" s="353" t="s">
        <v>804</v>
      </c>
      <c r="E94" s="350" t="s">
        <v>809</v>
      </c>
      <c r="F94" s="350" t="s">
        <v>826</v>
      </c>
      <c r="G94" s="353" t="s">
        <v>829</v>
      </c>
      <c r="H94" s="353" t="s">
        <v>752</v>
      </c>
      <c r="I94" s="348"/>
      <c r="J94" s="355" t="s">
        <v>827</v>
      </c>
      <c r="K94" s="128" t="s">
        <v>3</v>
      </c>
    </row>
    <row r="95" spans="1:11" ht="15" hidden="1" customHeight="1">
      <c r="A95" s="14" t="s">
        <v>154</v>
      </c>
      <c r="B95" s="32" t="s">
        <v>746</v>
      </c>
      <c r="C95" s="128" t="s">
        <v>39</v>
      </c>
      <c r="D95" s="238" t="s">
        <v>750</v>
      </c>
      <c r="E95" s="242" t="s">
        <v>830</v>
      </c>
      <c r="F95" s="242" t="s">
        <v>831</v>
      </c>
      <c r="G95" s="128" t="s">
        <v>39</v>
      </c>
      <c r="H95" s="128" t="s">
        <v>752</v>
      </c>
      <c r="I95" s="224"/>
      <c r="J95" s="255" t="s">
        <v>791</v>
      </c>
      <c r="K95" s="128" t="s">
        <v>3</v>
      </c>
    </row>
    <row r="96" spans="1:11" ht="15" hidden="1" customHeight="1">
      <c r="A96" s="14" t="s">
        <v>158</v>
      </c>
      <c r="B96" s="32" t="s">
        <v>746</v>
      </c>
      <c r="C96" s="128" t="s">
        <v>39</v>
      </c>
      <c r="D96" s="238" t="s">
        <v>750</v>
      </c>
      <c r="E96" s="242" t="s">
        <v>775</v>
      </c>
      <c r="F96" s="242" t="s">
        <v>832</v>
      </c>
      <c r="G96" s="128" t="s">
        <v>39</v>
      </c>
      <c r="H96" s="128" t="s">
        <v>752</v>
      </c>
      <c r="I96" s="224"/>
      <c r="J96" s="255" t="s">
        <v>791</v>
      </c>
      <c r="K96" s="128" t="s">
        <v>3</v>
      </c>
    </row>
    <row r="97" spans="1:11" ht="15" hidden="1" customHeight="1">
      <c r="A97" s="14" t="s">
        <v>158</v>
      </c>
      <c r="B97" s="32" t="s">
        <v>746</v>
      </c>
      <c r="C97" s="128" t="s">
        <v>39</v>
      </c>
      <c r="D97" s="128" t="s">
        <v>747</v>
      </c>
      <c r="E97" s="242" t="s">
        <v>772</v>
      </c>
      <c r="F97" s="242" t="s">
        <v>39</v>
      </c>
      <c r="G97" s="128" t="s">
        <v>39</v>
      </c>
      <c r="H97" s="128" t="s">
        <v>749</v>
      </c>
      <c r="I97" s="224"/>
      <c r="J97" s="255"/>
      <c r="K97" s="128" t="s">
        <v>3</v>
      </c>
    </row>
    <row r="98" spans="1:11" ht="15" hidden="1" customHeight="1">
      <c r="A98" s="14" t="s">
        <v>158</v>
      </c>
      <c r="B98" s="32" t="s">
        <v>746</v>
      </c>
      <c r="C98" s="128" t="s">
        <v>39</v>
      </c>
      <c r="D98" s="128" t="s">
        <v>747</v>
      </c>
      <c r="E98" s="242" t="s">
        <v>833</v>
      </c>
      <c r="F98" s="242" t="s">
        <v>39</v>
      </c>
      <c r="G98" s="128" t="s">
        <v>39</v>
      </c>
      <c r="H98" s="128" t="s">
        <v>749</v>
      </c>
      <c r="I98" s="224"/>
      <c r="J98" s="255"/>
      <c r="K98" s="128" t="s">
        <v>3</v>
      </c>
    </row>
    <row r="99" spans="1:11" ht="15" hidden="1" customHeight="1">
      <c r="A99" s="14" t="s">
        <v>158</v>
      </c>
      <c r="B99" s="32" t="s">
        <v>746</v>
      </c>
      <c r="C99" s="128" t="s">
        <v>39</v>
      </c>
      <c r="D99" s="128" t="s">
        <v>747</v>
      </c>
      <c r="E99" s="242" t="s">
        <v>830</v>
      </c>
      <c r="F99" s="242" t="s">
        <v>39</v>
      </c>
      <c r="G99" s="128" t="s">
        <v>39</v>
      </c>
      <c r="H99" s="128" t="s">
        <v>749</v>
      </c>
      <c r="I99" s="224"/>
      <c r="J99" s="255"/>
      <c r="K99" s="128" t="s">
        <v>3</v>
      </c>
    </row>
    <row r="100" spans="1:11" ht="15" customHeight="1">
      <c r="A100" s="359" t="s">
        <v>161</v>
      </c>
      <c r="B100" s="340" t="s">
        <v>746</v>
      </c>
      <c r="C100" s="341" t="s">
        <v>755</v>
      </c>
      <c r="D100" s="341" t="s">
        <v>756</v>
      </c>
      <c r="E100" s="360" t="s">
        <v>809</v>
      </c>
      <c r="F100" s="343" t="s">
        <v>764</v>
      </c>
      <c r="G100" s="344" t="s">
        <v>494</v>
      </c>
      <c r="H100" s="344" t="s">
        <v>752</v>
      </c>
      <c r="I100" s="351"/>
      <c r="J100" s="355" t="s">
        <v>765</v>
      </c>
      <c r="K100" s="353" t="s">
        <v>4</v>
      </c>
    </row>
    <row r="101" spans="1:11" ht="15" customHeight="1">
      <c r="A101" s="359" t="s">
        <v>161</v>
      </c>
      <c r="B101" s="340" t="s">
        <v>754</v>
      </c>
      <c r="C101" s="341" t="s">
        <v>755</v>
      </c>
      <c r="D101" s="341" t="s">
        <v>756</v>
      </c>
      <c r="E101" s="360" t="s">
        <v>809</v>
      </c>
      <c r="F101" s="343" t="s">
        <v>764</v>
      </c>
      <c r="G101" s="344" t="s">
        <v>466</v>
      </c>
      <c r="H101" s="344" t="s">
        <v>752</v>
      </c>
      <c r="I101" s="351"/>
      <c r="J101" s="355" t="s">
        <v>765</v>
      </c>
      <c r="K101" s="353" t="s">
        <v>4</v>
      </c>
    </row>
    <row r="102" spans="1:11" ht="15" customHeight="1">
      <c r="A102" s="359" t="s">
        <v>161</v>
      </c>
      <c r="B102" s="340" t="s">
        <v>746</v>
      </c>
      <c r="C102" s="341" t="s">
        <v>767</v>
      </c>
      <c r="D102" s="341" t="s">
        <v>756</v>
      </c>
      <c r="E102" s="360" t="s">
        <v>809</v>
      </c>
      <c r="F102" s="343" t="s">
        <v>764</v>
      </c>
      <c r="G102" s="344" t="s">
        <v>494</v>
      </c>
      <c r="H102" s="344" t="s">
        <v>752</v>
      </c>
      <c r="I102" s="351"/>
      <c r="J102" s="355" t="s">
        <v>765</v>
      </c>
      <c r="K102" s="353" t="s">
        <v>4</v>
      </c>
    </row>
    <row r="103" spans="1:11" ht="15" customHeight="1">
      <c r="A103" s="359" t="s">
        <v>161</v>
      </c>
      <c r="B103" s="340" t="s">
        <v>754</v>
      </c>
      <c r="C103" s="341" t="s">
        <v>767</v>
      </c>
      <c r="D103" s="341" t="s">
        <v>756</v>
      </c>
      <c r="E103" s="360" t="s">
        <v>809</v>
      </c>
      <c r="F103" s="343" t="s">
        <v>764</v>
      </c>
      <c r="G103" s="344" t="s">
        <v>469</v>
      </c>
      <c r="H103" s="344" t="s">
        <v>752</v>
      </c>
      <c r="I103" s="351"/>
      <c r="J103" s="355" t="s">
        <v>765</v>
      </c>
      <c r="K103" s="353" t="s">
        <v>4</v>
      </c>
    </row>
    <row r="104" spans="1:11" ht="15" customHeight="1">
      <c r="A104" s="359" t="s">
        <v>161</v>
      </c>
      <c r="B104" s="340" t="s">
        <v>746</v>
      </c>
      <c r="C104" s="341" t="s">
        <v>767</v>
      </c>
      <c r="D104" s="341" t="s">
        <v>756</v>
      </c>
      <c r="E104" s="360" t="s">
        <v>809</v>
      </c>
      <c r="F104" s="343" t="s">
        <v>764</v>
      </c>
      <c r="G104" s="344" t="s">
        <v>466</v>
      </c>
      <c r="H104" s="344" t="s">
        <v>752</v>
      </c>
      <c r="I104" s="351"/>
      <c r="J104" s="355" t="s">
        <v>765</v>
      </c>
      <c r="K104" s="353" t="s">
        <v>4</v>
      </c>
    </row>
    <row r="105" spans="1:11" ht="15" customHeight="1">
      <c r="A105" s="359" t="s">
        <v>161</v>
      </c>
      <c r="B105" s="340" t="s">
        <v>746</v>
      </c>
      <c r="C105" s="341" t="s">
        <v>760</v>
      </c>
      <c r="D105" s="341" t="s">
        <v>756</v>
      </c>
      <c r="E105" s="360" t="s">
        <v>809</v>
      </c>
      <c r="F105" s="343" t="s">
        <v>764</v>
      </c>
      <c r="G105" s="344" t="s">
        <v>466</v>
      </c>
      <c r="H105" s="344" t="s">
        <v>752</v>
      </c>
      <c r="I105" s="351"/>
      <c r="J105" s="355" t="s">
        <v>765</v>
      </c>
      <c r="K105" s="353" t="s">
        <v>4</v>
      </c>
    </row>
    <row r="106" spans="1:11" ht="15" customHeight="1">
      <c r="A106" s="359" t="s">
        <v>161</v>
      </c>
      <c r="B106" s="340" t="s">
        <v>754</v>
      </c>
      <c r="C106" s="341" t="s">
        <v>760</v>
      </c>
      <c r="D106" s="341" t="s">
        <v>756</v>
      </c>
      <c r="E106" s="360" t="s">
        <v>809</v>
      </c>
      <c r="F106" s="343" t="s">
        <v>764</v>
      </c>
      <c r="G106" s="344" t="s">
        <v>469</v>
      </c>
      <c r="H106" s="344" t="s">
        <v>752</v>
      </c>
      <c r="I106" s="351"/>
      <c r="J106" s="355" t="s">
        <v>765</v>
      </c>
      <c r="K106" s="353" t="s">
        <v>4</v>
      </c>
    </row>
    <row r="107" spans="1:11" ht="15" customHeight="1">
      <c r="A107" s="359" t="s">
        <v>161</v>
      </c>
      <c r="B107" s="340" t="s">
        <v>746</v>
      </c>
      <c r="C107" s="345" t="s">
        <v>768</v>
      </c>
      <c r="D107" s="341" t="s">
        <v>756</v>
      </c>
      <c r="E107" s="360" t="s">
        <v>809</v>
      </c>
      <c r="F107" s="343" t="s">
        <v>764</v>
      </c>
      <c r="G107" s="344" t="s">
        <v>494</v>
      </c>
      <c r="H107" s="344" t="s">
        <v>752</v>
      </c>
      <c r="I107" s="351"/>
      <c r="J107" s="355" t="s">
        <v>765</v>
      </c>
      <c r="K107" s="353" t="s">
        <v>4</v>
      </c>
    </row>
    <row r="108" spans="1:11" ht="15" hidden="1" customHeight="1">
      <c r="A108" s="14" t="s">
        <v>161</v>
      </c>
      <c r="B108" s="32" t="s">
        <v>746</v>
      </c>
      <c r="C108" s="128" t="s">
        <v>39</v>
      </c>
      <c r="D108" s="238" t="s">
        <v>750</v>
      </c>
      <c r="E108" s="242" t="s">
        <v>834</v>
      </c>
      <c r="F108" s="252" t="s">
        <v>835</v>
      </c>
      <c r="G108" s="128" t="s">
        <v>39</v>
      </c>
      <c r="H108" s="128" t="s">
        <v>752</v>
      </c>
      <c r="I108" s="161"/>
      <c r="J108" s="255" t="s">
        <v>836</v>
      </c>
      <c r="K108" s="128" t="s">
        <v>4</v>
      </c>
    </row>
    <row r="109" spans="1:11" ht="15" hidden="1" customHeight="1">
      <c r="A109" s="14" t="s">
        <v>161</v>
      </c>
      <c r="B109" s="32" t="s">
        <v>746</v>
      </c>
      <c r="C109" s="128" t="s">
        <v>39</v>
      </c>
      <c r="D109" s="238" t="s">
        <v>750</v>
      </c>
      <c r="E109" s="242" t="s">
        <v>837</v>
      </c>
      <c r="F109" s="252" t="s">
        <v>838</v>
      </c>
      <c r="G109" s="128" t="s">
        <v>39</v>
      </c>
      <c r="H109" s="128" t="s">
        <v>752</v>
      </c>
      <c r="I109" s="161"/>
      <c r="J109" s="255" t="s">
        <v>839</v>
      </c>
      <c r="K109" s="128" t="s">
        <v>4</v>
      </c>
    </row>
    <row r="110" spans="1:11" ht="15" hidden="1" customHeight="1">
      <c r="A110" s="14" t="s">
        <v>161</v>
      </c>
      <c r="B110" s="32" t="s">
        <v>746</v>
      </c>
      <c r="C110" s="128" t="s">
        <v>39</v>
      </c>
      <c r="D110" s="238" t="s">
        <v>750</v>
      </c>
      <c r="E110" s="242" t="s">
        <v>840</v>
      </c>
      <c r="F110" s="252" t="s">
        <v>841</v>
      </c>
      <c r="G110" s="128" t="s">
        <v>39</v>
      </c>
      <c r="H110" s="128" t="s">
        <v>752</v>
      </c>
      <c r="I110" s="161"/>
      <c r="J110" s="255" t="s">
        <v>839</v>
      </c>
      <c r="K110" s="128" t="s">
        <v>4</v>
      </c>
    </row>
    <row r="111" spans="1:11" ht="15" customHeight="1">
      <c r="A111" s="14" t="s">
        <v>161</v>
      </c>
      <c r="B111" s="32" t="s">
        <v>754</v>
      </c>
      <c r="C111" s="128" t="s">
        <v>762</v>
      </c>
      <c r="D111" s="128" t="s">
        <v>756</v>
      </c>
      <c r="E111" s="242" t="s">
        <v>842</v>
      </c>
      <c r="F111" s="242" t="s">
        <v>843</v>
      </c>
      <c r="G111" s="128" t="s">
        <v>829</v>
      </c>
      <c r="H111" s="128" t="s">
        <v>749</v>
      </c>
      <c r="I111" s="161"/>
      <c r="J111" s="337" t="s">
        <v>814</v>
      </c>
      <c r="K111" s="128" t="s">
        <v>4</v>
      </c>
    </row>
    <row r="112" spans="1:11" ht="15" hidden="1" customHeight="1">
      <c r="A112" s="14" t="s">
        <v>164</v>
      </c>
      <c r="B112" s="32" t="s">
        <v>746</v>
      </c>
      <c r="C112" s="128" t="s">
        <v>39</v>
      </c>
      <c r="D112" s="128" t="s">
        <v>747</v>
      </c>
      <c r="E112" s="242" t="s">
        <v>822</v>
      </c>
      <c r="F112" s="242" t="s">
        <v>39</v>
      </c>
      <c r="G112" s="128" t="s">
        <v>39</v>
      </c>
      <c r="H112" s="128" t="s">
        <v>749</v>
      </c>
      <c r="I112" s="161"/>
      <c r="J112" s="255"/>
      <c r="K112" s="128" t="s">
        <v>3</v>
      </c>
    </row>
    <row r="113" spans="1:11" ht="15" hidden="1" customHeight="1">
      <c r="A113" s="14" t="s">
        <v>164</v>
      </c>
      <c r="B113" s="32" t="s">
        <v>746</v>
      </c>
      <c r="C113" s="128" t="s">
        <v>39</v>
      </c>
      <c r="D113" s="238" t="s">
        <v>750</v>
      </c>
      <c r="E113" s="242" t="s">
        <v>763</v>
      </c>
      <c r="F113" s="242" t="s">
        <v>844</v>
      </c>
      <c r="G113" s="128" t="s">
        <v>39</v>
      </c>
      <c r="H113" s="128" t="s">
        <v>752</v>
      </c>
      <c r="I113" s="224"/>
      <c r="J113" s="255" t="s">
        <v>791</v>
      </c>
      <c r="K113" s="128" t="s">
        <v>3</v>
      </c>
    </row>
    <row r="114" spans="1:11" ht="15" hidden="1" customHeight="1">
      <c r="A114" s="14" t="s">
        <v>167</v>
      </c>
      <c r="B114" s="32" t="s">
        <v>746</v>
      </c>
      <c r="C114" s="128" t="s">
        <v>39</v>
      </c>
      <c r="D114" s="238" t="s">
        <v>750</v>
      </c>
      <c r="E114" s="242" t="s">
        <v>845</v>
      </c>
      <c r="F114" s="252" t="s">
        <v>846</v>
      </c>
      <c r="G114" s="128" t="s">
        <v>39</v>
      </c>
      <c r="H114" s="128" t="s">
        <v>752</v>
      </c>
      <c r="I114" s="161"/>
      <c r="J114" s="255" t="s">
        <v>836</v>
      </c>
      <c r="K114" s="128" t="s">
        <v>4</v>
      </c>
    </row>
    <row r="115" spans="1:11" ht="15" hidden="1" customHeight="1">
      <c r="A115" s="14" t="s">
        <v>167</v>
      </c>
      <c r="B115" s="32" t="s">
        <v>746</v>
      </c>
      <c r="C115" s="128" t="s">
        <v>39</v>
      </c>
      <c r="D115" s="238" t="s">
        <v>750</v>
      </c>
      <c r="E115" s="242" t="s">
        <v>847</v>
      </c>
      <c r="F115" s="252" t="s">
        <v>848</v>
      </c>
      <c r="G115" s="128" t="s">
        <v>39</v>
      </c>
      <c r="H115" s="128" t="s">
        <v>752</v>
      </c>
      <c r="I115" s="161"/>
      <c r="J115" s="255" t="s">
        <v>836</v>
      </c>
      <c r="K115" s="128" t="s">
        <v>4</v>
      </c>
    </row>
    <row r="116" spans="1:11" ht="15" hidden="1" customHeight="1">
      <c r="A116" s="14" t="s">
        <v>167</v>
      </c>
      <c r="B116" s="32" t="s">
        <v>746</v>
      </c>
      <c r="C116" s="128" t="s">
        <v>39</v>
      </c>
      <c r="D116" s="238" t="s">
        <v>750</v>
      </c>
      <c r="E116" s="242" t="s">
        <v>775</v>
      </c>
      <c r="F116" s="252" t="s">
        <v>849</v>
      </c>
      <c r="G116" s="128" t="s">
        <v>39</v>
      </c>
      <c r="H116" s="128" t="s">
        <v>752</v>
      </c>
      <c r="I116" s="161"/>
      <c r="J116" s="255" t="s">
        <v>836</v>
      </c>
      <c r="K116" s="128" t="s">
        <v>4</v>
      </c>
    </row>
    <row r="117" spans="1:11" ht="15" customHeight="1">
      <c r="A117" s="14" t="s">
        <v>167</v>
      </c>
      <c r="B117" s="32" t="s">
        <v>754</v>
      </c>
      <c r="C117" s="128" t="s">
        <v>762</v>
      </c>
      <c r="D117" s="128" t="s">
        <v>756</v>
      </c>
      <c r="E117" s="242" t="s">
        <v>850</v>
      </c>
      <c r="F117" s="242" t="s">
        <v>843</v>
      </c>
      <c r="G117" s="128" t="s">
        <v>829</v>
      </c>
      <c r="H117" s="128" t="s">
        <v>749</v>
      </c>
      <c r="I117" s="161"/>
      <c r="J117" s="337" t="s">
        <v>814</v>
      </c>
      <c r="K117" s="128" t="s">
        <v>4</v>
      </c>
    </row>
    <row r="118" spans="1:11" ht="15" hidden="1" customHeight="1">
      <c r="A118" s="14" t="s">
        <v>167</v>
      </c>
      <c r="B118" s="32" t="s">
        <v>769</v>
      </c>
      <c r="C118" s="128" t="s">
        <v>39</v>
      </c>
      <c r="D118" s="128" t="s">
        <v>851</v>
      </c>
      <c r="E118" s="242" t="s">
        <v>775</v>
      </c>
      <c r="F118" s="242" t="s">
        <v>39</v>
      </c>
      <c r="G118" s="128" t="s">
        <v>39</v>
      </c>
      <c r="H118" s="128" t="s">
        <v>752</v>
      </c>
      <c r="I118" s="161"/>
      <c r="J118" s="255" t="s">
        <v>852</v>
      </c>
      <c r="K118" s="128" t="s">
        <v>4</v>
      </c>
    </row>
    <row r="119" spans="1:11" ht="15" customHeight="1">
      <c r="A119" s="347" t="s">
        <v>167</v>
      </c>
      <c r="B119" s="340" t="s">
        <v>746</v>
      </c>
      <c r="C119" s="341" t="s">
        <v>761</v>
      </c>
      <c r="D119" s="341" t="s">
        <v>756</v>
      </c>
      <c r="E119" s="350" t="s">
        <v>775</v>
      </c>
      <c r="F119" s="343" t="s">
        <v>758</v>
      </c>
      <c r="G119" s="344" t="s">
        <v>494</v>
      </c>
      <c r="H119" s="344" t="s">
        <v>752</v>
      </c>
      <c r="I119" s="351"/>
      <c r="J119" s="355" t="s">
        <v>759</v>
      </c>
      <c r="K119" s="128" t="s">
        <v>4</v>
      </c>
    </row>
    <row r="120" spans="1:11" ht="15" hidden="1" customHeight="1">
      <c r="A120" s="14" t="s">
        <v>170</v>
      </c>
      <c r="B120" s="32" t="s">
        <v>746</v>
      </c>
      <c r="C120" s="128" t="s">
        <v>39</v>
      </c>
      <c r="D120" s="238" t="s">
        <v>750</v>
      </c>
      <c r="E120" s="240" t="s">
        <v>784</v>
      </c>
      <c r="F120" s="251" t="s">
        <v>853</v>
      </c>
      <c r="G120" s="128" t="s">
        <v>39</v>
      </c>
      <c r="H120" s="128" t="s">
        <v>752</v>
      </c>
      <c r="I120" s="224"/>
      <c r="J120" s="255" t="s">
        <v>836</v>
      </c>
      <c r="K120" s="128" t="s">
        <v>3</v>
      </c>
    </row>
    <row r="121" spans="1:11" ht="15" customHeight="1">
      <c r="A121" s="347" t="s">
        <v>170</v>
      </c>
      <c r="B121" s="340" t="s">
        <v>754</v>
      </c>
      <c r="C121" s="341" t="s">
        <v>755</v>
      </c>
      <c r="D121" s="341" t="s">
        <v>756</v>
      </c>
      <c r="E121" s="350" t="s">
        <v>775</v>
      </c>
      <c r="F121" s="343" t="s">
        <v>758</v>
      </c>
      <c r="G121" s="344" t="s">
        <v>494</v>
      </c>
      <c r="H121" s="344" t="s">
        <v>752</v>
      </c>
      <c r="I121" s="348"/>
      <c r="J121" s="355" t="s">
        <v>759</v>
      </c>
      <c r="K121" s="128" t="s">
        <v>3</v>
      </c>
    </row>
    <row r="122" spans="1:11" ht="15" customHeight="1">
      <c r="A122" s="347" t="s">
        <v>170</v>
      </c>
      <c r="B122" s="340" t="s">
        <v>754</v>
      </c>
      <c r="C122" s="341" t="s">
        <v>760</v>
      </c>
      <c r="D122" s="341" t="s">
        <v>756</v>
      </c>
      <c r="E122" s="350" t="s">
        <v>775</v>
      </c>
      <c r="F122" s="343" t="s">
        <v>758</v>
      </c>
      <c r="G122" s="344" t="s">
        <v>466</v>
      </c>
      <c r="H122" s="344" t="s">
        <v>752</v>
      </c>
      <c r="I122" s="348"/>
      <c r="J122" s="355" t="s">
        <v>759</v>
      </c>
      <c r="K122" s="128" t="s">
        <v>3</v>
      </c>
    </row>
    <row r="123" spans="1:11" ht="15" customHeight="1">
      <c r="A123" s="347" t="s">
        <v>170</v>
      </c>
      <c r="B123" s="340" t="s">
        <v>746</v>
      </c>
      <c r="C123" s="341" t="s">
        <v>761</v>
      </c>
      <c r="D123" s="341" t="s">
        <v>756</v>
      </c>
      <c r="E123" s="350" t="s">
        <v>775</v>
      </c>
      <c r="F123" s="343" t="s">
        <v>758</v>
      </c>
      <c r="G123" s="344" t="s">
        <v>494</v>
      </c>
      <c r="H123" s="344" t="s">
        <v>752</v>
      </c>
      <c r="I123" s="348"/>
      <c r="J123" s="355" t="s">
        <v>759</v>
      </c>
      <c r="K123" s="128" t="s">
        <v>3</v>
      </c>
    </row>
    <row r="124" spans="1:11" ht="15" customHeight="1">
      <c r="A124" s="14" t="s">
        <v>173</v>
      </c>
      <c r="B124" s="32" t="s">
        <v>754</v>
      </c>
      <c r="C124" s="128" t="s">
        <v>828</v>
      </c>
      <c r="D124" s="128" t="s">
        <v>756</v>
      </c>
      <c r="E124" s="242" t="s">
        <v>809</v>
      </c>
      <c r="F124" s="161" t="s">
        <v>854</v>
      </c>
      <c r="G124" s="128" t="s">
        <v>855</v>
      </c>
      <c r="H124" s="128" t="s">
        <v>749</v>
      </c>
      <c r="I124" s="161"/>
      <c r="J124" s="337" t="s">
        <v>856</v>
      </c>
      <c r="K124" s="128" t="s">
        <v>4</v>
      </c>
    </row>
    <row r="125" spans="1:11" ht="15" customHeight="1">
      <c r="A125" s="14" t="s">
        <v>173</v>
      </c>
      <c r="B125" s="32" t="s">
        <v>754</v>
      </c>
      <c r="C125" s="128" t="s">
        <v>761</v>
      </c>
      <c r="D125" s="128" t="s">
        <v>804</v>
      </c>
      <c r="E125" s="242" t="s">
        <v>809</v>
      </c>
      <c r="F125" s="161" t="s">
        <v>854</v>
      </c>
      <c r="G125" s="128" t="s">
        <v>857</v>
      </c>
      <c r="H125" s="128" t="s">
        <v>749</v>
      </c>
      <c r="I125" s="161"/>
      <c r="J125" s="337" t="s">
        <v>856</v>
      </c>
      <c r="K125" s="128" t="s">
        <v>4</v>
      </c>
    </row>
    <row r="126" spans="1:11" ht="15" hidden="1" customHeight="1">
      <c r="A126" s="14" t="s">
        <v>176</v>
      </c>
      <c r="B126" s="32" t="s">
        <v>746</v>
      </c>
      <c r="C126" s="128" t="s">
        <v>39</v>
      </c>
      <c r="D126" s="238" t="s">
        <v>750</v>
      </c>
      <c r="E126" s="242" t="s">
        <v>858</v>
      </c>
      <c r="F126" s="242" t="s">
        <v>859</v>
      </c>
      <c r="G126" s="128" t="s">
        <v>39</v>
      </c>
      <c r="H126" s="128" t="s">
        <v>752</v>
      </c>
      <c r="I126" s="253"/>
      <c r="J126" s="256" t="s">
        <v>836</v>
      </c>
      <c r="K126" s="128" t="s">
        <v>3</v>
      </c>
    </row>
    <row r="127" spans="1:11" ht="15" hidden="1" customHeight="1">
      <c r="A127" s="14" t="s">
        <v>176</v>
      </c>
      <c r="B127" s="32" t="s">
        <v>746</v>
      </c>
      <c r="C127" s="128" t="s">
        <v>39</v>
      </c>
      <c r="D127" s="238" t="s">
        <v>750</v>
      </c>
      <c r="E127" s="242" t="s">
        <v>784</v>
      </c>
      <c r="F127" s="242" t="s">
        <v>860</v>
      </c>
      <c r="G127" s="128" t="s">
        <v>39</v>
      </c>
      <c r="H127" s="128" t="s">
        <v>752</v>
      </c>
      <c r="I127" s="253"/>
      <c r="J127" s="256" t="s">
        <v>836</v>
      </c>
      <c r="K127" s="128" t="s">
        <v>3</v>
      </c>
    </row>
    <row r="128" spans="1:11" ht="15" customHeight="1">
      <c r="A128" s="347" t="s">
        <v>176</v>
      </c>
      <c r="B128" s="340" t="s">
        <v>746</v>
      </c>
      <c r="C128" s="341" t="s">
        <v>755</v>
      </c>
      <c r="D128" s="341" t="s">
        <v>756</v>
      </c>
      <c r="E128" s="360" t="s">
        <v>775</v>
      </c>
      <c r="F128" s="343" t="s">
        <v>764</v>
      </c>
      <c r="G128" s="344" t="s">
        <v>494</v>
      </c>
      <c r="H128" s="344" t="s">
        <v>752</v>
      </c>
      <c r="I128" s="351"/>
      <c r="J128" s="355" t="s">
        <v>765</v>
      </c>
      <c r="K128" s="128" t="s">
        <v>3</v>
      </c>
    </row>
    <row r="129" spans="1:11" ht="15" customHeight="1">
      <c r="A129" s="347" t="s">
        <v>176</v>
      </c>
      <c r="B129" s="340" t="s">
        <v>754</v>
      </c>
      <c r="C129" s="341" t="s">
        <v>755</v>
      </c>
      <c r="D129" s="341" t="s">
        <v>756</v>
      </c>
      <c r="E129" s="360" t="s">
        <v>775</v>
      </c>
      <c r="F129" s="343" t="s">
        <v>764</v>
      </c>
      <c r="G129" s="344" t="s">
        <v>466</v>
      </c>
      <c r="H129" s="344" t="s">
        <v>752</v>
      </c>
      <c r="I129" s="351"/>
      <c r="J129" s="355" t="s">
        <v>765</v>
      </c>
      <c r="K129" s="128" t="s">
        <v>3</v>
      </c>
    </row>
    <row r="130" spans="1:11" ht="15" customHeight="1">
      <c r="A130" s="347" t="s">
        <v>176</v>
      </c>
      <c r="B130" s="340" t="s">
        <v>746</v>
      </c>
      <c r="C130" s="341" t="s">
        <v>767</v>
      </c>
      <c r="D130" s="341" t="s">
        <v>756</v>
      </c>
      <c r="E130" s="360" t="s">
        <v>775</v>
      </c>
      <c r="F130" s="343" t="s">
        <v>764</v>
      </c>
      <c r="G130" s="344" t="s">
        <v>494</v>
      </c>
      <c r="H130" s="344" t="s">
        <v>752</v>
      </c>
      <c r="I130" s="351"/>
      <c r="J130" s="355" t="s">
        <v>765</v>
      </c>
      <c r="K130" s="128" t="s">
        <v>3</v>
      </c>
    </row>
    <row r="131" spans="1:11" ht="15" customHeight="1">
      <c r="A131" s="347" t="s">
        <v>176</v>
      </c>
      <c r="B131" s="340" t="s">
        <v>754</v>
      </c>
      <c r="C131" s="341" t="s">
        <v>767</v>
      </c>
      <c r="D131" s="341" t="s">
        <v>756</v>
      </c>
      <c r="E131" s="360" t="s">
        <v>775</v>
      </c>
      <c r="F131" s="343" t="s">
        <v>764</v>
      </c>
      <c r="G131" s="344" t="s">
        <v>469</v>
      </c>
      <c r="H131" s="344" t="s">
        <v>752</v>
      </c>
      <c r="I131" s="351"/>
      <c r="J131" s="355" t="s">
        <v>765</v>
      </c>
      <c r="K131" s="128" t="s">
        <v>3</v>
      </c>
    </row>
    <row r="132" spans="1:11" ht="15" customHeight="1">
      <c r="A132" s="347" t="s">
        <v>176</v>
      </c>
      <c r="B132" s="340" t="s">
        <v>746</v>
      </c>
      <c r="C132" s="341" t="s">
        <v>767</v>
      </c>
      <c r="D132" s="341" t="s">
        <v>756</v>
      </c>
      <c r="E132" s="360" t="s">
        <v>775</v>
      </c>
      <c r="F132" s="343" t="s">
        <v>764</v>
      </c>
      <c r="G132" s="344" t="s">
        <v>466</v>
      </c>
      <c r="H132" s="344" t="s">
        <v>752</v>
      </c>
      <c r="I132" s="351"/>
      <c r="J132" s="355" t="s">
        <v>765</v>
      </c>
      <c r="K132" s="128" t="s">
        <v>3</v>
      </c>
    </row>
    <row r="133" spans="1:11" ht="15" customHeight="1">
      <c r="A133" s="347" t="s">
        <v>176</v>
      </c>
      <c r="B133" s="340" t="s">
        <v>746</v>
      </c>
      <c r="C133" s="341" t="s">
        <v>760</v>
      </c>
      <c r="D133" s="341" t="s">
        <v>756</v>
      </c>
      <c r="E133" s="360" t="s">
        <v>775</v>
      </c>
      <c r="F133" s="343" t="s">
        <v>764</v>
      </c>
      <c r="G133" s="344" t="s">
        <v>466</v>
      </c>
      <c r="H133" s="344" t="s">
        <v>752</v>
      </c>
      <c r="I133" s="351"/>
      <c r="J133" s="355" t="s">
        <v>765</v>
      </c>
      <c r="K133" s="128" t="s">
        <v>3</v>
      </c>
    </row>
    <row r="134" spans="1:11" ht="15" customHeight="1">
      <c r="A134" s="347" t="s">
        <v>176</v>
      </c>
      <c r="B134" s="340" t="s">
        <v>754</v>
      </c>
      <c r="C134" s="341" t="s">
        <v>760</v>
      </c>
      <c r="D134" s="341" t="s">
        <v>756</v>
      </c>
      <c r="E134" s="360" t="s">
        <v>775</v>
      </c>
      <c r="F134" s="343" t="s">
        <v>764</v>
      </c>
      <c r="G134" s="344" t="s">
        <v>469</v>
      </c>
      <c r="H134" s="344" t="s">
        <v>752</v>
      </c>
      <c r="I134" s="351"/>
      <c r="J134" s="355" t="s">
        <v>765</v>
      </c>
      <c r="K134" s="128" t="s">
        <v>3</v>
      </c>
    </row>
    <row r="135" spans="1:11" ht="15" customHeight="1">
      <c r="A135" s="347" t="s">
        <v>176</v>
      </c>
      <c r="B135" s="340" t="s">
        <v>746</v>
      </c>
      <c r="C135" s="345" t="s">
        <v>768</v>
      </c>
      <c r="D135" s="341" t="s">
        <v>756</v>
      </c>
      <c r="E135" s="360" t="s">
        <v>775</v>
      </c>
      <c r="F135" s="343" t="s">
        <v>764</v>
      </c>
      <c r="G135" s="344" t="s">
        <v>494</v>
      </c>
      <c r="H135" s="344" t="s">
        <v>752</v>
      </c>
      <c r="I135" s="351"/>
      <c r="J135" s="355" t="s">
        <v>765</v>
      </c>
      <c r="K135" s="128" t="s">
        <v>3</v>
      </c>
    </row>
    <row r="136" spans="1:11" ht="15" customHeight="1">
      <c r="A136" s="347" t="s">
        <v>180</v>
      </c>
      <c r="B136" s="340" t="s">
        <v>754</v>
      </c>
      <c r="C136" s="341" t="s">
        <v>755</v>
      </c>
      <c r="D136" s="341" t="s">
        <v>756</v>
      </c>
      <c r="E136" s="342" t="s">
        <v>772</v>
      </c>
      <c r="F136" s="343" t="s">
        <v>758</v>
      </c>
      <c r="G136" s="344" t="s">
        <v>494</v>
      </c>
      <c r="H136" s="344" t="s">
        <v>752</v>
      </c>
      <c r="I136" s="348"/>
      <c r="J136" s="355" t="s">
        <v>759</v>
      </c>
      <c r="K136" s="128" t="s">
        <v>4</v>
      </c>
    </row>
    <row r="137" spans="1:11" ht="15" customHeight="1">
      <c r="A137" s="347" t="s">
        <v>180</v>
      </c>
      <c r="B137" s="340" t="s">
        <v>754</v>
      </c>
      <c r="C137" s="341" t="s">
        <v>760</v>
      </c>
      <c r="D137" s="341" t="s">
        <v>756</v>
      </c>
      <c r="E137" s="342" t="s">
        <v>772</v>
      </c>
      <c r="F137" s="343" t="s">
        <v>758</v>
      </c>
      <c r="G137" s="344" t="s">
        <v>466</v>
      </c>
      <c r="H137" s="344" t="s">
        <v>752</v>
      </c>
      <c r="I137" s="349"/>
      <c r="J137" s="355" t="s">
        <v>759</v>
      </c>
      <c r="K137" s="128" t="s">
        <v>4</v>
      </c>
    </row>
    <row r="138" spans="1:11" ht="15" customHeight="1">
      <c r="A138" s="347" t="s">
        <v>180</v>
      </c>
      <c r="B138" s="340" t="s">
        <v>746</v>
      </c>
      <c r="C138" s="341" t="s">
        <v>761</v>
      </c>
      <c r="D138" s="341" t="s">
        <v>756</v>
      </c>
      <c r="E138" s="342" t="s">
        <v>772</v>
      </c>
      <c r="F138" s="343" t="s">
        <v>758</v>
      </c>
      <c r="G138" s="344" t="s">
        <v>494</v>
      </c>
      <c r="H138" s="344" t="s">
        <v>752</v>
      </c>
      <c r="I138" s="348"/>
      <c r="J138" s="355" t="s">
        <v>759</v>
      </c>
      <c r="K138" s="128" t="s">
        <v>4</v>
      </c>
    </row>
    <row r="139" spans="1:11" ht="15" customHeight="1">
      <c r="A139" s="347" t="s">
        <v>180</v>
      </c>
      <c r="B139" s="352" t="s">
        <v>746</v>
      </c>
      <c r="C139" s="353" t="s">
        <v>755</v>
      </c>
      <c r="D139" s="353" t="s">
        <v>756</v>
      </c>
      <c r="E139" s="350" t="s">
        <v>809</v>
      </c>
      <c r="F139" s="350" t="s">
        <v>826</v>
      </c>
      <c r="G139" s="353" t="s">
        <v>494</v>
      </c>
      <c r="H139" s="353" t="s">
        <v>752</v>
      </c>
      <c r="I139" s="348"/>
      <c r="J139" s="355" t="s">
        <v>827</v>
      </c>
      <c r="K139" s="353" t="s">
        <v>4</v>
      </c>
    </row>
    <row r="140" spans="1:11" ht="15" customHeight="1">
      <c r="A140" s="347" t="s">
        <v>180</v>
      </c>
      <c r="B140" s="352" t="s">
        <v>769</v>
      </c>
      <c r="C140" s="353" t="s">
        <v>828</v>
      </c>
      <c r="D140" s="353" t="s">
        <v>804</v>
      </c>
      <c r="E140" s="350" t="s">
        <v>809</v>
      </c>
      <c r="F140" s="350" t="s">
        <v>826</v>
      </c>
      <c r="G140" s="353" t="s">
        <v>829</v>
      </c>
      <c r="H140" s="353" t="s">
        <v>752</v>
      </c>
      <c r="I140" s="348"/>
      <c r="J140" s="355" t="s">
        <v>827</v>
      </c>
      <c r="K140" s="353" t="s">
        <v>4</v>
      </c>
    </row>
    <row r="141" spans="1:11" ht="15" hidden="1" customHeight="1">
      <c r="A141" s="14" t="s">
        <v>180</v>
      </c>
      <c r="B141" s="32" t="s">
        <v>746</v>
      </c>
      <c r="C141" s="128" t="s">
        <v>39</v>
      </c>
      <c r="D141" s="238" t="s">
        <v>750</v>
      </c>
      <c r="E141" s="242" t="s">
        <v>784</v>
      </c>
      <c r="F141" s="242" t="s">
        <v>861</v>
      </c>
      <c r="G141" s="128" t="s">
        <v>39</v>
      </c>
      <c r="H141" s="128" t="s">
        <v>752</v>
      </c>
      <c r="I141" s="224"/>
      <c r="J141" s="255" t="s">
        <v>791</v>
      </c>
      <c r="K141" s="128" t="s">
        <v>4</v>
      </c>
    </row>
    <row r="142" spans="1:11" ht="15" customHeight="1">
      <c r="A142" s="347" t="s">
        <v>183</v>
      </c>
      <c r="B142" s="340" t="s">
        <v>754</v>
      </c>
      <c r="C142" s="341" t="s">
        <v>755</v>
      </c>
      <c r="D142" s="341" t="s">
        <v>756</v>
      </c>
      <c r="E142" s="342" t="s">
        <v>757</v>
      </c>
      <c r="F142" s="343" t="s">
        <v>758</v>
      </c>
      <c r="G142" s="344" t="s">
        <v>494</v>
      </c>
      <c r="H142" s="344" t="s">
        <v>752</v>
      </c>
      <c r="I142" s="348"/>
      <c r="J142" s="355" t="s">
        <v>759</v>
      </c>
      <c r="K142" s="128" t="s">
        <v>4</v>
      </c>
    </row>
    <row r="143" spans="1:11" ht="15" customHeight="1">
      <c r="A143" s="347" t="s">
        <v>183</v>
      </c>
      <c r="B143" s="340" t="s">
        <v>754</v>
      </c>
      <c r="C143" s="341" t="s">
        <v>760</v>
      </c>
      <c r="D143" s="341" t="s">
        <v>756</v>
      </c>
      <c r="E143" s="342" t="s">
        <v>757</v>
      </c>
      <c r="F143" s="343" t="s">
        <v>758</v>
      </c>
      <c r="G143" s="344" t="s">
        <v>466</v>
      </c>
      <c r="H143" s="344" t="s">
        <v>752</v>
      </c>
      <c r="I143" s="349"/>
      <c r="J143" s="355" t="s">
        <v>759</v>
      </c>
      <c r="K143" s="128" t="s">
        <v>4</v>
      </c>
    </row>
    <row r="144" spans="1:11" ht="15" customHeight="1">
      <c r="A144" s="347" t="s">
        <v>183</v>
      </c>
      <c r="B144" s="340" t="s">
        <v>746</v>
      </c>
      <c r="C144" s="341" t="s">
        <v>761</v>
      </c>
      <c r="D144" s="341" t="s">
        <v>756</v>
      </c>
      <c r="E144" s="342" t="s">
        <v>757</v>
      </c>
      <c r="F144" s="343" t="s">
        <v>758</v>
      </c>
      <c r="G144" s="344" t="s">
        <v>494</v>
      </c>
      <c r="H144" s="344" t="s">
        <v>752</v>
      </c>
      <c r="I144" s="348"/>
      <c r="J144" s="355" t="s">
        <v>759</v>
      </c>
      <c r="K144" s="128" t="s">
        <v>4</v>
      </c>
    </row>
    <row r="145" spans="1:11" ht="15" customHeight="1">
      <c r="A145" s="347" t="s">
        <v>183</v>
      </c>
      <c r="B145" s="352" t="s">
        <v>746</v>
      </c>
      <c r="C145" s="353" t="s">
        <v>755</v>
      </c>
      <c r="D145" s="353" t="s">
        <v>756</v>
      </c>
      <c r="E145" s="350" t="s">
        <v>809</v>
      </c>
      <c r="F145" s="350" t="s">
        <v>826</v>
      </c>
      <c r="G145" s="353" t="s">
        <v>494</v>
      </c>
      <c r="H145" s="353" t="s">
        <v>752</v>
      </c>
      <c r="I145" s="348"/>
      <c r="J145" s="355" t="s">
        <v>827</v>
      </c>
      <c r="K145" s="353" t="s">
        <v>4</v>
      </c>
    </row>
    <row r="146" spans="1:11" ht="15" customHeight="1">
      <c r="A146" s="347" t="s">
        <v>183</v>
      </c>
      <c r="B146" s="352" t="s">
        <v>769</v>
      </c>
      <c r="C146" s="353" t="s">
        <v>828</v>
      </c>
      <c r="D146" s="353" t="s">
        <v>804</v>
      </c>
      <c r="E146" s="350" t="s">
        <v>809</v>
      </c>
      <c r="F146" s="350" t="s">
        <v>826</v>
      </c>
      <c r="G146" s="353" t="s">
        <v>829</v>
      </c>
      <c r="H146" s="353" t="s">
        <v>752</v>
      </c>
      <c r="I146" s="348"/>
      <c r="J146" s="355" t="s">
        <v>827</v>
      </c>
      <c r="K146" s="353" t="s">
        <v>4</v>
      </c>
    </row>
    <row r="147" spans="1:11" ht="15" hidden="1" customHeight="1">
      <c r="A147" s="14" t="s">
        <v>183</v>
      </c>
      <c r="B147" s="32" t="s">
        <v>746</v>
      </c>
      <c r="C147" s="128" t="s">
        <v>39</v>
      </c>
      <c r="D147" s="238" t="s">
        <v>750</v>
      </c>
      <c r="E147" s="242" t="s">
        <v>862</v>
      </c>
      <c r="F147" s="242" t="s">
        <v>863</v>
      </c>
      <c r="G147" s="128" t="s">
        <v>39</v>
      </c>
      <c r="H147" s="128" t="s">
        <v>752</v>
      </c>
      <c r="I147" s="224"/>
      <c r="J147" s="255" t="s">
        <v>791</v>
      </c>
      <c r="K147" s="128" t="s">
        <v>4</v>
      </c>
    </row>
    <row r="148" spans="1:11" ht="15" hidden="1" customHeight="1">
      <c r="A148" s="14" t="s">
        <v>187</v>
      </c>
      <c r="B148" s="32" t="s">
        <v>746</v>
      </c>
      <c r="C148" s="128" t="s">
        <v>39</v>
      </c>
      <c r="D148" s="238" t="s">
        <v>750</v>
      </c>
      <c r="E148" s="242" t="s">
        <v>837</v>
      </c>
      <c r="F148" s="242" t="s">
        <v>864</v>
      </c>
      <c r="G148" s="128" t="s">
        <v>39</v>
      </c>
      <c r="H148" s="128" t="s">
        <v>752</v>
      </c>
      <c r="I148" s="161"/>
      <c r="J148" s="255" t="s">
        <v>839</v>
      </c>
      <c r="K148" s="128" t="s">
        <v>4</v>
      </c>
    </row>
    <row r="149" spans="1:11" ht="15" hidden="1" customHeight="1">
      <c r="A149" s="12" t="s">
        <v>547</v>
      </c>
      <c r="B149" s="57" t="s">
        <v>746</v>
      </c>
      <c r="C149" s="235" t="s">
        <v>39</v>
      </c>
      <c r="D149" s="235" t="s">
        <v>750</v>
      </c>
      <c r="E149" s="309" t="s">
        <v>865</v>
      </c>
      <c r="F149" s="310" t="s">
        <v>866</v>
      </c>
      <c r="G149" s="235" t="s">
        <v>39</v>
      </c>
      <c r="H149" s="235" t="s">
        <v>752</v>
      </c>
      <c r="I149" s="236"/>
      <c r="J149" s="372" t="s">
        <v>867</v>
      </c>
      <c r="K149" s="235" t="s">
        <v>868</v>
      </c>
    </row>
    <row r="150" spans="1:11" ht="15" customHeight="1">
      <c r="A150" s="347" t="s">
        <v>547</v>
      </c>
      <c r="B150" s="352" t="s">
        <v>746</v>
      </c>
      <c r="C150" s="353" t="s">
        <v>761</v>
      </c>
      <c r="D150" s="353" t="s">
        <v>756</v>
      </c>
      <c r="E150" s="350" t="s">
        <v>763</v>
      </c>
      <c r="F150" s="356" t="s">
        <v>866</v>
      </c>
      <c r="G150" s="353" t="s">
        <v>494</v>
      </c>
      <c r="H150" s="353" t="s">
        <v>752</v>
      </c>
      <c r="I150" s="351"/>
      <c r="J150" s="357" t="s">
        <v>869</v>
      </c>
      <c r="K150" s="353" t="s">
        <v>3</v>
      </c>
    </row>
    <row r="151" spans="1:11" s="354" customFormat="1" ht="15" hidden="1" customHeight="1">
      <c r="A151" s="347" t="s">
        <v>214</v>
      </c>
      <c r="B151" s="352" t="s">
        <v>769</v>
      </c>
      <c r="C151" s="353" t="s">
        <v>39</v>
      </c>
      <c r="D151" s="353" t="s">
        <v>870</v>
      </c>
      <c r="E151" s="350" t="s">
        <v>775</v>
      </c>
      <c r="F151" s="350" t="s">
        <v>871</v>
      </c>
      <c r="G151" s="353" t="s">
        <v>39</v>
      </c>
      <c r="H151" s="353" t="s">
        <v>752</v>
      </c>
      <c r="I151" s="351"/>
      <c r="J151" s="351" t="s">
        <v>872</v>
      </c>
      <c r="K151" s="353" t="s">
        <v>4</v>
      </c>
    </row>
    <row r="152" spans="1:11" ht="15" customHeight="1">
      <c r="A152" s="347" t="s">
        <v>214</v>
      </c>
      <c r="B152" s="352" t="s">
        <v>769</v>
      </c>
      <c r="C152" s="353" t="s">
        <v>828</v>
      </c>
      <c r="D152" s="353" t="s">
        <v>804</v>
      </c>
      <c r="E152" s="350" t="s">
        <v>873</v>
      </c>
      <c r="F152" s="351" t="s">
        <v>874</v>
      </c>
      <c r="G152" s="353" t="s">
        <v>39</v>
      </c>
      <c r="H152" s="353" t="s">
        <v>752</v>
      </c>
      <c r="I152" s="351"/>
      <c r="J152" s="358" t="s">
        <v>875</v>
      </c>
      <c r="K152" s="353" t="s">
        <v>4</v>
      </c>
    </row>
    <row r="153" spans="1:11" ht="15" hidden="1" customHeight="1">
      <c r="A153" s="14" t="s">
        <v>541</v>
      </c>
      <c r="B153" s="32" t="s">
        <v>746</v>
      </c>
      <c r="C153" s="128" t="s">
        <v>39</v>
      </c>
      <c r="D153" s="128" t="s">
        <v>750</v>
      </c>
      <c r="E153" s="242" t="s">
        <v>876</v>
      </c>
      <c r="F153" s="242" t="s">
        <v>877</v>
      </c>
      <c r="G153" s="128" t="s">
        <v>39</v>
      </c>
      <c r="H153" s="128" t="s">
        <v>752</v>
      </c>
      <c r="I153" s="161"/>
      <c r="J153" s="161" t="s">
        <v>878</v>
      </c>
      <c r="K153" s="128" t="s">
        <v>4</v>
      </c>
    </row>
    <row r="154" spans="1:11" ht="15" customHeight="1">
      <c r="A154" s="347" t="s">
        <v>541</v>
      </c>
      <c r="B154" s="352" t="s">
        <v>746</v>
      </c>
      <c r="C154" s="353" t="s">
        <v>828</v>
      </c>
      <c r="D154" s="353" t="s">
        <v>804</v>
      </c>
      <c r="E154" s="350" t="s">
        <v>876</v>
      </c>
      <c r="F154" s="350" t="s">
        <v>877</v>
      </c>
      <c r="G154" s="353" t="s">
        <v>39</v>
      </c>
      <c r="H154" s="353" t="s">
        <v>752</v>
      </c>
      <c r="I154" s="351"/>
      <c r="J154" s="358" t="s">
        <v>879</v>
      </c>
      <c r="K154" s="353" t="s">
        <v>4</v>
      </c>
    </row>
    <row r="155" spans="1:11" ht="15" customHeight="1">
      <c r="A155" s="347" t="s">
        <v>541</v>
      </c>
      <c r="B155" s="352" t="s">
        <v>746</v>
      </c>
      <c r="C155" s="353" t="s">
        <v>828</v>
      </c>
      <c r="D155" s="353" t="s">
        <v>804</v>
      </c>
      <c r="E155" s="350" t="s">
        <v>784</v>
      </c>
      <c r="F155" s="357" t="s">
        <v>880</v>
      </c>
      <c r="G155" s="353" t="s">
        <v>39</v>
      </c>
      <c r="H155" s="353" t="s">
        <v>752</v>
      </c>
      <c r="I155" s="351"/>
      <c r="J155" s="358" t="s">
        <v>881</v>
      </c>
      <c r="K155" s="353" t="s">
        <v>4</v>
      </c>
    </row>
    <row r="156" spans="1:11" ht="15" customHeight="1">
      <c r="A156" s="347" t="s">
        <v>541</v>
      </c>
      <c r="B156" s="352" t="s">
        <v>746</v>
      </c>
      <c r="C156" s="353" t="s">
        <v>761</v>
      </c>
      <c r="D156" s="353" t="s">
        <v>756</v>
      </c>
      <c r="E156" s="350" t="s">
        <v>805</v>
      </c>
      <c r="F156" s="350" t="s">
        <v>764</v>
      </c>
      <c r="G156" s="353" t="s">
        <v>494</v>
      </c>
      <c r="H156" s="353" t="s">
        <v>752</v>
      </c>
      <c r="I156" s="351"/>
      <c r="J156" s="355" t="s">
        <v>765</v>
      </c>
      <c r="K156" s="353" t="s">
        <v>4</v>
      </c>
    </row>
    <row r="157" spans="1:11" ht="15" customHeight="1">
      <c r="A157" s="15"/>
      <c r="B157" s="40"/>
      <c r="E157" s="243"/>
      <c r="F157" s="243"/>
    </row>
    <row r="158" spans="1:11" ht="15" customHeight="1">
      <c r="A158" s="15"/>
      <c r="B158" s="40"/>
      <c r="E158" s="243"/>
      <c r="F158" s="243"/>
    </row>
    <row r="159" spans="1:11" ht="15" customHeight="1">
      <c r="A159" s="15"/>
      <c r="B159" s="40"/>
      <c r="E159" s="243"/>
      <c r="F159" s="243"/>
    </row>
    <row r="160" spans="1:11" ht="15" customHeight="1">
      <c r="A160" s="15"/>
      <c r="B160" s="40"/>
      <c r="E160" s="243"/>
      <c r="F160" s="243"/>
    </row>
    <row r="161" spans="1:6" ht="15" customHeight="1">
      <c r="A161" s="15"/>
      <c r="B161" s="40"/>
      <c r="E161" s="243"/>
      <c r="F161" s="243"/>
    </row>
    <row r="162" spans="1:6" ht="15" customHeight="1">
      <c r="A162" s="15"/>
      <c r="B162" s="40"/>
      <c r="E162" s="243"/>
      <c r="F162" s="243"/>
    </row>
    <row r="163" spans="1:6" ht="15" customHeight="1">
      <c r="A163" s="15"/>
      <c r="B163" s="40"/>
      <c r="E163" s="243"/>
      <c r="F163" s="243"/>
    </row>
    <row r="164" spans="1:6" ht="15" customHeight="1">
      <c r="A164" s="15"/>
      <c r="B164" s="40"/>
      <c r="E164" s="243"/>
      <c r="F164" s="243"/>
    </row>
    <row r="165" spans="1:6" ht="15" customHeight="1">
      <c r="A165" s="15"/>
      <c r="B165" s="40"/>
      <c r="E165" s="243"/>
      <c r="F165" s="243"/>
    </row>
    <row r="166" spans="1:6" ht="15" customHeight="1">
      <c r="A166" s="15"/>
      <c r="B166" s="40"/>
      <c r="E166" s="243"/>
      <c r="F166" s="243"/>
    </row>
    <row r="167" spans="1:6" ht="15" customHeight="1">
      <c r="A167" s="15"/>
      <c r="B167" s="40"/>
      <c r="E167" s="243"/>
      <c r="F167" s="243"/>
    </row>
    <row r="168" spans="1:6" ht="15" customHeight="1">
      <c r="A168" s="15"/>
      <c r="B168" s="40"/>
      <c r="E168" s="243"/>
      <c r="F168" s="243"/>
    </row>
    <row r="169" spans="1:6" ht="15" customHeight="1">
      <c r="A169" s="15"/>
      <c r="B169" s="40"/>
      <c r="E169" s="243"/>
      <c r="F169" s="243"/>
    </row>
    <row r="170" spans="1:6" ht="15" customHeight="1">
      <c r="A170" s="15"/>
      <c r="B170" s="40"/>
      <c r="E170" s="243"/>
      <c r="F170" s="243"/>
    </row>
    <row r="171" spans="1:6" ht="15" customHeight="1">
      <c r="A171" s="15"/>
      <c r="B171" s="40"/>
      <c r="E171" s="243"/>
      <c r="F171" s="243"/>
    </row>
    <row r="172" spans="1:6" ht="15" customHeight="1">
      <c r="A172" s="15"/>
      <c r="B172" s="40"/>
      <c r="E172" s="243"/>
      <c r="F172" s="243"/>
    </row>
    <row r="173" spans="1:6" ht="15" customHeight="1">
      <c r="A173" s="15"/>
      <c r="B173" s="40"/>
      <c r="E173" s="243"/>
      <c r="F173" s="243"/>
    </row>
    <row r="174" spans="1:6" ht="15" customHeight="1">
      <c r="A174" s="15"/>
      <c r="B174" s="40"/>
      <c r="E174" s="243"/>
      <c r="F174" s="243"/>
    </row>
    <row r="175" spans="1:6" ht="15" customHeight="1">
      <c r="A175" s="15"/>
      <c r="B175" s="40"/>
      <c r="E175" s="243"/>
      <c r="F175" s="243"/>
    </row>
    <row r="176" spans="1:6" ht="15" customHeight="1">
      <c r="A176" s="15"/>
      <c r="B176" s="40"/>
      <c r="E176" s="243"/>
      <c r="F176" s="243"/>
    </row>
    <row r="177" spans="1:6" ht="15" customHeight="1">
      <c r="A177" s="15"/>
      <c r="B177" s="40"/>
      <c r="E177" s="243"/>
      <c r="F177" s="243"/>
    </row>
    <row r="178" spans="1:6" ht="15" customHeight="1">
      <c r="A178" s="15"/>
      <c r="B178" s="40"/>
      <c r="E178" s="243"/>
      <c r="F178" s="243"/>
    </row>
    <row r="179" spans="1:6" ht="15" customHeight="1">
      <c r="A179" s="15"/>
      <c r="B179" s="40"/>
      <c r="E179" s="243"/>
      <c r="F179" s="243"/>
    </row>
    <row r="180" spans="1:6" ht="15" customHeight="1">
      <c r="A180" s="15"/>
      <c r="B180" s="40"/>
      <c r="E180" s="243"/>
      <c r="F180" s="243"/>
    </row>
    <row r="181" spans="1:6" ht="15" customHeight="1">
      <c r="A181" s="15"/>
      <c r="B181" s="40"/>
      <c r="E181" s="243"/>
      <c r="F181" s="243"/>
    </row>
    <row r="182" spans="1:6" ht="15" customHeight="1">
      <c r="A182" s="15"/>
      <c r="B182" s="40"/>
      <c r="E182" s="243"/>
      <c r="F182" s="243"/>
    </row>
    <row r="183" spans="1:6" ht="15" customHeight="1">
      <c r="A183" s="15"/>
      <c r="B183" s="40"/>
      <c r="E183" s="243"/>
      <c r="F183" s="243"/>
    </row>
  </sheetData>
  <autoFilter ref="A1:K156" xr:uid="{D273D588-B9CA-4BFF-92BC-5EC5E4A61468}">
    <filterColumn colId="3">
      <filters>
        <filter val="Overlap"/>
        <filter val="Truncated Content"/>
      </filters>
    </filterColumn>
  </autoFilter>
  <pageMargins left="0.7" right="0.7" top="0.75" bottom="0.75" header="0.3" footer="0.3"/>
  <headerFooter>
    <oddFooter>&amp;C_x000D_&amp;1#&amp;"Aptos"&amp;12&amp;K000000 SBI Card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E19E-AA0C-4939-92DC-7195B1FB597B}">
  <dimension ref="A1:F35"/>
  <sheetViews>
    <sheetView workbookViewId="0">
      <pane ySplit="1" topLeftCell="A2" activePane="bottomLeft" state="frozen"/>
      <selection pane="bottomLeft" activeCell="B1" sqref="B1:F1"/>
    </sheetView>
  </sheetViews>
  <sheetFormatPr defaultRowHeight="15"/>
  <cols>
    <col min="1" max="1" width="31.42578125" style="163" customWidth="1"/>
    <col min="2" max="2" width="36.28515625" style="129" customWidth="1"/>
    <col min="3" max="3" width="32.7109375" style="129" customWidth="1"/>
    <col min="4" max="4" width="35.42578125" style="129" customWidth="1"/>
    <col min="5" max="5" width="35.28515625" style="129" customWidth="1"/>
    <col min="6" max="6" width="39.7109375" style="129" customWidth="1"/>
  </cols>
  <sheetData>
    <row r="1" spans="1:6" ht="45.75" customHeight="1">
      <c r="A1" s="10" t="s">
        <v>192</v>
      </c>
      <c r="B1" s="425" t="s">
        <v>882</v>
      </c>
      <c r="C1" s="425" t="s">
        <v>883</v>
      </c>
      <c r="D1" s="425" t="s">
        <v>884</v>
      </c>
      <c r="E1" s="427" t="s">
        <v>885</v>
      </c>
      <c r="F1" s="425" t="s">
        <v>886</v>
      </c>
    </row>
    <row r="2" spans="1:6">
      <c r="A2" s="161" t="s">
        <v>79</v>
      </c>
      <c r="B2" s="128" t="s">
        <v>54</v>
      </c>
      <c r="C2" s="128" t="s">
        <v>54</v>
      </c>
      <c r="D2" s="128"/>
      <c r="E2" s="160"/>
      <c r="F2" s="128" t="s">
        <v>54</v>
      </c>
    </row>
    <row r="3" spans="1:6">
      <c r="A3" s="161" t="s">
        <v>74</v>
      </c>
      <c r="B3" s="128"/>
      <c r="C3" s="128" t="s">
        <v>54</v>
      </c>
      <c r="D3" s="128"/>
      <c r="E3" s="160"/>
      <c r="F3" s="128" t="s">
        <v>54</v>
      </c>
    </row>
    <row r="4" spans="1:6">
      <c r="A4" s="161" t="s">
        <v>123</v>
      </c>
      <c r="B4" s="128" t="s">
        <v>54</v>
      </c>
      <c r="C4" s="128" t="s">
        <v>54</v>
      </c>
      <c r="D4" s="128"/>
      <c r="E4" s="160"/>
      <c r="F4" s="128" t="s">
        <v>54</v>
      </c>
    </row>
    <row r="5" spans="1:6">
      <c r="A5" s="161" t="s">
        <v>82</v>
      </c>
      <c r="B5" s="128" t="s">
        <v>54</v>
      </c>
      <c r="C5" s="128" t="s">
        <v>54</v>
      </c>
      <c r="D5" s="128"/>
      <c r="E5" s="160"/>
      <c r="F5" s="128" t="s">
        <v>54</v>
      </c>
    </row>
    <row r="6" spans="1:6">
      <c r="A6" s="161" t="s">
        <v>106</v>
      </c>
      <c r="B6" s="128" t="s">
        <v>54</v>
      </c>
      <c r="C6" s="128"/>
      <c r="D6" s="128"/>
      <c r="E6" s="160"/>
      <c r="F6" s="128" t="s">
        <v>54</v>
      </c>
    </row>
    <row r="7" spans="1:6">
      <c r="A7" s="161" t="s">
        <v>120</v>
      </c>
      <c r="B7" s="128" t="s">
        <v>54</v>
      </c>
      <c r="C7" s="128"/>
      <c r="D7" s="128"/>
      <c r="E7" s="160"/>
      <c r="F7" s="128" t="s">
        <v>54</v>
      </c>
    </row>
    <row r="8" spans="1:6">
      <c r="A8" s="161" t="s">
        <v>126</v>
      </c>
      <c r="B8" s="128" t="s">
        <v>54</v>
      </c>
      <c r="C8" s="128" t="s">
        <v>54</v>
      </c>
      <c r="D8" s="128"/>
      <c r="E8" s="160"/>
      <c r="F8" s="128" t="s">
        <v>54</v>
      </c>
    </row>
    <row r="9" spans="1:6">
      <c r="A9" s="161" t="s">
        <v>100</v>
      </c>
      <c r="B9" s="128" t="s">
        <v>54</v>
      </c>
      <c r="C9" s="128" t="s">
        <v>54</v>
      </c>
      <c r="D9" s="128"/>
      <c r="E9" s="160" t="s">
        <v>54</v>
      </c>
      <c r="F9" s="128" t="s">
        <v>54</v>
      </c>
    </row>
    <row r="10" spans="1:6">
      <c r="A10" s="161" t="s">
        <v>110</v>
      </c>
      <c r="B10" s="128" t="s">
        <v>54</v>
      </c>
      <c r="C10" s="128" t="s">
        <v>54</v>
      </c>
      <c r="D10" s="128"/>
      <c r="E10" s="160" t="s">
        <v>54</v>
      </c>
      <c r="F10" s="128" t="s">
        <v>54</v>
      </c>
    </row>
    <row r="11" spans="1:6">
      <c r="A11" s="161" t="s">
        <v>85</v>
      </c>
      <c r="B11" s="128" t="s">
        <v>54</v>
      </c>
      <c r="C11" s="128" t="s">
        <v>54</v>
      </c>
      <c r="D11" s="128"/>
      <c r="E11" s="160" t="s">
        <v>54</v>
      </c>
      <c r="F11" s="128" t="s">
        <v>54</v>
      </c>
    </row>
    <row r="12" spans="1:6">
      <c r="A12" s="161" t="s">
        <v>132</v>
      </c>
      <c r="B12" s="128"/>
      <c r="C12" s="128" t="s">
        <v>54</v>
      </c>
      <c r="D12" s="128" t="s">
        <v>54</v>
      </c>
      <c r="E12" s="160"/>
      <c r="F12" s="128" t="s">
        <v>54</v>
      </c>
    </row>
    <row r="13" spans="1:6">
      <c r="A13" s="161" t="s">
        <v>129</v>
      </c>
      <c r="B13" s="128"/>
      <c r="C13" s="128" t="s">
        <v>54</v>
      </c>
      <c r="D13" s="128" t="s">
        <v>54</v>
      </c>
      <c r="E13" s="160"/>
      <c r="F13" s="128" t="s">
        <v>54</v>
      </c>
    </row>
    <row r="14" spans="1:6">
      <c r="A14" s="161" t="s">
        <v>164</v>
      </c>
      <c r="B14" s="128"/>
      <c r="C14" s="128"/>
      <c r="D14" s="128" t="s">
        <v>54</v>
      </c>
      <c r="E14" s="160"/>
      <c r="F14" s="128" t="s">
        <v>54</v>
      </c>
    </row>
    <row r="15" spans="1:6">
      <c r="A15" s="161" t="s">
        <v>158</v>
      </c>
      <c r="B15" s="128"/>
      <c r="C15" s="128"/>
      <c r="D15" s="128" t="s">
        <v>54</v>
      </c>
      <c r="E15" s="160"/>
      <c r="F15" s="128" t="s">
        <v>54</v>
      </c>
    </row>
    <row r="16" spans="1:6">
      <c r="A16" s="161" t="s">
        <v>97</v>
      </c>
      <c r="B16" s="128" t="s">
        <v>54</v>
      </c>
      <c r="C16" s="128" t="s">
        <v>54</v>
      </c>
      <c r="D16" s="128"/>
      <c r="E16" s="160"/>
      <c r="F16" s="128" t="s">
        <v>54</v>
      </c>
    </row>
    <row r="17" spans="1:6">
      <c r="A17" s="161" t="s">
        <v>887</v>
      </c>
      <c r="B17" s="128"/>
      <c r="C17" s="128" t="s">
        <v>54</v>
      </c>
      <c r="D17" s="128"/>
      <c r="E17" s="160" t="s">
        <v>54</v>
      </c>
      <c r="F17" s="128" t="s">
        <v>54</v>
      </c>
    </row>
    <row r="18" spans="1:6">
      <c r="A18" s="161" t="s">
        <v>888</v>
      </c>
      <c r="B18" s="128" t="s">
        <v>54</v>
      </c>
      <c r="C18" s="128" t="s">
        <v>54</v>
      </c>
      <c r="D18" s="128"/>
      <c r="E18" s="160"/>
      <c r="F18" s="128" t="s">
        <v>54</v>
      </c>
    </row>
    <row r="19" spans="1:6">
      <c r="A19" s="161" t="s">
        <v>509</v>
      </c>
      <c r="B19" s="128" t="s">
        <v>54</v>
      </c>
      <c r="C19" s="128" t="s">
        <v>54</v>
      </c>
      <c r="D19" s="128"/>
      <c r="E19" s="160"/>
      <c r="F19" s="128" t="s">
        <v>54</v>
      </c>
    </row>
    <row r="20" spans="1:6">
      <c r="A20" s="161" t="s">
        <v>151</v>
      </c>
      <c r="B20" s="128" t="s">
        <v>54</v>
      </c>
      <c r="C20" s="128" t="s">
        <v>54</v>
      </c>
      <c r="D20" s="128"/>
      <c r="E20" s="160"/>
      <c r="F20" s="128" t="s">
        <v>54</v>
      </c>
    </row>
    <row r="21" spans="1:6">
      <c r="A21" s="161" t="s">
        <v>148</v>
      </c>
      <c r="B21" s="128" t="s">
        <v>54</v>
      </c>
      <c r="C21" s="128"/>
      <c r="D21" s="128" t="s">
        <v>54</v>
      </c>
      <c r="E21" s="160"/>
      <c r="F21" s="128" t="s">
        <v>54</v>
      </c>
    </row>
    <row r="22" spans="1:6">
      <c r="A22" s="161" t="s">
        <v>170</v>
      </c>
      <c r="B22" s="128"/>
      <c r="C22" s="128"/>
      <c r="D22" s="128" t="s">
        <v>54</v>
      </c>
      <c r="E22" s="160"/>
      <c r="F22" s="128" t="s">
        <v>54</v>
      </c>
    </row>
    <row r="23" spans="1:6">
      <c r="A23" s="161" t="s">
        <v>161</v>
      </c>
      <c r="B23" s="128" t="s">
        <v>54</v>
      </c>
      <c r="C23" s="128" t="s">
        <v>54</v>
      </c>
      <c r="D23" s="128"/>
      <c r="E23" s="160"/>
      <c r="F23" s="128" t="s">
        <v>54</v>
      </c>
    </row>
    <row r="24" spans="1:6">
      <c r="A24" s="161" t="s">
        <v>167</v>
      </c>
      <c r="B24" s="128"/>
      <c r="C24" s="128" t="s">
        <v>54</v>
      </c>
      <c r="D24" s="128"/>
      <c r="E24" s="160"/>
      <c r="F24" s="128" t="s">
        <v>54</v>
      </c>
    </row>
    <row r="25" spans="1:6">
      <c r="A25" s="161" t="s">
        <v>180</v>
      </c>
      <c r="B25" s="128" t="s">
        <v>54</v>
      </c>
      <c r="C25" s="128"/>
      <c r="D25" s="128"/>
      <c r="E25" s="160"/>
      <c r="F25" s="128" t="s">
        <v>54</v>
      </c>
    </row>
    <row r="26" spans="1:6">
      <c r="A26" s="161" t="s">
        <v>154</v>
      </c>
      <c r="B26" s="128" t="s">
        <v>54</v>
      </c>
      <c r="C26" s="128" t="s">
        <v>54</v>
      </c>
      <c r="D26" s="128"/>
      <c r="E26" s="160"/>
      <c r="F26" s="128" t="s">
        <v>54</v>
      </c>
    </row>
    <row r="27" spans="1:6">
      <c r="A27" s="161" t="s">
        <v>183</v>
      </c>
      <c r="B27" s="128"/>
      <c r="C27" s="128" t="s">
        <v>54</v>
      </c>
      <c r="D27" s="128"/>
      <c r="E27" s="160"/>
      <c r="F27" s="128" t="s">
        <v>54</v>
      </c>
    </row>
    <row r="28" spans="1:6">
      <c r="A28" s="161" t="s">
        <v>176</v>
      </c>
      <c r="B28" s="128" t="s">
        <v>54</v>
      </c>
      <c r="C28" s="128"/>
      <c r="D28" s="128"/>
      <c r="E28" s="160"/>
      <c r="F28" s="128" t="s">
        <v>54</v>
      </c>
    </row>
    <row r="29" spans="1:6">
      <c r="A29" s="161" t="s">
        <v>70</v>
      </c>
      <c r="B29" s="128" t="s">
        <v>54</v>
      </c>
      <c r="C29" s="128"/>
      <c r="D29" s="128" t="s">
        <v>54</v>
      </c>
      <c r="E29" s="160"/>
      <c r="F29" s="128" t="s">
        <v>54</v>
      </c>
    </row>
    <row r="30" spans="1:6">
      <c r="A30" s="161" t="s">
        <v>187</v>
      </c>
      <c r="B30" s="128"/>
      <c r="C30" s="128"/>
      <c r="D30" s="128" t="s">
        <v>54</v>
      </c>
      <c r="E30" s="160"/>
      <c r="F30" s="128" t="s">
        <v>54</v>
      </c>
    </row>
    <row r="31" spans="1:6">
      <c r="A31" s="161" t="s">
        <v>216</v>
      </c>
      <c r="B31" s="128" t="s">
        <v>54</v>
      </c>
      <c r="C31" s="128" t="s">
        <v>54</v>
      </c>
      <c r="D31" s="128"/>
      <c r="E31" s="160"/>
      <c r="F31" s="128" t="s">
        <v>54</v>
      </c>
    </row>
    <row r="32" spans="1:6">
      <c r="A32" s="161" t="s">
        <v>218</v>
      </c>
      <c r="B32" s="128" t="s">
        <v>54</v>
      </c>
      <c r="C32" s="128" t="s">
        <v>54</v>
      </c>
      <c r="D32" s="128"/>
      <c r="E32" s="160"/>
      <c r="F32" s="128" t="s">
        <v>54</v>
      </c>
    </row>
    <row r="33" spans="1:6">
      <c r="A33" s="161" t="s">
        <v>208</v>
      </c>
      <c r="B33" s="128"/>
      <c r="C33" s="128" t="s">
        <v>54</v>
      </c>
      <c r="D33" s="128"/>
      <c r="E33" s="160"/>
      <c r="F33" s="128" t="s">
        <v>54</v>
      </c>
    </row>
    <row r="34" spans="1:6">
      <c r="A34" s="161" t="s">
        <v>212</v>
      </c>
      <c r="B34" s="128"/>
      <c r="C34" s="128" t="s">
        <v>54</v>
      </c>
      <c r="D34" s="128"/>
      <c r="E34" s="160"/>
      <c r="F34" s="128" t="s">
        <v>54</v>
      </c>
    </row>
    <row r="35" spans="1:6">
      <c r="A35" s="161" t="s">
        <v>214</v>
      </c>
      <c r="B35" s="128" t="s">
        <v>54</v>
      </c>
      <c r="C35" s="128"/>
      <c r="D35" s="128" t="s">
        <v>54</v>
      </c>
      <c r="E35" s="160"/>
      <c r="F35" s="128" t="s">
        <v>54</v>
      </c>
    </row>
  </sheetData>
  <autoFilter ref="A1:E35" xr:uid="{C0F2E19E-AA0C-4939-92DC-7195B1FB597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workbookViewId="0">
      <pane ySplit="1" topLeftCell="J56" activePane="bottomLeft" state="frozen"/>
      <selection pane="bottomLeft" activeCell="J116" sqref="J116"/>
    </sheetView>
  </sheetViews>
  <sheetFormatPr defaultColWidth="9.140625" defaultRowHeight="15"/>
  <cols>
    <col min="1" max="1" width="13.85546875" style="8" customWidth="1"/>
    <col min="2" max="2" width="15.85546875" style="8" customWidth="1"/>
    <col min="3" max="3" width="12.5703125" style="8" customWidth="1"/>
    <col min="4" max="4" width="21.5703125" style="8" customWidth="1"/>
    <col min="5" max="5" width="25.85546875" style="40" customWidth="1"/>
    <col min="6" max="7" width="14.42578125" style="8" customWidth="1"/>
    <col min="8" max="8" width="18" style="8" customWidth="1"/>
    <col min="9" max="9" width="52.5703125" style="15" customWidth="1"/>
    <col min="10" max="10" width="73.7109375" style="15" customWidth="1"/>
    <col min="11" max="12" width="39.7109375" style="15" customWidth="1"/>
    <col min="13" max="14" width="16" style="40" customWidth="1"/>
    <col min="15" max="15" width="17.85546875" style="8" customWidth="1"/>
    <col min="16" max="16" width="46.5703125" style="15" customWidth="1"/>
    <col min="17" max="18" width="15.85546875" style="8" customWidth="1"/>
    <col min="19" max="19" width="50.28515625" style="5" customWidth="1"/>
    <col min="20" max="20" width="20.42578125" style="8" customWidth="1"/>
    <col min="21" max="16384" width="9.140625" style="27"/>
  </cols>
  <sheetData>
    <row r="1" spans="1:20" ht="24.75" customHeight="1">
      <c r="A1" s="1" t="s">
        <v>889</v>
      </c>
      <c r="B1" s="1" t="s">
        <v>890</v>
      </c>
      <c r="C1" s="1" t="s">
        <v>739</v>
      </c>
      <c r="D1" s="1" t="s">
        <v>891</v>
      </c>
      <c r="E1" s="1" t="s">
        <v>740</v>
      </c>
      <c r="F1" s="1" t="s">
        <v>460</v>
      </c>
      <c r="G1" s="1" t="s">
        <v>892</v>
      </c>
      <c r="H1" s="1" t="s">
        <v>893</v>
      </c>
      <c r="I1" s="1" t="s">
        <v>894</v>
      </c>
      <c r="J1" s="6" t="s">
        <v>895</v>
      </c>
      <c r="K1" s="6" t="s">
        <v>896</v>
      </c>
      <c r="L1" s="6" t="s">
        <v>897</v>
      </c>
      <c r="M1" s="6" t="s">
        <v>898</v>
      </c>
      <c r="N1" s="6" t="s">
        <v>744</v>
      </c>
      <c r="O1" s="1" t="s">
        <v>899</v>
      </c>
      <c r="P1" s="3" t="s">
        <v>900</v>
      </c>
      <c r="Q1" s="1" t="s">
        <v>901</v>
      </c>
      <c r="R1" s="2" t="s">
        <v>902</v>
      </c>
      <c r="S1" s="120" t="s">
        <v>276</v>
      </c>
      <c r="T1" s="169" t="s">
        <v>903</v>
      </c>
    </row>
    <row r="2" spans="1:20">
      <c r="A2" s="7" t="s">
        <v>904</v>
      </c>
      <c r="B2" s="7" t="s">
        <v>905</v>
      </c>
      <c r="C2" s="7" t="s">
        <v>746</v>
      </c>
      <c r="D2" s="7" t="s">
        <v>906</v>
      </c>
      <c r="E2" s="32" t="s">
        <v>828</v>
      </c>
      <c r="F2" s="7" t="s">
        <v>39</v>
      </c>
      <c r="G2" s="7" t="s">
        <v>12</v>
      </c>
      <c r="H2" s="7" t="s">
        <v>907</v>
      </c>
      <c r="I2" s="14" t="s">
        <v>908</v>
      </c>
      <c r="J2" s="14" t="s">
        <v>909</v>
      </c>
      <c r="K2" s="28" t="s">
        <v>910</v>
      </c>
      <c r="L2" s="28" t="s">
        <v>911</v>
      </c>
      <c r="M2" s="7" t="s">
        <v>912</v>
      </c>
      <c r="N2" s="7"/>
      <c r="O2" s="7"/>
      <c r="P2" s="43"/>
      <c r="Q2" s="9" t="s">
        <v>3</v>
      </c>
      <c r="R2" s="44">
        <v>46143</v>
      </c>
      <c r="S2" s="121" t="s">
        <v>913</v>
      </c>
      <c r="T2" s="9"/>
    </row>
    <row r="3" spans="1:20">
      <c r="A3" s="7" t="s">
        <v>914</v>
      </c>
      <c r="B3" s="7" t="s">
        <v>905</v>
      </c>
      <c r="C3" s="7" t="s">
        <v>746</v>
      </c>
      <c r="D3" s="7" t="s">
        <v>906</v>
      </c>
      <c r="E3" s="32" t="s">
        <v>828</v>
      </c>
      <c r="F3" s="7" t="s">
        <v>39</v>
      </c>
      <c r="G3" s="7" t="s">
        <v>12</v>
      </c>
      <c r="H3" s="7" t="s">
        <v>907</v>
      </c>
      <c r="I3" s="14" t="s">
        <v>915</v>
      </c>
      <c r="J3" s="14" t="s">
        <v>916</v>
      </c>
      <c r="K3" s="28" t="s">
        <v>917</v>
      </c>
      <c r="L3" s="28" t="s">
        <v>918</v>
      </c>
      <c r="M3" s="32" t="s">
        <v>912</v>
      </c>
      <c r="N3" s="32"/>
      <c r="O3" s="7"/>
      <c r="P3" s="43"/>
      <c r="Q3" s="9" t="s">
        <v>5</v>
      </c>
      <c r="R3" s="44">
        <v>46143</v>
      </c>
      <c r="S3" s="121" t="s">
        <v>919</v>
      </c>
      <c r="T3" s="9"/>
    </row>
    <row r="4" spans="1:20">
      <c r="A4" s="7" t="s">
        <v>920</v>
      </c>
      <c r="B4" s="7" t="s">
        <v>905</v>
      </c>
      <c r="C4" s="7" t="s">
        <v>769</v>
      </c>
      <c r="D4" s="7" t="s">
        <v>906</v>
      </c>
      <c r="E4" s="32" t="s">
        <v>828</v>
      </c>
      <c r="F4" s="7" t="s">
        <v>39</v>
      </c>
      <c r="G4" s="7" t="s">
        <v>12</v>
      </c>
      <c r="H4" s="7" t="s">
        <v>907</v>
      </c>
      <c r="I4" s="14" t="s">
        <v>921</v>
      </c>
      <c r="J4" s="14" t="s">
        <v>922</v>
      </c>
      <c r="K4" s="28" t="s">
        <v>923</v>
      </c>
      <c r="L4" s="28" t="s">
        <v>924</v>
      </c>
      <c r="M4" s="32" t="s">
        <v>912</v>
      </c>
      <c r="N4" s="32"/>
      <c r="O4" s="7"/>
      <c r="P4" s="43"/>
      <c r="Q4" s="9" t="s">
        <v>5</v>
      </c>
      <c r="R4" s="44">
        <v>46143</v>
      </c>
      <c r="S4" s="121" t="s">
        <v>919</v>
      </c>
      <c r="T4" s="9"/>
    </row>
    <row r="5" spans="1:20">
      <c r="A5" s="7" t="s">
        <v>925</v>
      </c>
      <c r="B5" s="7" t="s">
        <v>905</v>
      </c>
      <c r="C5" s="7" t="s">
        <v>746</v>
      </c>
      <c r="D5" s="7" t="s">
        <v>906</v>
      </c>
      <c r="E5" s="32" t="s">
        <v>828</v>
      </c>
      <c r="F5" s="7" t="s">
        <v>39</v>
      </c>
      <c r="G5" s="7" t="s">
        <v>12</v>
      </c>
      <c r="H5" s="7" t="s">
        <v>907</v>
      </c>
      <c r="I5" s="14" t="s">
        <v>926</v>
      </c>
      <c r="J5" s="14" t="s">
        <v>927</v>
      </c>
      <c r="K5" s="28" t="s">
        <v>928</v>
      </c>
      <c r="L5" s="28" t="s">
        <v>929</v>
      </c>
      <c r="M5" s="32" t="s">
        <v>912</v>
      </c>
      <c r="N5" s="32"/>
      <c r="O5" s="7"/>
      <c r="P5" s="43"/>
      <c r="Q5" s="9" t="s">
        <v>5</v>
      </c>
      <c r="R5" s="44">
        <v>46143</v>
      </c>
      <c r="S5" s="121" t="s">
        <v>919</v>
      </c>
      <c r="T5" s="9"/>
    </row>
    <row r="6" spans="1:20">
      <c r="A6" s="7" t="s">
        <v>930</v>
      </c>
      <c r="B6" s="7" t="s">
        <v>905</v>
      </c>
      <c r="C6" s="7" t="s">
        <v>746</v>
      </c>
      <c r="D6" s="7" t="s">
        <v>906</v>
      </c>
      <c r="E6" s="32" t="s">
        <v>828</v>
      </c>
      <c r="F6" s="7" t="s">
        <v>39</v>
      </c>
      <c r="G6" s="7" t="s">
        <v>12</v>
      </c>
      <c r="H6" s="7" t="s">
        <v>907</v>
      </c>
      <c r="I6" s="14" t="s">
        <v>931</v>
      </c>
      <c r="J6" s="14" t="s">
        <v>932</v>
      </c>
      <c r="K6" s="28" t="s">
        <v>933</v>
      </c>
      <c r="L6" s="14" t="s">
        <v>39</v>
      </c>
      <c r="M6" s="32" t="s">
        <v>912</v>
      </c>
      <c r="N6" s="32"/>
      <c r="O6" s="7"/>
      <c r="P6" s="43"/>
      <c r="Q6" s="9" t="s">
        <v>5</v>
      </c>
      <c r="R6" s="44">
        <v>46143</v>
      </c>
      <c r="S6" s="121" t="s">
        <v>919</v>
      </c>
      <c r="T6" s="9"/>
    </row>
    <row r="7" spans="1:20">
      <c r="A7" s="7" t="s">
        <v>934</v>
      </c>
      <c r="B7" s="7" t="s">
        <v>905</v>
      </c>
      <c r="C7" s="7" t="s">
        <v>746</v>
      </c>
      <c r="D7" s="7" t="s">
        <v>906</v>
      </c>
      <c r="E7" s="32" t="s">
        <v>828</v>
      </c>
      <c r="F7" s="7" t="s">
        <v>39</v>
      </c>
      <c r="G7" s="7" t="s">
        <v>12</v>
      </c>
      <c r="H7" s="7" t="s">
        <v>907</v>
      </c>
      <c r="I7" s="14" t="s">
        <v>935</v>
      </c>
      <c r="J7" s="14" t="s">
        <v>936</v>
      </c>
      <c r="K7" s="28" t="s">
        <v>937</v>
      </c>
      <c r="L7" s="14" t="s">
        <v>39</v>
      </c>
      <c r="M7" s="32" t="s">
        <v>912</v>
      </c>
      <c r="N7" s="32"/>
      <c r="O7" s="7"/>
      <c r="P7" s="43"/>
      <c r="Q7" s="9" t="s">
        <v>5</v>
      </c>
      <c r="R7" s="44">
        <v>46143</v>
      </c>
      <c r="S7" s="121" t="s">
        <v>919</v>
      </c>
      <c r="T7" s="9"/>
    </row>
    <row r="8" spans="1:20">
      <c r="A8" s="7" t="s">
        <v>938</v>
      </c>
      <c r="B8" s="7" t="s">
        <v>905</v>
      </c>
      <c r="C8" s="7" t="s">
        <v>746</v>
      </c>
      <c r="D8" s="7" t="s">
        <v>906</v>
      </c>
      <c r="E8" s="32" t="s">
        <v>828</v>
      </c>
      <c r="F8" s="7" t="s">
        <v>39</v>
      </c>
      <c r="G8" s="7" t="s">
        <v>12</v>
      </c>
      <c r="H8" s="7" t="s">
        <v>907</v>
      </c>
      <c r="I8" s="14" t="s">
        <v>939</v>
      </c>
      <c r="J8" s="14" t="s">
        <v>940</v>
      </c>
      <c r="K8" s="28" t="s">
        <v>941</v>
      </c>
      <c r="L8" s="14" t="s">
        <v>39</v>
      </c>
      <c r="M8" s="32" t="s">
        <v>912</v>
      </c>
      <c r="N8" s="32"/>
      <c r="O8" s="7"/>
      <c r="P8" s="43"/>
      <c r="Q8" s="9" t="s">
        <v>5</v>
      </c>
      <c r="R8" s="44">
        <v>46143</v>
      </c>
      <c r="S8" s="121" t="s">
        <v>919</v>
      </c>
      <c r="T8" s="9"/>
    </row>
    <row r="9" spans="1:20">
      <c r="A9" s="7" t="s">
        <v>942</v>
      </c>
      <c r="B9" s="7" t="s">
        <v>905</v>
      </c>
      <c r="C9" s="7" t="s">
        <v>769</v>
      </c>
      <c r="D9" s="7" t="s">
        <v>906</v>
      </c>
      <c r="E9" s="32" t="s">
        <v>828</v>
      </c>
      <c r="F9" s="7" t="s">
        <v>39</v>
      </c>
      <c r="G9" s="7" t="s">
        <v>12</v>
      </c>
      <c r="H9" s="7" t="s">
        <v>943</v>
      </c>
      <c r="I9" s="14" t="s">
        <v>944</v>
      </c>
      <c r="J9" s="14" t="s">
        <v>945</v>
      </c>
      <c r="K9" s="28" t="s">
        <v>946</v>
      </c>
      <c r="L9" s="14" t="s">
        <v>39</v>
      </c>
      <c r="M9" s="32" t="s">
        <v>912</v>
      </c>
      <c r="N9" s="32"/>
      <c r="O9" s="7"/>
      <c r="P9" s="43"/>
      <c r="Q9" s="9" t="s">
        <v>3</v>
      </c>
      <c r="R9" s="44" t="s">
        <v>947</v>
      </c>
      <c r="S9" s="121" t="s">
        <v>948</v>
      </c>
      <c r="T9" s="9"/>
    </row>
    <row r="10" spans="1:20">
      <c r="A10" s="7" t="s">
        <v>949</v>
      </c>
      <c r="B10" s="7" t="s">
        <v>905</v>
      </c>
      <c r="C10" s="7" t="s">
        <v>769</v>
      </c>
      <c r="D10" s="7" t="s">
        <v>906</v>
      </c>
      <c r="E10" s="32" t="s">
        <v>828</v>
      </c>
      <c r="F10" s="7" t="s">
        <v>39</v>
      </c>
      <c r="G10" s="7" t="s">
        <v>12</v>
      </c>
      <c r="H10" s="7" t="s">
        <v>907</v>
      </c>
      <c r="I10" s="14" t="s">
        <v>950</v>
      </c>
      <c r="J10" s="14" t="s">
        <v>951</v>
      </c>
      <c r="K10" s="28" t="s">
        <v>952</v>
      </c>
      <c r="L10" s="28" t="s">
        <v>953</v>
      </c>
      <c r="M10" s="32" t="s">
        <v>912</v>
      </c>
      <c r="N10" s="32"/>
      <c r="O10" s="7"/>
      <c r="P10" s="43"/>
      <c r="Q10" s="9" t="s">
        <v>5</v>
      </c>
      <c r="R10" s="44">
        <v>46143</v>
      </c>
      <c r="S10" s="121" t="s">
        <v>919</v>
      </c>
      <c r="T10" s="9"/>
    </row>
    <row r="11" spans="1:20">
      <c r="A11" s="7" t="s">
        <v>954</v>
      </c>
      <c r="B11" s="7" t="s">
        <v>905</v>
      </c>
      <c r="C11" s="7" t="s">
        <v>769</v>
      </c>
      <c r="D11" s="7" t="s">
        <v>906</v>
      </c>
      <c r="E11" s="32" t="s">
        <v>828</v>
      </c>
      <c r="F11" s="7" t="s">
        <v>39</v>
      </c>
      <c r="G11" s="7" t="s">
        <v>12</v>
      </c>
      <c r="H11" s="7" t="s">
        <v>907</v>
      </c>
      <c r="I11" s="14" t="s">
        <v>955</v>
      </c>
      <c r="J11" s="14" t="s">
        <v>956</v>
      </c>
      <c r="K11" s="28" t="s">
        <v>957</v>
      </c>
      <c r="L11" s="28" t="s">
        <v>958</v>
      </c>
      <c r="M11" s="32" t="s">
        <v>912</v>
      </c>
      <c r="N11" s="32"/>
      <c r="O11" s="45"/>
      <c r="P11" s="43"/>
      <c r="Q11" s="9" t="s">
        <v>5</v>
      </c>
      <c r="R11" s="44">
        <v>46143</v>
      </c>
      <c r="S11" s="121" t="s">
        <v>919</v>
      </c>
      <c r="T11" s="9"/>
    </row>
    <row r="12" spans="1:20">
      <c r="A12" s="7" t="s">
        <v>959</v>
      </c>
      <c r="B12" s="7" t="s">
        <v>905</v>
      </c>
      <c r="C12" s="7" t="s">
        <v>746</v>
      </c>
      <c r="D12" s="7" t="s">
        <v>906</v>
      </c>
      <c r="E12" s="32" t="s">
        <v>828</v>
      </c>
      <c r="F12" s="7" t="s">
        <v>39</v>
      </c>
      <c r="G12" s="7" t="s">
        <v>12</v>
      </c>
      <c r="H12" s="7" t="s">
        <v>907</v>
      </c>
      <c r="I12" s="14" t="s">
        <v>960</v>
      </c>
      <c r="J12" s="14" t="s">
        <v>961</v>
      </c>
      <c r="K12" s="28" t="s">
        <v>962</v>
      </c>
      <c r="L12" s="28" t="s">
        <v>963</v>
      </c>
      <c r="M12" s="32" t="s">
        <v>912</v>
      </c>
      <c r="N12" s="32"/>
      <c r="O12" s="7"/>
      <c r="P12" s="43"/>
      <c r="Q12" s="9" t="s">
        <v>5</v>
      </c>
      <c r="R12" s="44">
        <v>46143</v>
      </c>
      <c r="S12" s="121" t="s">
        <v>919</v>
      </c>
      <c r="T12" s="9"/>
    </row>
    <row r="13" spans="1:20">
      <c r="A13" s="7" t="s">
        <v>964</v>
      </c>
      <c r="B13" s="7" t="s">
        <v>905</v>
      </c>
      <c r="C13" s="7" t="s">
        <v>769</v>
      </c>
      <c r="D13" s="7" t="s">
        <v>906</v>
      </c>
      <c r="E13" s="32" t="s">
        <v>828</v>
      </c>
      <c r="F13" s="7" t="s">
        <v>39</v>
      </c>
      <c r="G13" s="7" t="s">
        <v>12</v>
      </c>
      <c r="H13" s="7" t="s">
        <v>907</v>
      </c>
      <c r="I13" s="14" t="s">
        <v>965</v>
      </c>
      <c r="J13" s="14" t="s">
        <v>966</v>
      </c>
      <c r="K13" s="28" t="s">
        <v>967</v>
      </c>
      <c r="L13" s="14" t="s">
        <v>39</v>
      </c>
      <c r="M13" s="32" t="s">
        <v>912</v>
      </c>
      <c r="N13" s="32"/>
      <c r="O13" s="7"/>
      <c r="P13" s="43"/>
      <c r="Q13" s="9" t="s">
        <v>5</v>
      </c>
      <c r="R13" s="44">
        <v>46143</v>
      </c>
      <c r="S13" s="121" t="s">
        <v>919</v>
      </c>
      <c r="T13" s="9"/>
    </row>
    <row r="14" spans="1:20">
      <c r="A14" s="7" t="s">
        <v>968</v>
      </c>
      <c r="B14" s="7" t="s">
        <v>905</v>
      </c>
      <c r="C14" s="7" t="s">
        <v>746</v>
      </c>
      <c r="D14" s="7" t="s">
        <v>906</v>
      </c>
      <c r="E14" s="32" t="s">
        <v>828</v>
      </c>
      <c r="F14" s="7" t="s">
        <v>39</v>
      </c>
      <c r="G14" s="7" t="s">
        <v>16</v>
      </c>
      <c r="H14" s="7" t="s">
        <v>969</v>
      </c>
      <c r="I14" s="14" t="s">
        <v>970</v>
      </c>
      <c r="J14" s="14" t="s">
        <v>971</v>
      </c>
      <c r="K14" s="28" t="s">
        <v>972</v>
      </c>
      <c r="L14" s="14" t="s">
        <v>39</v>
      </c>
      <c r="M14" s="32" t="s">
        <v>912</v>
      </c>
      <c r="N14" s="32" t="s">
        <v>973</v>
      </c>
      <c r="O14" s="7"/>
      <c r="P14" s="43"/>
      <c r="Q14" s="9" t="s">
        <v>5</v>
      </c>
      <c r="R14" s="44">
        <v>46143</v>
      </c>
      <c r="S14" s="121" t="s">
        <v>974</v>
      </c>
      <c r="T14" s="9" t="s">
        <v>975</v>
      </c>
    </row>
    <row r="15" spans="1:20">
      <c r="A15" s="7" t="s">
        <v>976</v>
      </c>
      <c r="B15" s="7" t="s">
        <v>905</v>
      </c>
      <c r="C15" s="7" t="s">
        <v>769</v>
      </c>
      <c r="D15" s="7" t="s">
        <v>906</v>
      </c>
      <c r="E15" s="32" t="s">
        <v>828</v>
      </c>
      <c r="F15" s="7" t="s">
        <v>39</v>
      </c>
      <c r="G15" s="7" t="s">
        <v>12</v>
      </c>
      <c r="H15" s="7" t="s">
        <v>907</v>
      </c>
      <c r="I15" s="14" t="s">
        <v>977</v>
      </c>
      <c r="J15" s="14" t="s">
        <v>978</v>
      </c>
      <c r="K15" s="28" t="s">
        <v>979</v>
      </c>
      <c r="L15" s="14" t="s">
        <v>39</v>
      </c>
      <c r="M15" s="32" t="s">
        <v>912</v>
      </c>
      <c r="N15" s="32"/>
      <c r="O15" s="7"/>
      <c r="P15" s="43"/>
      <c r="Q15" s="9" t="s">
        <v>5</v>
      </c>
      <c r="R15" s="44">
        <v>46143</v>
      </c>
      <c r="S15" s="121" t="s">
        <v>919</v>
      </c>
      <c r="T15" s="9"/>
    </row>
    <row r="16" spans="1:20">
      <c r="A16" s="7" t="s">
        <v>980</v>
      </c>
      <c r="B16" s="7" t="s">
        <v>905</v>
      </c>
      <c r="C16" s="7" t="s">
        <v>746</v>
      </c>
      <c r="D16" s="7" t="s">
        <v>906</v>
      </c>
      <c r="E16" s="32" t="s">
        <v>828</v>
      </c>
      <c r="F16" s="7" t="s">
        <v>39</v>
      </c>
      <c r="G16" s="7" t="s">
        <v>12</v>
      </c>
      <c r="H16" s="7" t="s">
        <v>907</v>
      </c>
      <c r="I16" s="14" t="s">
        <v>981</v>
      </c>
      <c r="J16" s="14" t="s">
        <v>982</v>
      </c>
      <c r="K16" s="28" t="s">
        <v>983</v>
      </c>
      <c r="L16" s="14" t="s">
        <v>39</v>
      </c>
      <c r="M16" s="32" t="s">
        <v>912</v>
      </c>
      <c r="N16" s="32"/>
      <c r="O16" s="7"/>
      <c r="P16" s="43"/>
      <c r="Q16" s="9" t="s">
        <v>5</v>
      </c>
      <c r="R16" s="44">
        <v>46143</v>
      </c>
      <c r="S16" s="121" t="s">
        <v>919</v>
      </c>
      <c r="T16" s="9"/>
    </row>
    <row r="17" spans="1:20">
      <c r="A17" s="7" t="s">
        <v>984</v>
      </c>
      <c r="B17" s="7" t="s">
        <v>905</v>
      </c>
      <c r="C17" s="7" t="s">
        <v>746</v>
      </c>
      <c r="D17" s="7" t="s">
        <v>906</v>
      </c>
      <c r="E17" s="32" t="s">
        <v>828</v>
      </c>
      <c r="F17" s="7" t="s">
        <v>39</v>
      </c>
      <c r="G17" s="7" t="s">
        <v>12</v>
      </c>
      <c r="H17" s="7" t="s">
        <v>907</v>
      </c>
      <c r="I17" s="14" t="s">
        <v>985</v>
      </c>
      <c r="J17" s="14" t="s">
        <v>986</v>
      </c>
      <c r="K17" s="28" t="s">
        <v>987</v>
      </c>
      <c r="L17" s="28" t="s">
        <v>988</v>
      </c>
      <c r="M17" s="32" t="s">
        <v>912</v>
      </c>
      <c r="N17" s="32"/>
      <c r="O17" s="7"/>
      <c r="P17" s="43"/>
      <c r="Q17" s="9" t="s">
        <v>5</v>
      </c>
      <c r="R17" s="44">
        <v>46143</v>
      </c>
      <c r="S17" s="121" t="s">
        <v>919</v>
      </c>
      <c r="T17" s="9"/>
    </row>
    <row r="18" spans="1:20">
      <c r="A18" s="7" t="s">
        <v>989</v>
      </c>
      <c r="B18" s="7" t="s">
        <v>905</v>
      </c>
      <c r="C18" s="7" t="s">
        <v>746</v>
      </c>
      <c r="D18" s="7" t="s">
        <v>906</v>
      </c>
      <c r="E18" s="32" t="s">
        <v>828</v>
      </c>
      <c r="F18" s="7" t="s">
        <v>39</v>
      </c>
      <c r="G18" s="7" t="s">
        <v>12</v>
      </c>
      <c r="H18" s="7" t="s">
        <v>907</v>
      </c>
      <c r="I18" s="14" t="s">
        <v>990</v>
      </c>
      <c r="J18" s="14" t="s">
        <v>991</v>
      </c>
      <c r="K18" s="28" t="s">
        <v>992</v>
      </c>
      <c r="L18" s="14" t="s">
        <v>39</v>
      </c>
      <c r="M18" s="32" t="s">
        <v>912</v>
      </c>
      <c r="N18" s="32"/>
      <c r="O18" s="7"/>
      <c r="P18" s="43"/>
      <c r="Q18" s="9" t="s">
        <v>5</v>
      </c>
      <c r="R18" s="44">
        <v>46143</v>
      </c>
      <c r="S18" s="121" t="s">
        <v>919</v>
      </c>
      <c r="T18" s="9"/>
    </row>
    <row r="19" spans="1:20">
      <c r="A19" s="7" t="s">
        <v>993</v>
      </c>
      <c r="B19" s="7" t="s">
        <v>905</v>
      </c>
      <c r="C19" s="7" t="s">
        <v>746</v>
      </c>
      <c r="D19" s="7" t="s">
        <v>906</v>
      </c>
      <c r="E19" s="32" t="s">
        <v>828</v>
      </c>
      <c r="F19" s="7" t="s">
        <v>39</v>
      </c>
      <c r="G19" s="7" t="s">
        <v>12</v>
      </c>
      <c r="H19" s="7" t="s">
        <v>907</v>
      </c>
      <c r="I19" s="14" t="s">
        <v>994</v>
      </c>
      <c r="J19" s="14" t="s">
        <v>995</v>
      </c>
      <c r="K19" s="28" t="s">
        <v>996</v>
      </c>
      <c r="L19" s="28" t="s">
        <v>997</v>
      </c>
      <c r="M19" s="32" t="s">
        <v>912</v>
      </c>
      <c r="N19" s="32"/>
      <c r="O19" s="7"/>
      <c r="P19" s="43"/>
      <c r="Q19" s="9" t="s">
        <v>5</v>
      </c>
      <c r="R19" s="44">
        <v>46143</v>
      </c>
      <c r="S19" s="121" t="s">
        <v>919</v>
      </c>
      <c r="T19" s="9"/>
    </row>
    <row r="20" spans="1:20">
      <c r="A20" s="7" t="s">
        <v>998</v>
      </c>
      <c r="B20" s="7" t="s">
        <v>905</v>
      </c>
      <c r="C20" s="7" t="s">
        <v>746</v>
      </c>
      <c r="D20" s="7" t="s">
        <v>906</v>
      </c>
      <c r="E20" s="32" t="s">
        <v>755</v>
      </c>
      <c r="F20" s="7" t="s">
        <v>39</v>
      </c>
      <c r="G20" s="7" t="s">
        <v>12</v>
      </c>
      <c r="H20" s="7" t="s">
        <v>907</v>
      </c>
      <c r="I20" s="14" t="s">
        <v>999</v>
      </c>
      <c r="J20" s="14" t="s">
        <v>1000</v>
      </c>
      <c r="K20" s="28" t="s">
        <v>1001</v>
      </c>
      <c r="L20" s="14" t="s">
        <v>39</v>
      </c>
      <c r="M20" s="32" t="s">
        <v>912</v>
      </c>
      <c r="N20" s="32"/>
      <c r="O20" s="7"/>
      <c r="P20" s="43"/>
      <c r="Q20" s="9" t="s">
        <v>5</v>
      </c>
      <c r="R20" s="44">
        <v>46143</v>
      </c>
      <c r="S20" s="121" t="s">
        <v>919</v>
      </c>
      <c r="T20" s="9"/>
    </row>
    <row r="21" spans="1:20">
      <c r="A21" s="7" t="s">
        <v>1002</v>
      </c>
      <c r="B21" s="7" t="s">
        <v>905</v>
      </c>
      <c r="C21" s="7" t="s">
        <v>769</v>
      </c>
      <c r="D21" s="7" t="s">
        <v>906</v>
      </c>
      <c r="E21" s="32" t="s">
        <v>1003</v>
      </c>
      <c r="F21" s="7" t="s">
        <v>39</v>
      </c>
      <c r="G21" s="7" t="s">
        <v>16</v>
      </c>
      <c r="H21" s="7" t="s">
        <v>1004</v>
      </c>
      <c r="I21" s="14" t="s">
        <v>1005</v>
      </c>
      <c r="J21" s="14" t="s">
        <v>1006</v>
      </c>
      <c r="K21" s="28" t="s">
        <v>1007</v>
      </c>
      <c r="L21" s="28" t="s">
        <v>1008</v>
      </c>
      <c r="M21" s="32" t="s">
        <v>912</v>
      </c>
      <c r="N21" s="32" t="s">
        <v>1009</v>
      </c>
      <c r="O21" s="7"/>
      <c r="P21" s="43"/>
      <c r="Q21" s="9" t="s">
        <v>3</v>
      </c>
      <c r="R21" s="44" t="s">
        <v>1010</v>
      </c>
      <c r="S21" s="121" t="s">
        <v>1011</v>
      </c>
      <c r="T21" s="9"/>
    </row>
    <row r="22" spans="1:20">
      <c r="A22" s="7" t="s">
        <v>1012</v>
      </c>
      <c r="B22" s="7" t="s">
        <v>905</v>
      </c>
      <c r="C22" s="7" t="s">
        <v>769</v>
      </c>
      <c r="D22" s="7" t="s">
        <v>906</v>
      </c>
      <c r="E22" s="32" t="s">
        <v>1003</v>
      </c>
      <c r="F22" s="7" t="s">
        <v>39</v>
      </c>
      <c r="G22" s="7" t="s">
        <v>12</v>
      </c>
      <c r="H22" s="7" t="s">
        <v>1013</v>
      </c>
      <c r="I22" s="14" t="s">
        <v>1014</v>
      </c>
      <c r="J22" s="14" t="s">
        <v>1015</v>
      </c>
      <c r="K22" s="28" t="s">
        <v>1016</v>
      </c>
      <c r="L22" s="14" t="s">
        <v>39</v>
      </c>
      <c r="M22" s="32" t="s">
        <v>912</v>
      </c>
      <c r="N22" s="32" t="s">
        <v>912</v>
      </c>
      <c r="O22" s="7" t="s">
        <v>1017</v>
      </c>
      <c r="P22" s="43" t="s">
        <v>1018</v>
      </c>
      <c r="Q22" s="9" t="s">
        <v>3</v>
      </c>
      <c r="R22" s="44">
        <v>46144</v>
      </c>
      <c r="S22" s="121" t="s">
        <v>1019</v>
      </c>
      <c r="T22" s="9"/>
    </row>
    <row r="23" spans="1:20">
      <c r="A23" s="7" t="s">
        <v>1020</v>
      </c>
      <c r="B23" s="7" t="s">
        <v>905</v>
      </c>
      <c r="C23" s="7" t="s">
        <v>746</v>
      </c>
      <c r="D23" s="7" t="s">
        <v>906</v>
      </c>
      <c r="E23" s="32" t="s">
        <v>828</v>
      </c>
      <c r="F23" s="7" t="s">
        <v>39</v>
      </c>
      <c r="G23" s="17" t="s">
        <v>12</v>
      </c>
      <c r="H23" s="17" t="s">
        <v>1021</v>
      </c>
      <c r="I23" s="46" t="s">
        <v>1022</v>
      </c>
      <c r="J23" s="14" t="s">
        <v>1023</v>
      </c>
      <c r="K23" s="28" t="s">
        <v>1024</v>
      </c>
      <c r="L23" s="14" t="s">
        <v>39</v>
      </c>
      <c r="M23" s="32" t="s">
        <v>912</v>
      </c>
      <c r="N23" s="32" t="s">
        <v>752</v>
      </c>
      <c r="O23" s="7"/>
      <c r="P23" s="14" t="s">
        <v>1025</v>
      </c>
      <c r="Q23" s="9" t="s">
        <v>4</v>
      </c>
      <c r="R23" s="44" t="s">
        <v>1026</v>
      </c>
      <c r="S23" s="121" t="s">
        <v>1027</v>
      </c>
      <c r="T23" s="9" t="s">
        <v>1028</v>
      </c>
    </row>
    <row r="24" spans="1:20">
      <c r="A24" s="7" t="s">
        <v>1029</v>
      </c>
      <c r="B24" s="7" t="s">
        <v>905</v>
      </c>
      <c r="C24" s="7" t="s">
        <v>746</v>
      </c>
      <c r="D24" s="7" t="s">
        <v>906</v>
      </c>
      <c r="E24" s="32" t="s">
        <v>828</v>
      </c>
      <c r="F24" s="7" t="s">
        <v>39</v>
      </c>
      <c r="G24" s="7" t="s">
        <v>12</v>
      </c>
      <c r="H24" s="7" t="s">
        <v>1030</v>
      </c>
      <c r="I24" s="14" t="s">
        <v>1022</v>
      </c>
      <c r="J24" s="14" t="s">
        <v>1031</v>
      </c>
      <c r="K24" s="28" t="s">
        <v>1032</v>
      </c>
      <c r="L24" s="14" t="s">
        <v>39</v>
      </c>
      <c r="M24" s="32" t="s">
        <v>912</v>
      </c>
      <c r="N24" s="32"/>
      <c r="O24" s="7"/>
      <c r="P24" s="43"/>
      <c r="Q24" s="9" t="s">
        <v>5</v>
      </c>
      <c r="R24" s="44" t="s">
        <v>1033</v>
      </c>
      <c r="S24" s="121" t="s">
        <v>1034</v>
      </c>
      <c r="T24" s="9"/>
    </row>
    <row r="25" spans="1:20">
      <c r="A25" s="7" t="s">
        <v>1035</v>
      </c>
      <c r="B25" s="7" t="s">
        <v>905</v>
      </c>
      <c r="C25" s="7" t="s">
        <v>746</v>
      </c>
      <c r="D25" s="7" t="s">
        <v>906</v>
      </c>
      <c r="E25" s="32" t="s">
        <v>755</v>
      </c>
      <c r="F25" s="7" t="s">
        <v>39</v>
      </c>
      <c r="G25" s="7" t="s">
        <v>12</v>
      </c>
      <c r="H25" s="7" t="s">
        <v>1030</v>
      </c>
      <c r="I25" s="14" t="s">
        <v>1036</v>
      </c>
      <c r="J25" s="14" t="s">
        <v>1037</v>
      </c>
      <c r="K25" s="28" t="s">
        <v>1038</v>
      </c>
      <c r="L25" s="28" t="s">
        <v>1039</v>
      </c>
      <c r="M25" s="32" t="s">
        <v>912</v>
      </c>
      <c r="N25" s="32"/>
      <c r="O25" s="7"/>
      <c r="P25" s="43"/>
      <c r="Q25" s="9" t="s">
        <v>5</v>
      </c>
      <c r="R25" s="44" t="s">
        <v>1033</v>
      </c>
      <c r="S25" s="121" t="s">
        <v>1040</v>
      </c>
      <c r="T25" s="9"/>
    </row>
    <row r="26" spans="1:20">
      <c r="A26" s="7" t="s">
        <v>1041</v>
      </c>
      <c r="B26" s="7" t="s">
        <v>905</v>
      </c>
      <c r="C26" s="7" t="s">
        <v>746</v>
      </c>
      <c r="D26" s="7" t="s">
        <v>906</v>
      </c>
      <c r="E26" s="32" t="s">
        <v>755</v>
      </c>
      <c r="F26" s="7" t="s">
        <v>39</v>
      </c>
      <c r="G26" s="7" t="s">
        <v>16</v>
      </c>
      <c r="H26" s="8" t="s">
        <v>1030</v>
      </c>
      <c r="I26" s="14" t="s">
        <v>1042</v>
      </c>
      <c r="J26" s="14" t="s">
        <v>1043</v>
      </c>
      <c r="K26" s="28" t="s">
        <v>1044</v>
      </c>
      <c r="L26" s="28" t="s">
        <v>1045</v>
      </c>
      <c r="M26" s="32" t="s">
        <v>912</v>
      </c>
      <c r="N26" s="32" t="s">
        <v>973</v>
      </c>
      <c r="O26" s="7"/>
      <c r="P26" s="43"/>
      <c r="Q26" s="9" t="s">
        <v>3</v>
      </c>
      <c r="R26" s="44" t="s">
        <v>1046</v>
      </c>
      <c r="S26" s="121" t="s">
        <v>1047</v>
      </c>
      <c r="T26" s="9"/>
    </row>
    <row r="27" spans="1:20">
      <c r="A27" s="7" t="s">
        <v>1048</v>
      </c>
      <c r="B27" s="47">
        <v>46143</v>
      </c>
      <c r="C27" s="7" t="s">
        <v>769</v>
      </c>
      <c r="D27" s="7" t="s">
        <v>906</v>
      </c>
      <c r="E27" s="32" t="s">
        <v>1049</v>
      </c>
      <c r="F27" s="7" t="s">
        <v>39</v>
      </c>
      <c r="G27" s="7" t="s">
        <v>12</v>
      </c>
      <c r="H27" s="7" t="s">
        <v>1050</v>
      </c>
      <c r="I27" s="14" t="s">
        <v>1051</v>
      </c>
      <c r="J27" s="14" t="s">
        <v>1052</v>
      </c>
      <c r="K27" s="56" t="s">
        <v>1053</v>
      </c>
      <c r="L27" s="56" t="s">
        <v>39</v>
      </c>
      <c r="M27" s="32" t="s">
        <v>912</v>
      </c>
      <c r="N27" s="32" t="s">
        <v>752</v>
      </c>
      <c r="O27" s="7" t="s">
        <v>1028</v>
      </c>
      <c r="P27" s="14" t="s">
        <v>1054</v>
      </c>
      <c r="Q27" s="9" t="s">
        <v>3</v>
      </c>
      <c r="R27" s="44">
        <v>46267</v>
      </c>
      <c r="S27" s="121" t="s">
        <v>1055</v>
      </c>
      <c r="T27" s="9"/>
    </row>
    <row r="28" spans="1:20">
      <c r="A28" s="7" t="s">
        <v>1056</v>
      </c>
      <c r="B28" s="47">
        <v>46174</v>
      </c>
      <c r="C28" s="7" t="s">
        <v>769</v>
      </c>
      <c r="D28" s="7" t="s">
        <v>906</v>
      </c>
      <c r="E28" s="32" t="s">
        <v>1057</v>
      </c>
      <c r="F28" s="7" t="s">
        <v>39</v>
      </c>
      <c r="G28" s="7" t="s">
        <v>12</v>
      </c>
      <c r="H28" s="7" t="s">
        <v>1050</v>
      </c>
      <c r="I28" s="14" t="s">
        <v>1058</v>
      </c>
      <c r="J28" s="14" t="s">
        <v>1059</v>
      </c>
      <c r="K28" s="28" t="s">
        <v>1060</v>
      </c>
      <c r="L28" s="14" t="s">
        <v>39</v>
      </c>
      <c r="M28" s="32" t="s">
        <v>912</v>
      </c>
      <c r="N28" s="32"/>
      <c r="O28" s="7"/>
      <c r="P28" s="43"/>
      <c r="Q28" s="9" t="s">
        <v>3</v>
      </c>
      <c r="R28" s="9" t="s">
        <v>1061</v>
      </c>
      <c r="S28" s="121" t="s">
        <v>1062</v>
      </c>
      <c r="T28" s="9"/>
    </row>
    <row r="29" spans="1:20">
      <c r="A29" s="7" t="s">
        <v>1063</v>
      </c>
      <c r="B29" s="47">
        <v>46174</v>
      </c>
      <c r="C29" s="7" t="s">
        <v>746</v>
      </c>
      <c r="D29" s="7" t="s">
        <v>906</v>
      </c>
      <c r="E29" s="32" t="s">
        <v>755</v>
      </c>
      <c r="F29" s="7" t="s">
        <v>39</v>
      </c>
      <c r="G29" s="7" t="s">
        <v>12</v>
      </c>
      <c r="H29" s="7" t="s">
        <v>1030</v>
      </c>
      <c r="I29" s="14" t="s">
        <v>1064</v>
      </c>
      <c r="J29" s="14" t="s">
        <v>1065</v>
      </c>
      <c r="K29" s="28" t="s">
        <v>1066</v>
      </c>
      <c r="L29" s="14" t="s">
        <v>39</v>
      </c>
      <c r="M29" s="32" t="s">
        <v>912</v>
      </c>
      <c r="N29" s="32"/>
      <c r="O29" s="7"/>
      <c r="P29" s="48"/>
      <c r="Q29" s="9" t="s">
        <v>5</v>
      </c>
      <c r="R29" s="9" t="s">
        <v>1033</v>
      </c>
      <c r="S29" s="121" t="s">
        <v>1067</v>
      </c>
      <c r="T29" s="9"/>
    </row>
    <row r="30" spans="1:20">
      <c r="A30" s="7" t="s">
        <v>1068</v>
      </c>
      <c r="B30" s="47">
        <v>46174</v>
      </c>
      <c r="C30" s="7" t="s">
        <v>746</v>
      </c>
      <c r="D30" s="7" t="s">
        <v>906</v>
      </c>
      <c r="E30" s="32" t="s">
        <v>1049</v>
      </c>
      <c r="F30" s="7" t="s">
        <v>39</v>
      </c>
      <c r="G30" s="7" t="s">
        <v>12</v>
      </c>
      <c r="H30" s="7" t="s">
        <v>1050</v>
      </c>
      <c r="I30" s="14" t="s">
        <v>1069</v>
      </c>
      <c r="J30" s="14" t="s">
        <v>1070</v>
      </c>
      <c r="K30" s="56" t="s">
        <v>1071</v>
      </c>
      <c r="L30" s="14" t="s">
        <v>39</v>
      </c>
      <c r="M30" s="32" t="s">
        <v>912</v>
      </c>
      <c r="N30" s="32" t="s">
        <v>752</v>
      </c>
      <c r="O30" s="7" t="s">
        <v>1017</v>
      </c>
      <c r="P30" s="49" t="s">
        <v>1072</v>
      </c>
      <c r="Q30" s="31" t="s">
        <v>3</v>
      </c>
      <c r="R30" s="44" t="s">
        <v>1073</v>
      </c>
      <c r="S30" s="121" t="s">
        <v>1074</v>
      </c>
      <c r="T30" s="9"/>
    </row>
    <row r="31" spans="1:20">
      <c r="A31" s="7" t="s">
        <v>1075</v>
      </c>
      <c r="B31" s="47">
        <v>46174</v>
      </c>
      <c r="C31" s="7" t="s">
        <v>746</v>
      </c>
      <c r="D31" s="7" t="s">
        <v>906</v>
      </c>
      <c r="E31" s="32" t="s">
        <v>828</v>
      </c>
      <c r="F31" s="7" t="s">
        <v>39</v>
      </c>
      <c r="G31" s="7" t="s">
        <v>12</v>
      </c>
      <c r="H31" s="7" t="s">
        <v>1076</v>
      </c>
      <c r="I31" s="14" t="s">
        <v>1077</v>
      </c>
      <c r="J31" s="14" t="s">
        <v>1078</v>
      </c>
      <c r="K31" s="56" t="s">
        <v>1079</v>
      </c>
      <c r="L31" s="56" t="s">
        <v>1080</v>
      </c>
      <c r="M31" s="32" t="s">
        <v>912</v>
      </c>
      <c r="N31" s="32" t="s">
        <v>752</v>
      </c>
      <c r="O31" s="7" t="s">
        <v>1028</v>
      </c>
      <c r="P31" s="71" t="s">
        <v>1081</v>
      </c>
      <c r="Q31" s="9" t="s">
        <v>3</v>
      </c>
      <c r="R31" s="44">
        <v>46267</v>
      </c>
      <c r="S31" s="121" t="s">
        <v>1082</v>
      </c>
      <c r="T31" s="9"/>
    </row>
    <row r="32" spans="1:20">
      <c r="A32" s="7" t="s">
        <v>1083</v>
      </c>
      <c r="B32" s="47">
        <v>46235</v>
      </c>
      <c r="C32" s="7" t="s">
        <v>754</v>
      </c>
      <c r="D32" s="7" t="s">
        <v>1084</v>
      </c>
      <c r="E32" s="32" t="s">
        <v>828</v>
      </c>
      <c r="F32" s="7" t="s">
        <v>39</v>
      </c>
      <c r="G32" s="7" t="s">
        <v>12</v>
      </c>
      <c r="H32" s="7" t="s">
        <v>1085</v>
      </c>
      <c r="I32" s="14" t="s">
        <v>1086</v>
      </c>
      <c r="J32" s="14" t="s">
        <v>1087</v>
      </c>
      <c r="K32" s="56" t="s">
        <v>1088</v>
      </c>
      <c r="L32" s="14" t="s">
        <v>39</v>
      </c>
      <c r="M32" s="32" t="s">
        <v>912</v>
      </c>
      <c r="N32" s="32"/>
      <c r="O32" s="7"/>
      <c r="P32" s="43"/>
      <c r="Q32" s="9" t="s">
        <v>3</v>
      </c>
      <c r="R32" s="9" t="s">
        <v>1089</v>
      </c>
      <c r="S32" s="121" t="s">
        <v>1090</v>
      </c>
      <c r="T32" s="9"/>
    </row>
    <row r="33" spans="1:20">
      <c r="A33" s="7" t="s">
        <v>1091</v>
      </c>
      <c r="B33" s="47">
        <v>46357</v>
      </c>
      <c r="C33" s="7" t="s">
        <v>769</v>
      </c>
      <c r="D33" s="7" t="s">
        <v>906</v>
      </c>
      <c r="E33" s="32" t="s">
        <v>828</v>
      </c>
      <c r="F33" s="7" t="s">
        <v>39</v>
      </c>
      <c r="G33" s="7" t="s">
        <v>12</v>
      </c>
      <c r="H33" s="7" t="s">
        <v>943</v>
      </c>
      <c r="I33" s="14" t="s">
        <v>1092</v>
      </c>
      <c r="J33" s="14" t="s">
        <v>1093</v>
      </c>
      <c r="K33" s="28" t="s">
        <v>1094</v>
      </c>
      <c r="L33" s="28" t="s">
        <v>1095</v>
      </c>
      <c r="M33" s="32" t="s">
        <v>912</v>
      </c>
      <c r="N33" s="32"/>
      <c r="O33" s="7"/>
      <c r="P33" s="43"/>
      <c r="Q33" s="9" t="s">
        <v>3</v>
      </c>
      <c r="R33" s="9" t="s">
        <v>1096</v>
      </c>
      <c r="S33" s="121" t="s">
        <v>1097</v>
      </c>
      <c r="T33" s="9"/>
    </row>
    <row r="34" spans="1:20">
      <c r="A34" s="7" t="s">
        <v>1098</v>
      </c>
      <c r="B34" s="47">
        <v>46357</v>
      </c>
      <c r="C34" s="7" t="s">
        <v>746</v>
      </c>
      <c r="D34" s="7" t="s">
        <v>906</v>
      </c>
      <c r="E34" s="32" t="s">
        <v>828</v>
      </c>
      <c r="F34" s="7" t="s">
        <v>39</v>
      </c>
      <c r="G34" s="7" t="s">
        <v>12</v>
      </c>
      <c r="H34" s="7" t="s">
        <v>943</v>
      </c>
      <c r="I34" s="14" t="s">
        <v>1099</v>
      </c>
      <c r="J34" s="14" t="s">
        <v>1100</v>
      </c>
      <c r="K34" s="28" t="s">
        <v>1101</v>
      </c>
      <c r="L34" s="28" t="s">
        <v>1102</v>
      </c>
      <c r="M34" s="32" t="s">
        <v>912</v>
      </c>
      <c r="N34" s="32"/>
      <c r="O34" s="7"/>
      <c r="P34" s="43"/>
      <c r="Q34" s="9" t="s">
        <v>3</v>
      </c>
      <c r="R34" s="9" t="s">
        <v>1096</v>
      </c>
      <c r="S34" s="121" t="s">
        <v>1097</v>
      </c>
      <c r="T34" s="9"/>
    </row>
    <row r="35" spans="1:20">
      <c r="A35" s="7" t="s">
        <v>1103</v>
      </c>
      <c r="B35" s="47">
        <v>46357</v>
      </c>
      <c r="C35" s="7" t="s">
        <v>769</v>
      </c>
      <c r="D35" s="7" t="s">
        <v>906</v>
      </c>
      <c r="E35" s="32" t="s">
        <v>828</v>
      </c>
      <c r="F35" s="7" t="s">
        <v>39</v>
      </c>
      <c r="G35" s="7" t="s">
        <v>12</v>
      </c>
      <c r="H35" s="7" t="s">
        <v>943</v>
      </c>
      <c r="I35" s="14" t="s">
        <v>1104</v>
      </c>
      <c r="J35" s="14" t="s">
        <v>1093</v>
      </c>
      <c r="K35" s="28" t="s">
        <v>1105</v>
      </c>
      <c r="L35" s="28" t="s">
        <v>1106</v>
      </c>
      <c r="M35" s="32" t="s">
        <v>912</v>
      </c>
      <c r="N35" s="32"/>
      <c r="O35" s="7"/>
      <c r="P35" s="43"/>
      <c r="Q35" s="9" t="s">
        <v>3</v>
      </c>
      <c r="R35" s="9" t="s">
        <v>1096</v>
      </c>
      <c r="S35" s="121" t="s">
        <v>1097</v>
      </c>
      <c r="T35" s="9"/>
    </row>
    <row r="36" spans="1:20">
      <c r="A36" s="7" t="s">
        <v>1107</v>
      </c>
      <c r="B36" s="47">
        <v>46357</v>
      </c>
      <c r="C36" s="7" t="s">
        <v>754</v>
      </c>
      <c r="D36" s="7" t="s">
        <v>906</v>
      </c>
      <c r="E36" s="32" t="s">
        <v>1108</v>
      </c>
      <c r="F36" s="7" t="s">
        <v>39</v>
      </c>
      <c r="G36" s="7" t="s">
        <v>12</v>
      </c>
      <c r="H36" s="7" t="s">
        <v>1109</v>
      </c>
      <c r="I36" s="14" t="s">
        <v>1110</v>
      </c>
      <c r="J36" s="14" t="s">
        <v>1111</v>
      </c>
      <c r="K36" s="56" t="s">
        <v>1112</v>
      </c>
      <c r="L36" s="56" t="s">
        <v>1113</v>
      </c>
      <c r="M36" s="32" t="s">
        <v>912</v>
      </c>
      <c r="N36" s="32" t="s">
        <v>752</v>
      </c>
      <c r="O36" s="7" t="s">
        <v>1017</v>
      </c>
      <c r="P36" s="71" t="s">
        <v>1081</v>
      </c>
      <c r="Q36" s="9" t="s">
        <v>3</v>
      </c>
      <c r="R36" s="149">
        <v>46267</v>
      </c>
      <c r="S36" s="71" t="s">
        <v>1114</v>
      </c>
      <c r="T36" s="9"/>
    </row>
    <row r="37" spans="1:20">
      <c r="A37" s="7" t="s">
        <v>1115</v>
      </c>
      <c r="B37" s="47">
        <v>46357</v>
      </c>
      <c r="C37" s="7" t="s">
        <v>746</v>
      </c>
      <c r="D37" s="7" t="s">
        <v>906</v>
      </c>
      <c r="E37" s="32" t="s">
        <v>1108</v>
      </c>
      <c r="F37" s="7" t="s">
        <v>39</v>
      </c>
      <c r="G37" s="7" t="s">
        <v>12</v>
      </c>
      <c r="H37" s="7" t="s">
        <v>1109</v>
      </c>
      <c r="I37" s="14" t="s">
        <v>1116</v>
      </c>
      <c r="J37" s="14" t="s">
        <v>1117</v>
      </c>
      <c r="K37" s="56" t="s">
        <v>1118</v>
      </c>
      <c r="L37" s="56" t="s">
        <v>1119</v>
      </c>
      <c r="M37" s="32" t="s">
        <v>912</v>
      </c>
      <c r="N37" s="32" t="s">
        <v>752</v>
      </c>
      <c r="O37" s="7" t="s">
        <v>1028</v>
      </c>
      <c r="P37" s="71" t="s">
        <v>1120</v>
      </c>
      <c r="Q37" s="9" t="s">
        <v>3</v>
      </c>
      <c r="R37" s="47" t="s">
        <v>1073</v>
      </c>
      <c r="S37" s="121" t="s">
        <v>1121</v>
      </c>
      <c r="T37" s="9"/>
    </row>
    <row r="38" spans="1:20">
      <c r="A38" s="7" t="s">
        <v>1122</v>
      </c>
      <c r="B38" s="47">
        <v>46357</v>
      </c>
      <c r="C38" s="7" t="s">
        <v>769</v>
      </c>
      <c r="D38" s="7" t="s">
        <v>906</v>
      </c>
      <c r="E38" s="32" t="s">
        <v>1108</v>
      </c>
      <c r="F38" s="7" t="s">
        <v>39</v>
      </c>
      <c r="G38" s="7" t="s">
        <v>12</v>
      </c>
      <c r="H38" s="7" t="s">
        <v>943</v>
      </c>
      <c r="I38" s="14" t="s">
        <v>1123</v>
      </c>
      <c r="J38" s="14" t="s">
        <v>1124</v>
      </c>
      <c r="K38" s="28" t="s">
        <v>1125</v>
      </c>
      <c r="L38" s="14" t="s">
        <v>39</v>
      </c>
      <c r="M38" s="32" t="s">
        <v>912</v>
      </c>
      <c r="N38" s="32"/>
      <c r="O38" s="7"/>
      <c r="P38" s="48"/>
      <c r="Q38" s="30" t="s">
        <v>3</v>
      </c>
      <c r="R38" s="30" t="s">
        <v>1126</v>
      </c>
      <c r="S38" s="122" t="s">
        <v>1127</v>
      </c>
      <c r="T38" s="9"/>
    </row>
    <row r="39" spans="1:20">
      <c r="A39" s="7" t="s">
        <v>1128</v>
      </c>
      <c r="B39" s="7" t="s">
        <v>1096</v>
      </c>
      <c r="C39" s="7" t="s">
        <v>746</v>
      </c>
      <c r="D39" s="7" t="s">
        <v>906</v>
      </c>
      <c r="E39" s="32" t="s">
        <v>755</v>
      </c>
      <c r="F39" s="7" t="s">
        <v>39</v>
      </c>
      <c r="G39" s="7" t="s">
        <v>12</v>
      </c>
      <c r="H39" s="7" t="s">
        <v>1030</v>
      </c>
      <c r="I39" s="14" t="s">
        <v>1129</v>
      </c>
      <c r="J39" s="14" t="s">
        <v>1130</v>
      </c>
      <c r="K39" s="28" t="s">
        <v>1131</v>
      </c>
      <c r="L39" s="28" t="s">
        <v>1132</v>
      </c>
      <c r="M39" s="32" t="s">
        <v>912</v>
      </c>
      <c r="N39" s="32"/>
      <c r="O39" s="9"/>
      <c r="P39" s="43"/>
      <c r="Q39" s="31" t="s">
        <v>5</v>
      </c>
      <c r="R39" s="9" t="s">
        <v>1033</v>
      </c>
      <c r="S39" s="121" t="s">
        <v>1133</v>
      </c>
      <c r="T39" s="9"/>
    </row>
    <row r="40" spans="1:20">
      <c r="A40" s="7" t="s">
        <v>1134</v>
      </c>
      <c r="B40" s="7" t="s">
        <v>1126</v>
      </c>
      <c r="C40" s="7" t="s">
        <v>769</v>
      </c>
      <c r="D40" s="7" t="s">
        <v>906</v>
      </c>
      <c r="E40" s="32" t="s">
        <v>828</v>
      </c>
      <c r="F40" s="7" t="s">
        <v>39</v>
      </c>
      <c r="G40" s="7" t="s">
        <v>12</v>
      </c>
      <c r="H40" s="7" t="s">
        <v>1085</v>
      </c>
      <c r="I40" s="14" t="s">
        <v>1135</v>
      </c>
      <c r="J40" s="14" t="s">
        <v>1136</v>
      </c>
      <c r="K40" s="28" t="s">
        <v>1137</v>
      </c>
      <c r="L40" s="14" t="s">
        <v>39</v>
      </c>
      <c r="M40" s="32" t="s">
        <v>912</v>
      </c>
      <c r="N40" s="57"/>
      <c r="O40" s="9"/>
      <c r="P40" s="51" t="s">
        <v>1138</v>
      </c>
      <c r="Q40" s="31" t="s">
        <v>3</v>
      </c>
      <c r="R40" s="9" t="s">
        <v>1139</v>
      </c>
      <c r="S40" s="121" t="s">
        <v>1140</v>
      </c>
      <c r="T40" s="9"/>
    </row>
    <row r="41" spans="1:20">
      <c r="A41" s="7" t="s">
        <v>1141</v>
      </c>
      <c r="B41" s="7" t="s">
        <v>1126</v>
      </c>
      <c r="C41" s="7" t="s">
        <v>769</v>
      </c>
      <c r="D41" s="7" t="s">
        <v>906</v>
      </c>
      <c r="E41" s="32" t="s">
        <v>828</v>
      </c>
      <c r="F41" s="7" t="s">
        <v>39</v>
      </c>
      <c r="G41" s="7" t="s">
        <v>12</v>
      </c>
      <c r="H41" s="7" t="s">
        <v>1142</v>
      </c>
      <c r="I41" s="14" t="s">
        <v>1143</v>
      </c>
      <c r="J41" s="14" t="s">
        <v>1144</v>
      </c>
      <c r="K41" s="28" t="s">
        <v>1145</v>
      </c>
      <c r="L41" s="14" t="s">
        <v>39</v>
      </c>
      <c r="M41" s="33" t="s">
        <v>912</v>
      </c>
      <c r="N41" s="32" t="s">
        <v>912</v>
      </c>
      <c r="O41" s="21" t="s">
        <v>1017</v>
      </c>
      <c r="P41" s="62" t="s">
        <v>1138</v>
      </c>
      <c r="Q41" s="31" t="s">
        <v>3</v>
      </c>
      <c r="R41" s="44">
        <v>46114</v>
      </c>
      <c r="S41" s="121" t="s">
        <v>1146</v>
      </c>
      <c r="T41" s="9"/>
    </row>
    <row r="42" spans="1:20">
      <c r="A42" s="7" t="s">
        <v>1147</v>
      </c>
      <c r="B42" s="7" t="s">
        <v>1126</v>
      </c>
      <c r="C42" s="7" t="s">
        <v>769</v>
      </c>
      <c r="D42" s="7" t="s">
        <v>906</v>
      </c>
      <c r="E42" s="32" t="s">
        <v>1057</v>
      </c>
      <c r="F42" s="7" t="s">
        <v>39</v>
      </c>
      <c r="G42" s="7" t="s">
        <v>12</v>
      </c>
      <c r="H42" s="7" t="s">
        <v>1050</v>
      </c>
      <c r="I42" s="14" t="s">
        <v>1148</v>
      </c>
      <c r="J42" s="14" t="s">
        <v>1149</v>
      </c>
      <c r="K42" s="28" t="s">
        <v>1150</v>
      </c>
      <c r="L42" s="14" t="s">
        <v>39</v>
      </c>
      <c r="M42" s="33" t="s">
        <v>912</v>
      </c>
      <c r="N42" s="32" t="s">
        <v>912</v>
      </c>
      <c r="O42" s="21" t="s">
        <v>1017</v>
      </c>
      <c r="P42" s="14" t="s">
        <v>1151</v>
      </c>
      <c r="Q42" s="9" t="s">
        <v>3</v>
      </c>
      <c r="R42" s="9" t="s">
        <v>1061</v>
      </c>
      <c r="S42" s="121" t="s">
        <v>1152</v>
      </c>
      <c r="T42" s="9"/>
    </row>
    <row r="43" spans="1:20">
      <c r="A43" s="7" t="s">
        <v>1153</v>
      </c>
      <c r="B43" s="7" t="s">
        <v>1154</v>
      </c>
      <c r="C43" s="7" t="s">
        <v>769</v>
      </c>
      <c r="D43" s="7" t="s">
        <v>906</v>
      </c>
      <c r="E43" s="32" t="s">
        <v>1057</v>
      </c>
      <c r="F43" s="7" t="s">
        <v>39</v>
      </c>
      <c r="G43" s="7" t="s">
        <v>12</v>
      </c>
      <c r="H43" s="16" t="s">
        <v>1050</v>
      </c>
      <c r="I43" s="14" t="s">
        <v>1155</v>
      </c>
      <c r="J43" s="14" t="s">
        <v>1156</v>
      </c>
      <c r="K43" s="28" t="s">
        <v>1157</v>
      </c>
      <c r="L43" s="14" t="s">
        <v>39</v>
      </c>
      <c r="M43" s="33" t="s">
        <v>912</v>
      </c>
      <c r="N43" s="32" t="s">
        <v>912</v>
      </c>
      <c r="O43" s="21" t="s">
        <v>1017</v>
      </c>
      <c r="P43" s="14" t="s">
        <v>1151</v>
      </c>
      <c r="Q43" s="9" t="s">
        <v>3</v>
      </c>
      <c r="R43" s="9" t="s">
        <v>1061</v>
      </c>
      <c r="S43" s="121" t="s">
        <v>1152</v>
      </c>
      <c r="T43" s="9"/>
    </row>
    <row r="44" spans="1:20">
      <c r="A44" s="7" t="s">
        <v>1158</v>
      </c>
      <c r="B44" s="7" t="s">
        <v>1159</v>
      </c>
      <c r="C44" s="7" t="s">
        <v>754</v>
      </c>
      <c r="D44" s="7" t="s">
        <v>906</v>
      </c>
      <c r="E44" s="32" t="s">
        <v>1057</v>
      </c>
      <c r="F44" s="9" t="s">
        <v>39</v>
      </c>
      <c r="G44" s="7" t="s">
        <v>16</v>
      </c>
      <c r="H44" s="7" t="s">
        <v>969</v>
      </c>
      <c r="I44" s="13" t="s">
        <v>1160</v>
      </c>
      <c r="J44" s="14" t="s">
        <v>1161</v>
      </c>
      <c r="K44" s="28" t="s">
        <v>1162</v>
      </c>
      <c r="L44" s="28" t="s">
        <v>1163</v>
      </c>
      <c r="M44" s="33" t="s">
        <v>912</v>
      </c>
      <c r="N44" s="32" t="s">
        <v>973</v>
      </c>
      <c r="O44" s="21" t="s">
        <v>1017</v>
      </c>
      <c r="P44" s="62"/>
      <c r="Q44" s="9" t="s">
        <v>3</v>
      </c>
      <c r="R44" s="44" t="s">
        <v>1164</v>
      </c>
      <c r="S44" s="121" t="s">
        <v>1165</v>
      </c>
      <c r="T44" s="9" t="s">
        <v>1028</v>
      </c>
    </row>
    <row r="45" spans="1:20">
      <c r="A45" s="7" t="s">
        <v>1166</v>
      </c>
      <c r="B45" s="7" t="s">
        <v>1046</v>
      </c>
      <c r="C45" s="7" t="s">
        <v>746</v>
      </c>
      <c r="D45" s="7" t="s">
        <v>906</v>
      </c>
      <c r="E45" s="32" t="s">
        <v>1057</v>
      </c>
      <c r="F45" s="9" t="s">
        <v>39</v>
      </c>
      <c r="G45" s="9" t="s">
        <v>12</v>
      </c>
      <c r="H45" s="7" t="s">
        <v>1085</v>
      </c>
      <c r="I45" s="13" t="s">
        <v>1167</v>
      </c>
      <c r="J45" s="14" t="s">
        <v>1168</v>
      </c>
      <c r="K45" s="28" t="s">
        <v>1169</v>
      </c>
      <c r="L45" s="14" t="s">
        <v>39</v>
      </c>
      <c r="M45" s="33" t="s">
        <v>912</v>
      </c>
      <c r="N45" s="32" t="s">
        <v>912</v>
      </c>
      <c r="O45" s="21" t="s">
        <v>1017</v>
      </c>
      <c r="P45" s="62" t="s">
        <v>1138</v>
      </c>
      <c r="Q45" s="31" t="s">
        <v>3</v>
      </c>
      <c r="R45" s="44">
        <v>46114</v>
      </c>
      <c r="S45" s="121" t="s">
        <v>1146</v>
      </c>
      <c r="T45" s="9"/>
    </row>
    <row r="46" spans="1:20">
      <c r="A46" s="7" t="s">
        <v>1170</v>
      </c>
      <c r="B46" s="7" t="s">
        <v>1046</v>
      </c>
      <c r="C46" s="7" t="s">
        <v>754</v>
      </c>
      <c r="D46" s="7" t="s">
        <v>906</v>
      </c>
      <c r="E46" s="32" t="s">
        <v>1108</v>
      </c>
      <c r="F46" s="9" t="s">
        <v>39</v>
      </c>
      <c r="G46" s="7" t="s">
        <v>16</v>
      </c>
      <c r="H46" s="7" t="s">
        <v>1171</v>
      </c>
      <c r="I46" s="13" t="s">
        <v>1172</v>
      </c>
      <c r="J46" s="14" t="s">
        <v>1173</v>
      </c>
      <c r="K46" s="56" t="s">
        <v>1174</v>
      </c>
      <c r="L46" s="56" t="s">
        <v>39</v>
      </c>
      <c r="M46" s="33" t="s">
        <v>912</v>
      </c>
      <c r="N46" s="32" t="s">
        <v>973</v>
      </c>
      <c r="O46" s="62"/>
      <c r="P46" s="52"/>
      <c r="Q46" s="9" t="s">
        <v>3</v>
      </c>
      <c r="R46" s="44" t="s">
        <v>1164</v>
      </c>
      <c r="S46" s="121" t="s">
        <v>1175</v>
      </c>
      <c r="T46" s="9" t="s">
        <v>1028</v>
      </c>
    </row>
    <row r="47" spans="1:20">
      <c r="A47" s="7" t="s">
        <v>1176</v>
      </c>
      <c r="B47" s="7" t="s">
        <v>1046</v>
      </c>
      <c r="C47" s="7" t="s">
        <v>746</v>
      </c>
      <c r="D47" s="7" t="s">
        <v>906</v>
      </c>
      <c r="E47" s="32" t="s">
        <v>828</v>
      </c>
      <c r="F47" s="9" t="s">
        <v>39</v>
      </c>
      <c r="G47" s="7" t="s">
        <v>16</v>
      </c>
      <c r="H47" s="7" t="s">
        <v>1109</v>
      </c>
      <c r="I47" s="13" t="s">
        <v>1177</v>
      </c>
      <c r="J47" s="14" t="s">
        <v>1178</v>
      </c>
      <c r="K47" s="56" t="s">
        <v>1179</v>
      </c>
      <c r="L47" s="56" t="s">
        <v>39</v>
      </c>
      <c r="M47" s="33" t="s">
        <v>912</v>
      </c>
      <c r="N47" s="32" t="s">
        <v>973</v>
      </c>
      <c r="O47" s="21" t="s">
        <v>1028</v>
      </c>
      <c r="P47" s="62"/>
      <c r="Q47" s="9" t="s">
        <v>3</v>
      </c>
      <c r="R47" s="44" t="s">
        <v>1089</v>
      </c>
      <c r="S47" s="121" t="s">
        <v>1180</v>
      </c>
      <c r="T47" s="9" t="s">
        <v>868</v>
      </c>
    </row>
    <row r="48" spans="1:20">
      <c r="A48" s="7" t="s">
        <v>1181</v>
      </c>
      <c r="B48" s="7" t="s">
        <v>1046</v>
      </c>
      <c r="C48" s="7" t="s">
        <v>746</v>
      </c>
      <c r="D48" s="7" t="s">
        <v>906</v>
      </c>
      <c r="E48" s="32" t="s">
        <v>828</v>
      </c>
      <c r="F48" s="9" t="s">
        <v>39</v>
      </c>
      <c r="G48" s="9" t="s">
        <v>12</v>
      </c>
      <c r="H48" s="7" t="s">
        <v>1182</v>
      </c>
      <c r="I48" s="13" t="s">
        <v>1183</v>
      </c>
      <c r="J48" s="55" t="s">
        <v>1184</v>
      </c>
      <c r="K48" s="28" t="s">
        <v>1185</v>
      </c>
      <c r="L48" s="14" t="s">
        <v>39</v>
      </c>
      <c r="M48" s="33" t="s">
        <v>912</v>
      </c>
      <c r="N48" s="32" t="s">
        <v>912</v>
      </c>
      <c r="O48" s="21" t="s">
        <v>1028</v>
      </c>
      <c r="P48" s="52"/>
      <c r="Q48" s="9" t="s">
        <v>3</v>
      </c>
      <c r="R48" s="44">
        <v>46114</v>
      </c>
      <c r="S48" s="121"/>
      <c r="T48" s="9"/>
    </row>
    <row r="49" spans="1:20" s="400" customFormat="1">
      <c r="A49" s="292" t="s">
        <v>1186</v>
      </c>
      <c r="B49" s="292" t="s">
        <v>1046</v>
      </c>
      <c r="C49" s="292" t="s">
        <v>746</v>
      </c>
      <c r="D49" s="292" t="s">
        <v>906</v>
      </c>
      <c r="E49" s="294" t="s">
        <v>828</v>
      </c>
      <c r="F49" s="395" t="s">
        <v>39</v>
      </c>
      <c r="G49" s="395" t="s">
        <v>6</v>
      </c>
      <c r="H49" s="292" t="s">
        <v>1182</v>
      </c>
      <c r="I49" s="396" t="s">
        <v>1187</v>
      </c>
      <c r="J49" s="295" t="s">
        <v>1188</v>
      </c>
      <c r="K49" s="296" t="s">
        <v>1189</v>
      </c>
      <c r="L49" s="295" t="s">
        <v>39</v>
      </c>
      <c r="M49" s="397" t="s">
        <v>912</v>
      </c>
      <c r="N49" s="294" t="s">
        <v>1190</v>
      </c>
      <c r="O49" s="398" t="s">
        <v>1028</v>
      </c>
      <c r="P49" s="401" t="s">
        <v>1191</v>
      </c>
      <c r="Q49" s="395" t="s">
        <v>4</v>
      </c>
      <c r="R49" s="399">
        <v>46329</v>
      </c>
      <c r="S49" s="402" t="s">
        <v>1192</v>
      </c>
      <c r="T49" s="395"/>
    </row>
    <row r="50" spans="1:20">
      <c r="A50" s="7" t="s">
        <v>1193</v>
      </c>
      <c r="B50" s="82" t="s">
        <v>1046</v>
      </c>
      <c r="C50" s="82" t="s">
        <v>754</v>
      </c>
      <c r="D50" s="105" t="s">
        <v>906</v>
      </c>
      <c r="E50" s="82" t="s">
        <v>828</v>
      </c>
      <c r="F50" s="83" t="s">
        <v>39</v>
      </c>
      <c r="G50" s="83" t="s">
        <v>12</v>
      </c>
      <c r="H50" s="82" t="s">
        <v>1030</v>
      </c>
      <c r="I50" s="84" t="s">
        <v>1194</v>
      </c>
      <c r="J50" s="85" t="s">
        <v>1195</v>
      </c>
      <c r="K50" s="86" t="s">
        <v>1196</v>
      </c>
      <c r="L50" s="91" t="s">
        <v>39</v>
      </c>
      <c r="M50" s="87" t="s">
        <v>912</v>
      </c>
      <c r="N50" s="7"/>
      <c r="O50" s="31"/>
      <c r="P50" s="52"/>
      <c r="Q50" s="9" t="s">
        <v>5</v>
      </c>
      <c r="R50" s="9" t="s">
        <v>1033</v>
      </c>
      <c r="S50" s="121" t="s">
        <v>1197</v>
      </c>
      <c r="T50" s="9"/>
    </row>
    <row r="51" spans="1:20">
      <c r="A51" s="7" t="s">
        <v>1198</v>
      </c>
      <c r="B51" s="47">
        <v>46114</v>
      </c>
      <c r="C51" s="9" t="s">
        <v>754</v>
      </c>
      <c r="D51" s="7" t="s">
        <v>906</v>
      </c>
      <c r="E51" s="37" t="s">
        <v>755</v>
      </c>
      <c r="F51" s="9" t="s">
        <v>39</v>
      </c>
      <c r="G51" s="7" t="s">
        <v>16</v>
      </c>
      <c r="H51" s="7" t="s">
        <v>1030</v>
      </c>
      <c r="I51" s="13" t="s">
        <v>1199</v>
      </c>
      <c r="J51" s="14" t="s">
        <v>1200</v>
      </c>
      <c r="K51" s="56" t="s">
        <v>1201</v>
      </c>
      <c r="L51" s="14" t="s">
        <v>39</v>
      </c>
      <c r="M51" s="33" t="s">
        <v>912</v>
      </c>
      <c r="N51" s="32" t="s">
        <v>973</v>
      </c>
      <c r="O51" s="21" t="s">
        <v>1028</v>
      </c>
      <c r="P51" s="62"/>
      <c r="Q51" s="9" t="s">
        <v>3</v>
      </c>
      <c r="R51" s="44" t="s">
        <v>1164</v>
      </c>
      <c r="S51" s="121" t="s">
        <v>1202</v>
      </c>
      <c r="T51" s="9" t="s">
        <v>1028</v>
      </c>
    </row>
    <row r="52" spans="1:20">
      <c r="A52" s="7" t="s">
        <v>1203</v>
      </c>
      <c r="B52" s="47">
        <v>46114</v>
      </c>
      <c r="C52" s="9" t="s">
        <v>746</v>
      </c>
      <c r="D52" s="7" t="s">
        <v>906</v>
      </c>
      <c r="E52" s="37" t="s">
        <v>755</v>
      </c>
      <c r="F52" s="9" t="s">
        <v>39</v>
      </c>
      <c r="G52" s="7" t="s">
        <v>16</v>
      </c>
      <c r="H52" s="7" t="s">
        <v>1204</v>
      </c>
      <c r="I52" s="13" t="s">
        <v>1205</v>
      </c>
      <c r="J52" s="14" t="s">
        <v>1206</v>
      </c>
      <c r="K52" s="56" t="s">
        <v>1207</v>
      </c>
      <c r="L52" s="14" t="s">
        <v>39</v>
      </c>
      <c r="M52" s="32" t="s">
        <v>912</v>
      </c>
      <c r="N52" s="17" t="s">
        <v>973</v>
      </c>
      <c r="O52" s="9"/>
      <c r="P52" s="62"/>
      <c r="Q52" s="9" t="s">
        <v>3</v>
      </c>
      <c r="R52" s="44">
        <v>46114</v>
      </c>
      <c r="S52" s="121" t="s">
        <v>1208</v>
      </c>
      <c r="T52" s="9"/>
    </row>
    <row r="53" spans="1:20">
      <c r="A53" s="7" t="s">
        <v>1209</v>
      </c>
      <c r="B53" s="47">
        <v>46114</v>
      </c>
      <c r="C53" s="7" t="s">
        <v>746</v>
      </c>
      <c r="D53" s="17" t="s">
        <v>906</v>
      </c>
      <c r="E53" s="32" t="s">
        <v>1057</v>
      </c>
      <c r="F53" s="9" t="s">
        <v>39</v>
      </c>
      <c r="G53" s="9" t="s">
        <v>12</v>
      </c>
      <c r="H53" s="7" t="s">
        <v>1109</v>
      </c>
      <c r="I53" s="13" t="s">
        <v>1210</v>
      </c>
      <c r="J53" s="14" t="s">
        <v>1211</v>
      </c>
      <c r="K53" s="56" t="s">
        <v>1212</v>
      </c>
      <c r="L53" s="56" t="s">
        <v>1213</v>
      </c>
      <c r="M53" s="32" t="s">
        <v>912</v>
      </c>
      <c r="N53" s="32" t="s">
        <v>752</v>
      </c>
      <c r="O53" s="7" t="s">
        <v>1028</v>
      </c>
      <c r="P53" s="71" t="s">
        <v>1081</v>
      </c>
      <c r="Q53" s="9" t="s">
        <v>3</v>
      </c>
      <c r="R53" s="44">
        <v>46267</v>
      </c>
      <c r="S53" s="121" t="s">
        <v>1214</v>
      </c>
      <c r="T53" s="9"/>
    </row>
    <row r="54" spans="1:20">
      <c r="A54" s="7" t="s">
        <v>1215</v>
      </c>
      <c r="B54" s="47">
        <v>46175</v>
      </c>
      <c r="C54" s="7" t="s">
        <v>754</v>
      </c>
      <c r="D54" s="7" t="s">
        <v>906</v>
      </c>
      <c r="E54" s="32" t="s">
        <v>1216</v>
      </c>
      <c r="F54" s="9" t="s">
        <v>39</v>
      </c>
      <c r="G54" s="9" t="s">
        <v>6</v>
      </c>
      <c r="H54" s="7" t="s">
        <v>907</v>
      </c>
      <c r="I54" s="53" t="s">
        <v>1217</v>
      </c>
      <c r="J54" s="14" t="s">
        <v>1218</v>
      </c>
      <c r="K54" s="28" t="s">
        <v>1219</v>
      </c>
      <c r="L54" s="14" t="s">
        <v>39</v>
      </c>
      <c r="M54" s="32" t="s">
        <v>912</v>
      </c>
      <c r="N54" s="7" t="s">
        <v>752</v>
      </c>
      <c r="O54" s="7" t="s">
        <v>1028</v>
      </c>
      <c r="P54" s="62" t="s">
        <v>1220</v>
      </c>
      <c r="Q54" s="9" t="s">
        <v>3</v>
      </c>
      <c r="R54" s="9" t="s">
        <v>1073</v>
      </c>
      <c r="S54" s="121" t="s">
        <v>1221</v>
      </c>
      <c r="T54" s="9"/>
    </row>
    <row r="55" spans="1:20">
      <c r="A55" s="7" t="s">
        <v>1222</v>
      </c>
      <c r="B55" s="47">
        <v>46175</v>
      </c>
      <c r="C55" s="7" t="s">
        <v>754</v>
      </c>
      <c r="D55" s="7" t="s">
        <v>906</v>
      </c>
      <c r="E55" s="32" t="s">
        <v>767</v>
      </c>
      <c r="F55" s="9" t="s">
        <v>39</v>
      </c>
      <c r="G55" s="9" t="s">
        <v>12</v>
      </c>
      <c r="H55" s="9" t="s">
        <v>804</v>
      </c>
      <c r="I55" s="14" t="s">
        <v>1223</v>
      </c>
      <c r="J55" s="13" t="s">
        <v>1224</v>
      </c>
      <c r="K55" s="56" t="s">
        <v>1225</v>
      </c>
      <c r="L55" s="14" t="s">
        <v>39</v>
      </c>
      <c r="M55" s="32" t="s">
        <v>912</v>
      </c>
      <c r="N55" s="7" t="s">
        <v>752</v>
      </c>
      <c r="O55" s="7" t="s">
        <v>1028</v>
      </c>
      <c r="P55" s="14" t="s">
        <v>1072</v>
      </c>
      <c r="Q55" s="9" t="s">
        <v>3</v>
      </c>
      <c r="R55" s="9" t="s">
        <v>1089</v>
      </c>
      <c r="S55" s="121" t="s">
        <v>1226</v>
      </c>
      <c r="T55" s="9"/>
    </row>
    <row r="56" spans="1:20">
      <c r="A56" s="7" t="s">
        <v>1227</v>
      </c>
      <c r="B56" s="47">
        <v>46175</v>
      </c>
      <c r="C56" s="7" t="s">
        <v>746</v>
      </c>
      <c r="D56" s="7" t="s">
        <v>906</v>
      </c>
      <c r="E56" s="32" t="s">
        <v>828</v>
      </c>
      <c r="F56" s="9" t="s">
        <v>39</v>
      </c>
      <c r="G56" s="9" t="s">
        <v>6</v>
      </c>
      <c r="H56" s="7" t="s">
        <v>1021</v>
      </c>
      <c r="I56" s="142" t="s">
        <v>1228</v>
      </c>
      <c r="J56" s="13" t="s">
        <v>1229</v>
      </c>
      <c r="K56" s="56" t="s">
        <v>1230</v>
      </c>
      <c r="L56" s="14" t="s">
        <v>39</v>
      </c>
      <c r="M56" s="32" t="s">
        <v>912</v>
      </c>
      <c r="N56" s="16" t="s">
        <v>752</v>
      </c>
      <c r="O56" s="7"/>
      <c r="P56" s="14" t="s">
        <v>1231</v>
      </c>
      <c r="Q56" s="19" t="s">
        <v>5</v>
      </c>
      <c r="R56" s="9" t="s">
        <v>1089</v>
      </c>
      <c r="S56" s="121" t="s">
        <v>1232</v>
      </c>
      <c r="T56" s="9"/>
    </row>
    <row r="57" spans="1:20">
      <c r="A57" s="7" t="s">
        <v>1233</v>
      </c>
      <c r="B57" s="47" t="s">
        <v>1139</v>
      </c>
      <c r="C57" s="7" t="s">
        <v>746</v>
      </c>
      <c r="D57" s="7" t="s">
        <v>906</v>
      </c>
      <c r="E57" s="32" t="s">
        <v>1003</v>
      </c>
      <c r="F57" s="9" t="s">
        <v>39</v>
      </c>
      <c r="G57" s="9" t="s">
        <v>12</v>
      </c>
      <c r="H57" s="9" t="s">
        <v>1109</v>
      </c>
      <c r="I57" s="14" t="s">
        <v>1234</v>
      </c>
      <c r="J57" s="13" t="s">
        <v>1235</v>
      </c>
      <c r="K57" s="28" t="s">
        <v>1236</v>
      </c>
      <c r="L57" s="15" t="s">
        <v>39</v>
      </c>
      <c r="M57" s="9" t="s">
        <v>912</v>
      </c>
      <c r="N57" s="32" t="s">
        <v>752</v>
      </c>
      <c r="P57" s="59"/>
      <c r="Q57" s="7" t="s">
        <v>4</v>
      </c>
      <c r="R57" s="159">
        <v>46267</v>
      </c>
      <c r="S57" s="14" t="s">
        <v>1237</v>
      </c>
      <c r="T57" s="9" t="s">
        <v>1028</v>
      </c>
    </row>
    <row r="58" spans="1:20">
      <c r="A58" s="7" t="s">
        <v>1238</v>
      </c>
      <c r="B58" s="47">
        <v>46267</v>
      </c>
      <c r="C58" s="7" t="s">
        <v>754</v>
      </c>
      <c r="D58" s="7" t="s">
        <v>906</v>
      </c>
      <c r="E58" s="32" t="s">
        <v>828</v>
      </c>
      <c r="F58" s="7" t="s">
        <v>39</v>
      </c>
      <c r="G58" s="17" t="s">
        <v>16</v>
      </c>
      <c r="H58" s="30" t="s">
        <v>1050</v>
      </c>
      <c r="I58" s="12" t="s">
        <v>1239</v>
      </c>
      <c r="J58" s="13" t="s">
        <v>1240</v>
      </c>
      <c r="K58" s="28" t="s">
        <v>1241</v>
      </c>
      <c r="L58" s="14" t="s">
        <v>39</v>
      </c>
      <c r="M58" s="32" t="s">
        <v>749</v>
      </c>
      <c r="N58" s="65" t="s">
        <v>973</v>
      </c>
      <c r="O58" s="7"/>
      <c r="P58" s="14" t="s">
        <v>1242</v>
      </c>
      <c r="Q58" s="30" t="s">
        <v>4</v>
      </c>
      <c r="R58" s="9" t="s">
        <v>1026</v>
      </c>
      <c r="S58" s="121" t="s">
        <v>1243</v>
      </c>
      <c r="T58" s="9" t="s">
        <v>1028</v>
      </c>
    </row>
    <row r="59" spans="1:20">
      <c r="A59" s="7" t="s">
        <v>1244</v>
      </c>
      <c r="B59" s="47">
        <v>46328</v>
      </c>
      <c r="C59" s="7" t="s">
        <v>746</v>
      </c>
      <c r="D59" s="7" t="s">
        <v>906</v>
      </c>
      <c r="E59" s="32" t="s">
        <v>828</v>
      </c>
      <c r="F59" s="7" t="s">
        <v>39</v>
      </c>
      <c r="G59" s="7" t="s">
        <v>12</v>
      </c>
      <c r="H59" s="9" t="s">
        <v>1245</v>
      </c>
      <c r="I59" s="14" t="s">
        <v>1246</v>
      </c>
      <c r="J59" s="13" t="s">
        <v>1247</v>
      </c>
      <c r="K59" s="28" t="s">
        <v>1248</v>
      </c>
      <c r="L59" s="28" t="s">
        <v>1249</v>
      </c>
      <c r="M59" s="32" t="s">
        <v>749</v>
      </c>
      <c r="N59" s="32" t="s">
        <v>752</v>
      </c>
      <c r="O59" s="7" t="s">
        <v>1028</v>
      </c>
      <c r="P59" s="14" t="s">
        <v>1072</v>
      </c>
      <c r="Q59" s="9" t="s">
        <v>3</v>
      </c>
      <c r="R59" s="9" t="s">
        <v>1073</v>
      </c>
      <c r="S59" s="121" t="s">
        <v>1250</v>
      </c>
      <c r="T59" s="9"/>
    </row>
    <row r="60" spans="1:20">
      <c r="A60" s="7" t="s">
        <v>1251</v>
      </c>
      <c r="B60" s="47">
        <v>46328</v>
      </c>
      <c r="C60" s="7" t="s">
        <v>769</v>
      </c>
      <c r="D60" s="7" t="s">
        <v>906</v>
      </c>
      <c r="E60" s="32" t="s">
        <v>828</v>
      </c>
      <c r="F60" s="7" t="s">
        <v>1252</v>
      </c>
      <c r="G60" s="7" t="s">
        <v>12</v>
      </c>
      <c r="H60" s="7" t="s">
        <v>1253</v>
      </c>
      <c r="I60" s="46" t="s">
        <v>1254</v>
      </c>
      <c r="J60" s="138" t="s">
        <v>1255</v>
      </c>
      <c r="K60" s="28" t="s">
        <v>1256</v>
      </c>
      <c r="L60" s="28" t="s">
        <v>1257</v>
      </c>
      <c r="M60" s="32" t="s">
        <v>749</v>
      </c>
      <c r="N60" s="32" t="s">
        <v>752</v>
      </c>
      <c r="O60" s="7" t="s">
        <v>1028</v>
      </c>
      <c r="P60" s="14" t="s">
        <v>1072</v>
      </c>
      <c r="Q60" s="9" t="s">
        <v>3</v>
      </c>
      <c r="R60" s="9" t="s">
        <v>1073</v>
      </c>
      <c r="S60" s="121" t="s">
        <v>1258</v>
      </c>
      <c r="T60" s="9"/>
    </row>
    <row r="61" spans="1:20">
      <c r="A61" s="7" t="s">
        <v>1259</v>
      </c>
      <c r="B61" s="47">
        <v>46328</v>
      </c>
      <c r="C61" s="7" t="s">
        <v>746</v>
      </c>
      <c r="D61" s="7" t="s">
        <v>906</v>
      </c>
      <c r="E61" s="32" t="s">
        <v>828</v>
      </c>
      <c r="F61" s="7" t="s">
        <v>1252</v>
      </c>
      <c r="G61" s="7" t="s">
        <v>12</v>
      </c>
      <c r="H61" s="7" t="s">
        <v>1260</v>
      </c>
      <c r="I61" s="14" t="s">
        <v>1261</v>
      </c>
      <c r="J61" s="14" t="s">
        <v>1262</v>
      </c>
      <c r="K61" s="14" t="s">
        <v>39</v>
      </c>
      <c r="L61" s="14" t="s">
        <v>39</v>
      </c>
      <c r="M61" s="32" t="s">
        <v>749</v>
      </c>
      <c r="N61" s="32" t="s">
        <v>752</v>
      </c>
      <c r="O61" s="7" t="s">
        <v>1028</v>
      </c>
      <c r="P61" s="14" t="s">
        <v>1263</v>
      </c>
      <c r="Q61" s="9" t="s">
        <v>1264</v>
      </c>
      <c r="R61" s="9" t="s">
        <v>1089</v>
      </c>
      <c r="S61" s="121" t="s">
        <v>1265</v>
      </c>
      <c r="T61" s="9"/>
    </row>
    <row r="62" spans="1:20">
      <c r="A62" s="7" t="s">
        <v>1266</v>
      </c>
      <c r="B62" s="47">
        <v>46328</v>
      </c>
      <c r="C62" s="7" t="s">
        <v>769</v>
      </c>
      <c r="D62" s="7" t="s">
        <v>906</v>
      </c>
      <c r="E62" s="32" t="s">
        <v>828</v>
      </c>
      <c r="F62" s="7" t="s">
        <v>1252</v>
      </c>
      <c r="G62" s="7" t="s">
        <v>12</v>
      </c>
      <c r="H62" s="7" t="s">
        <v>1253</v>
      </c>
      <c r="I62" s="14" t="s">
        <v>1267</v>
      </c>
      <c r="J62" s="14" t="s">
        <v>1268</v>
      </c>
      <c r="K62" s="14" t="s">
        <v>39</v>
      </c>
      <c r="L62" s="14" t="s">
        <v>39</v>
      </c>
      <c r="M62" s="32" t="s">
        <v>749</v>
      </c>
      <c r="N62" s="32" t="s">
        <v>752</v>
      </c>
      <c r="O62" s="7"/>
      <c r="P62" s="14"/>
      <c r="Q62" s="9" t="s">
        <v>3</v>
      </c>
      <c r="R62" s="9" t="s">
        <v>1089</v>
      </c>
      <c r="S62" s="121" t="s">
        <v>1269</v>
      </c>
      <c r="T62" s="9"/>
    </row>
    <row r="63" spans="1:20">
      <c r="A63" s="7" t="s">
        <v>1270</v>
      </c>
      <c r="B63" s="7" t="s">
        <v>1271</v>
      </c>
      <c r="C63" s="7" t="s">
        <v>746</v>
      </c>
      <c r="D63" s="7" t="s">
        <v>906</v>
      </c>
      <c r="E63" s="32" t="s">
        <v>1057</v>
      </c>
      <c r="F63" s="7" t="s">
        <v>39</v>
      </c>
      <c r="G63" s="7" t="s">
        <v>6</v>
      </c>
      <c r="H63" s="7" t="s">
        <v>1272</v>
      </c>
      <c r="I63" s="14" t="s">
        <v>1273</v>
      </c>
      <c r="J63" s="14" t="s">
        <v>1274</v>
      </c>
      <c r="K63" s="56" t="s">
        <v>1275</v>
      </c>
      <c r="L63" s="56" t="s">
        <v>1276</v>
      </c>
      <c r="M63" s="32" t="s">
        <v>912</v>
      </c>
      <c r="N63" s="32"/>
      <c r="O63" s="7"/>
      <c r="P63" s="14" t="s">
        <v>1277</v>
      </c>
      <c r="Q63" s="9" t="s">
        <v>3</v>
      </c>
      <c r="R63" s="9" t="s">
        <v>1278</v>
      </c>
      <c r="S63" s="121" t="s">
        <v>1279</v>
      </c>
      <c r="T63" s="9"/>
    </row>
    <row r="64" spans="1:20">
      <c r="A64" s="7" t="s">
        <v>1280</v>
      </c>
      <c r="B64" s="7" t="s">
        <v>1061</v>
      </c>
      <c r="C64" s="7" t="s">
        <v>746</v>
      </c>
      <c r="D64" s="7" t="s">
        <v>906</v>
      </c>
      <c r="E64" s="32" t="s">
        <v>828</v>
      </c>
      <c r="F64" s="7" t="s">
        <v>39</v>
      </c>
      <c r="G64" s="7" t="s">
        <v>6</v>
      </c>
      <c r="H64" s="7" t="s">
        <v>907</v>
      </c>
      <c r="I64" s="14" t="s">
        <v>1281</v>
      </c>
      <c r="J64" s="14" t="s">
        <v>1282</v>
      </c>
      <c r="K64" s="56" t="s">
        <v>1283</v>
      </c>
      <c r="L64" s="14" t="s">
        <v>39</v>
      </c>
      <c r="M64" s="32" t="s">
        <v>912</v>
      </c>
      <c r="N64" s="32"/>
      <c r="O64" s="7"/>
      <c r="P64" s="14" t="s">
        <v>1284</v>
      </c>
      <c r="Q64" s="9" t="s">
        <v>3</v>
      </c>
      <c r="R64" s="9" t="s">
        <v>1278</v>
      </c>
      <c r="S64" s="121" t="s">
        <v>1285</v>
      </c>
      <c r="T64" s="9"/>
    </row>
    <row r="65" spans="1:20">
      <c r="A65" s="7" t="s">
        <v>1286</v>
      </c>
      <c r="B65" s="7" t="s">
        <v>1061</v>
      </c>
      <c r="C65" s="7" t="s">
        <v>746</v>
      </c>
      <c r="D65" s="7" t="s">
        <v>906</v>
      </c>
      <c r="E65" s="32" t="s">
        <v>828</v>
      </c>
      <c r="F65" s="7" t="s">
        <v>39</v>
      </c>
      <c r="G65" s="7" t="s">
        <v>6</v>
      </c>
      <c r="H65" s="7" t="s">
        <v>907</v>
      </c>
      <c r="I65" s="14" t="s">
        <v>1287</v>
      </c>
      <c r="J65" s="14" t="s">
        <v>1288</v>
      </c>
      <c r="K65" s="56" t="s">
        <v>1289</v>
      </c>
      <c r="L65" s="14" t="s">
        <v>39</v>
      </c>
      <c r="M65" s="32" t="s">
        <v>912</v>
      </c>
      <c r="N65" s="32" t="s">
        <v>1009</v>
      </c>
      <c r="O65" s="7"/>
      <c r="P65" s="14" t="s">
        <v>1290</v>
      </c>
      <c r="Q65" s="9" t="s">
        <v>3</v>
      </c>
      <c r="R65" s="9" t="s">
        <v>1089</v>
      </c>
      <c r="S65" s="121" t="s">
        <v>1291</v>
      </c>
      <c r="T65" s="9"/>
    </row>
    <row r="66" spans="1:20">
      <c r="A66" s="7" t="s">
        <v>1292</v>
      </c>
      <c r="B66" s="7" t="s">
        <v>1061</v>
      </c>
      <c r="C66" s="7" t="s">
        <v>754</v>
      </c>
      <c r="D66" s="7" t="s">
        <v>906</v>
      </c>
      <c r="E66" s="32" t="s">
        <v>828</v>
      </c>
      <c r="F66" s="7" t="s">
        <v>39</v>
      </c>
      <c r="G66" s="7" t="s">
        <v>6</v>
      </c>
      <c r="H66" s="7" t="s">
        <v>907</v>
      </c>
      <c r="I66" s="14" t="s">
        <v>1293</v>
      </c>
      <c r="J66" s="14" t="s">
        <v>1294</v>
      </c>
      <c r="K66" s="56" t="s">
        <v>1295</v>
      </c>
      <c r="L66" s="14" t="s">
        <v>39</v>
      </c>
      <c r="M66" s="32" t="s">
        <v>912</v>
      </c>
      <c r="N66" s="32" t="s">
        <v>752</v>
      </c>
      <c r="O66" s="7" t="s">
        <v>1028</v>
      </c>
      <c r="P66" s="14" t="s">
        <v>1296</v>
      </c>
      <c r="Q66" s="9" t="s">
        <v>1264</v>
      </c>
      <c r="R66" s="44">
        <v>46145</v>
      </c>
      <c r="S66" s="121" t="s">
        <v>1297</v>
      </c>
      <c r="T66" s="9"/>
    </row>
    <row r="67" spans="1:20">
      <c r="A67" s="7" t="s">
        <v>1298</v>
      </c>
      <c r="B67" s="7" t="s">
        <v>1061</v>
      </c>
      <c r="C67" s="7" t="s">
        <v>754</v>
      </c>
      <c r="D67" s="7" t="s">
        <v>906</v>
      </c>
      <c r="E67" s="32" t="s">
        <v>828</v>
      </c>
      <c r="F67" s="7" t="s">
        <v>39</v>
      </c>
      <c r="G67" s="7" t="s">
        <v>6</v>
      </c>
      <c r="H67" s="7" t="s">
        <v>907</v>
      </c>
      <c r="I67" s="14" t="s">
        <v>1299</v>
      </c>
      <c r="J67" s="14" t="s">
        <v>1300</v>
      </c>
      <c r="K67" s="56" t="s">
        <v>1301</v>
      </c>
      <c r="L67" s="14" t="s">
        <v>39</v>
      </c>
      <c r="M67" s="32" t="s">
        <v>912</v>
      </c>
      <c r="N67" s="32" t="s">
        <v>752</v>
      </c>
      <c r="O67" s="7"/>
      <c r="P67" s="14" t="s">
        <v>1296</v>
      </c>
      <c r="Q67" s="9" t="s">
        <v>1264</v>
      </c>
      <c r="R67" s="44">
        <v>46145</v>
      </c>
      <c r="S67" s="121" t="s">
        <v>1302</v>
      </c>
      <c r="T67" s="9"/>
    </row>
    <row r="68" spans="1:20">
      <c r="A68" s="7" t="s">
        <v>1303</v>
      </c>
      <c r="B68" s="7" t="s">
        <v>1061</v>
      </c>
      <c r="C68" s="7" t="s">
        <v>754</v>
      </c>
      <c r="D68" s="7" t="s">
        <v>906</v>
      </c>
      <c r="E68" s="32" t="s">
        <v>828</v>
      </c>
      <c r="F68" s="7" t="s">
        <v>39</v>
      </c>
      <c r="G68" s="7" t="s">
        <v>6</v>
      </c>
      <c r="H68" s="7" t="s">
        <v>907</v>
      </c>
      <c r="I68" s="14" t="s">
        <v>1304</v>
      </c>
      <c r="J68" s="14" t="s">
        <v>1305</v>
      </c>
      <c r="K68" s="56" t="s">
        <v>1306</v>
      </c>
      <c r="L68" s="14" t="s">
        <v>39</v>
      </c>
      <c r="M68" s="32" t="s">
        <v>912</v>
      </c>
      <c r="N68" s="32"/>
      <c r="O68" s="7"/>
      <c r="P68" s="14" t="s">
        <v>1307</v>
      </c>
      <c r="Q68" s="9" t="s">
        <v>3</v>
      </c>
      <c r="R68" s="9" t="s">
        <v>1089</v>
      </c>
      <c r="S68" s="121" t="s">
        <v>1308</v>
      </c>
      <c r="T68" s="9"/>
    </row>
    <row r="69" spans="1:20">
      <c r="A69" s="7" t="s">
        <v>1309</v>
      </c>
      <c r="B69" s="7" t="s">
        <v>1061</v>
      </c>
      <c r="C69" s="7" t="s">
        <v>754</v>
      </c>
      <c r="D69" s="7" t="s">
        <v>906</v>
      </c>
      <c r="E69" s="32" t="s">
        <v>828</v>
      </c>
      <c r="F69" s="7" t="s">
        <v>39</v>
      </c>
      <c r="G69" s="7" t="s">
        <v>6</v>
      </c>
      <c r="H69" s="7" t="s">
        <v>907</v>
      </c>
      <c r="I69" s="14" t="s">
        <v>1310</v>
      </c>
      <c r="J69" s="14" t="s">
        <v>1311</v>
      </c>
      <c r="K69" s="56" t="s">
        <v>1312</v>
      </c>
      <c r="L69" s="14" t="s">
        <v>39</v>
      </c>
      <c r="M69" s="32" t="s">
        <v>912</v>
      </c>
      <c r="N69" s="32"/>
      <c r="O69" s="7"/>
      <c r="P69" s="14" t="s">
        <v>1307</v>
      </c>
      <c r="Q69" s="9" t="s">
        <v>3</v>
      </c>
      <c r="R69" s="9" t="s">
        <v>1089</v>
      </c>
      <c r="S69" s="121" t="s">
        <v>1308</v>
      </c>
      <c r="T69" s="9"/>
    </row>
    <row r="70" spans="1:20">
      <c r="A70" s="7" t="s">
        <v>1313</v>
      </c>
      <c r="B70" s="7" t="s">
        <v>1061</v>
      </c>
      <c r="C70" s="7" t="s">
        <v>754</v>
      </c>
      <c r="D70" s="7" t="s">
        <v>906</v>
      </c>
      <c r="E70" s="32" t="s">
        <v>828</v>
      </c>
      <c r="F70" s="7" t="s">
        <v>39</v>
      </c>
      <c r="G70" s="7" t="s">
        <v>6</v>
      </c>
      <c r="H70" s="7" t="s">
        <v>907</v>
      </c>
      <c r="I70" s="14" t="s">
        <v>1314</v>
      </c>
      <c r="J70" s="14" t="s">
        <v>1315</v>
      </c>
      <c r="K70" s="56" t="s">
        <v>1316</v>
      </c>
      <c r="L70" s="14" t="s">
        <v>39</v>
      </c>
      <c r="M70" s="32" t="s">
        <v>912</v>
      </c>
      <c r="N70" s="32" t="s">
        <v>752</v>
      </c>
      <c r="O70" s="7"/>
      <c r="P70" s="14" t="s">
        <v>1307</v>
      </c>
      <c r="Q70" s="9" t="s">
        <v>3</v>
      </c>
      <c r="R70" s="44">
        <v>46145</v>
      </c>
      <c r="S70" s="121" t="s">
        <v>1317</v>
      </c>
      <c r="T70" s="9"/>
    </row>
    <row r="71" spans="1:20">
      <c r="A71" s="7" t="s">
        <v>1318</v>
      </c>
      <c r="B71" s="7" t="s">
        <v>1061</v>
      </c>
      <c r="C71" s="7" t="s">
        <v>746</v>
      </c>
      <c r="D71" s="7" t="s">
        <v>906</v>
      </c>
      <c r="E71" s="32" t="s">
        <v>828</v>
      </c>
      <c r="F71" s="7" t="s">
        <v>39</v>
      </c>
      <c r="G71" s="7" t="s">
        <v>6</v>
      </c>
      <c r="H71" s="7" t="s">
        <v>907</v>
      </c>
      <c r="I71" s="14" t="s">
        <v>1319</v>
      </c>
      <c r="J71" s="14" t="s">
        <v>1320</v>
      </c>
      <c r="K71" s="56" t="s">
        <v>1321</v>
      </c>
      <c r="L71" s="14" t="s">
        <v>39</v>
      </c>
      <c r="M71" s="32" t="s">
        <v>912</v>
      </c>
      <c r="N71" s="32"/>
      <c r="O71" s="7"/>
      <c r="P71" s="14" t="s">
        <v>1284</v>
      </c>
      <c r="Q71" s="9" t="s">
        <v>3</v>
      </c>
      <c r="R71" s="9" t="s">
        <v>1278</v>
      </c>
      <c r="S71" s="121" t="s">
        <v>1322</v>
      </c>
      <c r="T71" s="9"/>
    </row>
    <row r="72" spans="1:20">
      <c r="A72" s="7" t="s">
        <v>1323</v>
      </c>
      <c r="B72" s="7" t="s">
        <v>1061</v>
      </c>
      <c r="C72" s="7" t="s">
        <v>754</v>
      </c>
      <c r="D72" s="7" t="s">
        <v>906</v>
      </c>
      <c r="E72" s="32" t="s">
        <v>828</v>
      </c>
      <c r="F72" s="7" t="s">
        <v>39</v>
      </c>
      <c r="G72" s="7" t="s">
        <v>16</v>
      </c>
      <c r="H72" s="7" t="s">
        <v>907</v>
      </c>
      <c r="I72" s="14" t="s">
        <v>1324</v>
      </c>
      <c r="J72" s="14" t="s">
        <v>1325</v>
      </c>
      <c r="K72" s="56" t="s">
        <v>1326</v>
      </c>
      <c r="L72" s="14" t="s">
        <v>39</v>
      </c>
      <c r="M72" s="32" t="s">
        <v>912</v>
      </c>
      <c r="N72" s="32" t="s">
        <v>973</v>
      </c>
      <c r="O72" s="7"/>
      <c r="P72" s="14" t="s">
        <v>1327</v>
      </c>
      <c r="Q72" s="9" t="s">
        <v>4</v>
      </c>
      <c r="R72" s="44">
        <v>46056</v>
      </c>
      <c r="S72" s="121" t="s">
        <v>1328</v>
      </c>
      <c r="T72" s="9"/>
    </row>
    <row r="73" spans="1:20">
      <c r="A73" s="7" t="s">
        <v>1329</v>
      </c>
      <c r="B73" s="7" t="s">
        <v>1061</v>
      </c>
      <c r="C73" s="7" t="s">
        <v>746</v>
      </c>
      <c r="D73" s="7" t="s">
        <v>906</v>
      </c>
      <c r="E73" s="32" t="s">
        <v>828</v>
      </c>
      <c r="F73" s="7" t="s">
        <v>39</v>
      </c>
      <c r="G73" s="7" t="s">
        <v>6</v>
      </c>
      <c r="H73" s="7" t="s">
        <v>907</v>
      </c>
      <c r="I73" s="14" t="s">
        <v>1330</v>
      </c>
      <c r="J73" s="14" t="s">
        <v>1320</v>
      </c>
      <c r="K73" s="56" t="s">
        <v>1331</v>
      </c>
      <c r="L73" s="14" t="s">
        <v>39</v>
      </c>
      <c r="M73" s="32" t="s">
        <v>912</v>
      </c>
      <c r="N73" s="32"/>
      <c r="O73" s="7"/>
      <c r="P73" s="14" t="s">
        <v>1284</v>
      </c>
      <c r="Q73" s="9" t="s">
        <v>3</v>
      </c>
      <c r="R73" s="9" t="s">
        <v>1278</v>
      </c>
      <c r="S73" s="121" t="s">
        <v>1332</v>
      </c>
      <c r="T73" s="9"/>
    </row>
    <row r="74" spans="1:20">
      <c r="A74" s="7" t="s">
        <v>1333</v>
      </c>
      <c r="B74" s="7" t="s">
        <v>1061</v>
      </c>
      <c r="C74" s="7" t="s">
        <v>754</v>
      </c>
      <c r="D74" s="7" t="s">
        <v>906</v>
      </c>
      <c r="E74" s="32" t="s">
        <v>828</v>
      </c>
      <c r="F74" s="7" t="s">
        <v>39</v>
      </c>
      <c r="G74" s="7" t="s">
        <v>6</v>
      </c>
      <c r="H74" s="7" t="s">
        <v>907</v>
      </c>
      <c r="I74" s="14" t="s">
        <v>1334</v>
      </c>
      <c r="J74" s="14" t="s">
        <v>1335</v>
      </c>
      <c r="K74" s="56" t="s">
        <v>1336</v>
      </c>
      <c r="L74" s="14" t="s">
        <v>39</v>
      </c>
      <c r="M74" s="32" t="s">
        <v>912</v>
      </c>
      <c r="N74" s="32"/>
      <c r="O74" s="7"/>
      <c r="P74" s="14" t="s">
        <v>1307</v>
      </c>
      <c r="Q74" s="9" t="s">
        <v>3</v>
      </c>
      <c r="R74" s="9" t="s">
        <v>1089</v>
      </c>
      <c r="S74" s="121" t="s">
        <v>1337</v>
      </c>
      <c r="T74" s="9"/>
    </row>
    <row r="75" spans="1:20">
      <c r="A75" s="7" t="s">
        <v>1338</v>
      </c>
      <c r="B75" s="7" t="s">
        <v>1061</v>
      </c>
      <c r="C75" s="7" t="s">
        <v>754</v>
      </c>
      <c r="D75" s="7" t="s">
        <v>906</v>
      </c>
      <c r="E75" s="32" t="s">
        <v>828</v>
      </c>
      <c r="F75" s="7" t="s">
        <v>39</v>
      </c>
      <c r="G75" s="7" t="s">
        <v>6</v>
      </c>
      <c r="H75" s="7" t="s">
        <v>907</v>
      </c>
      <c r="I75" s="14" t="s">
        <v>1334</v>
      </c>
      <c r="J75" s="14" t="s">
        <v>1339</v>
      </c>
      <c r="K75" s="56" t="s">
        <v>1340</v>
      </c>
      <c r="L75" s="14" t="s">
        <v>39</v>
      </c>
      <c r="M75" s="32" t="s">
        <v>912</v>
      </c>
      <c r="N75" s="32"/>
      <c r="O75" s="7"/>
      <c r="P75" s="14" t="s">
        <v>1307</v>
      </c>
      <c r="Q75" s="9" t="s">
        <v>3</v>
      </c>
      <c r="R75" s="9" t="s">
        <v>1089</v>
      </c>
      <c r="S75" s="121" t="s">
        <v>1341</v>
      </c>
      <c r="T75" s="9"/>
    </row>
    <row r="76" spans="1:20">
      <c r="A76" s="7" t="s">
        <v>1342</v>
      </c>
      <c r="B76" s="7" t="s">
        <v>1061</v>
      </c>
      <c r="C76" s="7" t="s">
        <v>746</v>
      </c>
      <c r="D76" s="7" t="s">
        <v>906</v>
      </c>
      <c r="E76" s="32" t="s">
        <v>828</v>
      </c>
      <c r="F76" s="7" t="s">
        <v>39</v>
      </c>
      <c r="G76" s="7" t="s">
        <v>6</v>
      </c>
      <c r="H76" s="7" t="s">
        <v>907</v>
      </c>
      <c r="I76" s="14" t="s">
        <v>1343</v>
      </c>
      <c r="J76" s="14" t="s">
        <v>1344</v>
      </c>
      <c r="K76" s="56" t="s">
        <v>1345</v>
      </c>
      <c r="L76" s="14" t="s">
        <v>39</v>
      </c>
      <c r="M76" s="32" t="s">
        <v>912</v>
      </c>
      <c r="N76" s="32"/>
      <c r="O76" s="7"/>
      <c r="P76" s="14" t="s">
        <v>1307</v>
      </c>
      <c r="Q76" s="9" t="s">
        <v>3</v>
      </c>
      <c r="R76" s="9" t="s">
        <v>1089</v>
      </c>
      <c r="S76" s="121" t="s">
        <v>1346</v>
      </c>
      <c r="T76" s="9"/>
    </row>
    <row r="77" spans="1:20">
      <c r="A77" s="7" t="s">
        <v>1347</v>
      </c>
      <c r="B77" s="7" t="s">
        <v>1061</v>
      </c>
      <c r="C77" s="7" t="s">
        <v>746</v>
      </c>
      <c r="D77" s="7" t="s">
        <v>906</v>
      </c>
      <c r="E77" s="32" t="s">
        <v>828</v>
      </c>
      <c r="F77" s="7" t="s">
        <v>39</v>
      </c>
      <c r="G77" s="7" t="s">
        <v>6</v>
      </c>
      <c r="H77" s="7" t="s">
        <v>907</v>
      </c>
      <c r="I77" s="14" t="s">
        <v>1348</v>
      </c>
      <c r="J77" s="14" t="s">
        <v>1349</v>
      </c>
      <c r="K77" s="56" t="s">
        <v>1350</v>
      </c>
      <c r="L77" s="14" t="s">
        <v>39</v>
      </c>
      <c r="M77" s="32" t="s">
        <v>912</v>
      </c>
      <c r="N77" s="32" t="s">
        <v>752</v>
      </c>
      <c r="O77" s="7"/>
      <c r="P77" s="14" t="s">
        <v>1351</v>
      </c>
      <c r="Q77" s="9" t="s">
        <v>3</v>
      </c>
      <c r="R77" s="44">
        <v>46145</v>
      </c>
      <c r="S77" s="121" t="s">
        <v>1352</v>
      </c>
      <c r="T77" s="9"/>
    </row>
    <row r="78" spans="1:20">
      <c r="A78" s="7" t="s">
        <v>1353</v>
      </c>
      <c r="B78" s="7" t="s">
        <v>1061</v>
      </c>
      <c r="C78" s="7" t="s">
        <v>754</v>
      </c>
      <c r="D78" s="7" t="s">
        <v>906</v>
      </c>
      <c r="E78" s="32" t="s">
        <v>1354</v>
      </c>
      <c r="F78" s="7" t="s">
        <v>466</v>
      </c>
      <c r="G78" s="9" t="s">
        <v>12</v>
      </c>
      <c r="H78" s="7" t="s">
        <v>1355</v>
      </c>
      <c r="I78" s="14" t="s">
        <v>1356</v>
      </c>
      <c r="J78" s="14" t="s">
        <v>1357</v>
      </c>
      <c r="K78" s="28" t="s">
        <v>1358</v>
      </c>
      <c r="L78" s="14" t="s">
        <v>39</v>
      </c>
      <c r="M78" s="32" t="s">
        <v>912</v>
      </c>
      <c r="N78" s="32" t="s">
        <v>1009</v>
      </c>
      <c r="O78" s="7"/>
      <c r="P78" s="14" t="s">
        <v>1359</v>
      </c>
      <c r="Q78" s="9" t="s">
        <v>4</v>
      </c>
      <c r="R78" s="44">
        <v>46145</v>
      </c>
      <c r="S78" s="121" t="s">
        <v>1360</v>
      </c>
      <c r="T78" s="9"/>
    </row>
    <row r="79" spans="1:20">
      <c r="A79" s="7" t="s">
        <v>1361</v>
      </c>
      <c r="B79" s="7" t="s">
        <v>1061</v>
      </c>
      <c r="C79" s="7" t="s">
        <v>754</v>
      </c>
      <c r="D79" s="7" t="s">
        <v>906</v>
      </c>
      <c r="E79" s="32" t="s">
        <v>828</v>
      </c>
      <c r="F79" s="7" t="s">
        <v>39</v>
      </c>
      <c r="G79" s="7" t="s">
        <v>6</v>
      </c>
      <c r="H79" s="7" t="s">
        <v>907</v>
      </c>
      <c r="I79" s="14" t="s">
        <v>1362</v>
      </c>
      <c r="J79" s="14" t="s">
        <v>1363</v>
      </c>
      <c r="K79" s="56" t="s">
        <v>1364</v>
      </c>
      <c r="L79" s="14" t="s">
        <v>39</v>
      </c>
      <c r="M79" s="32" t="s">
        <v>912</v>
      </c>
      <c r="N79" s="32"/>
      <c r="O79" s="7"/>
      <c r="P79" s="14" t="s">
        <v>1365</v>
      </c>
      <c r="Q79" s="9" t="s">
        <v>3</v>
      </c>
      <c r="R79" s="9" t="s">
        <v>1089</v>
      </c>
      <c r="S79" s="121" t="s">
        <v>1366</v>
      </c>
      <c r="T79" s="9"/>
    </row>
    <row r="80" spans="1:20">
      <c r="A80" s="7" t="s">
        <v>1367</v>
      </c>
      <c r="B80" s="7" t="s">
        <v>1061</v>
      </c>
      <c r="C80" s="7" t="s">
        <v>746</v>
      </c>
      <c r="D80" s="7" t="s">
        <v>906</v>
      </c>
      <c r="E80" s="32" t="s">
        <v>828</v>
      </c>
      <c r="F80" s="7" t="s">
        <v>39</v>
      </c>
      <c r="G80" s="7" t="s">
        <v>6</v>
      </c>
      <c r="H80" s="7" t="s">
        <v>907</v>
      </c>
      <c r="I80" s="14" t="s">
        <v>1368</v>
      </c>
      <c r="J80" s="14" t="s">
        <v>1369</v>
      </c>
      <c r="K80" s="28" t="s">
        <v>1370</v>
      </c>
      <c r="L80" s="14" t="s">
        <v>39</v>
      </c>
      <c r="M80" s="32" t="s">
        <v>912</v>
      </c>
      <c r="N80" s="32"/>
      <c r="O80" s="7"/>
      <c r="P80" s="43"/>
      <c r="Q80" s="9" t="s">
        <v>3</v>
      </c>
      <c r="R80" s="9" t="s">
        <v>1164</v>
      </c>
      <c r="S80" s="121" t="s">
        <v>1371</v>
      </c>
      <c r="T80" s="9"/>
    </row>
    <row r="81" spans="1:20">
      <c r="A81" s="7" t="s">
        <v>1372</v>
      </c>
      <c r="B81" s="7" t="s">
        <v>1061</v>
      </c>
      <c r="C81" s="7" t="s">
        <v>746</v>
      </c>
      <c r="D81" s="7" t="s">
        <v>906</v>
      </c>
      <c r="E81" s="32" t="s">
        <v>828</v>
      </c>
      <c r="F81" s="7" t="s">
        <v>39</v>
      </c>
      <c r="G81" s="7" t="s">
        <v>6</v>
      </c>
      <c r="H81" s="7" t="s">
        <v>907</v>
      </c>
      <c r="I81" s="14" t="s">
        <v>1373</v>
      </c>
      <c r="J81" s="14" t="s">
        <v>1374</v>
      </c>
      <c r="K81" s="56" t="s">
        <v>1375</v>
      </c>
      <c r="L81" s="14" t="s">
        <v>39</v>
      </c>
      <c r="M81" s="32" t="s">
        <v>912</v>
      </c>
      <c r="N81" s="32" t="s">
        <v>912</v>
      </c>
      <c r="O81" s="7"/>
      <c r="P81" s="14" t="s">
        <v>1307</v>
      </c>
      <c r="Q81" s="9" t="s">
        <v>3</v>
      </c>
      <c r="R81" s="44">
        <v>46145</v>
      </c>
      <c r="S81" s="121" t="s">
        <v>1376</v>
      </c>
      <c r="T81" s="9"/>
    </row>
    <row r="82" spans="1:20">
      <c r="A82" s="7" t="s">
        <v>1377</v>
      </c>
      <c r="B82" s="7" t="s">
        <v>1061</v>
      </c>
      <c r="C82" s="7" t="s">
        <v>769</v>
      </c>
      <c r="D82" s="7" t="s">
        <v>906</v>
      </c>
      <c r="E82" s="32" t="s">
        <v>1003</v>
      </c>
      <c r="F82" s="7" t="s">
        <v>39</v>
      </c>
      <c r="G82" s="7" t="s">
        <v>6</v>
      </c>
      <c r="H82" s="7" t="s">
        <v>907</v>
      </c>
      <c r="I82" s="14" t="s">
        <v>1378</v>
      </c>
      <c r="J82" s="14" t="s">
        <v>1379</v>
      </c>
      <c r="K82" s="56" t="s">
        <v>1380</v>
      </c>
      <c r="L82" s="14" t="s">
        <v>39</v>
      </c>
      <c r="M82" s="32" t="s">
        <v>912</v>
      </c>
      <c r="N82" s="32" t="s">
        <v>752</v>
      </c>
      <c r="O82" s="7"/>
      <c r="P82" s="14" t="s">
        <v>1381</v>
      </c>
      <c r="Q82" s="9" t="s">
        <v>3</v>
      </c>
      <c r="R82" s="9" t="s">
        <v>1382</v>
      </c>
      <c r="S82" s="121" t="s">
        <v>1383</v>
      </c>
      <c r="T82" s="9"/>
    </row>
    <row r="83" spans="1:20">
      <c r="A83" s="7" t="s">
        <v>1384</v>
      </c>
      <c r="B83" s="7" t="s">
        <v>1061</v>
      </c>
      <c r="C83" s="7" t="s">
        <v>754</v>
      </c>
      <c r="D83" s="7" t="s">
        <v>906</v>
      </c>
      <c r="E83" s="32" t="s">
        <v>767</v>
      </c>
      <c r="F83" s="7" t="s">
        <v>39</v>
      </c>
      <c r="G83" s="7" t="s">
        <v>16</v>
      </c>
      <c r="H83" s="7" t="s">
        <v>1004</v>
      </c>
      <c r="I83" s="14" t="s">
        <v>1385</v>
      </c>
      <c r="J83" s="14" t="s">
        <v>1386</v>
      </c>
      <c r="K83" s="56" t="s">
        <v>1387</v>
      </c>
      <c r="L83" s="56" t="s">
        <v>1388</v>
      </c>
      <c r="M83" s="32" t="s">
        <v>912</v>
      </c>
      <c r="N83" s="32" t="s">
        <v>973</v>
      </c>
      <c r="O83" s="7"/>
      <c r="P83" s="14" t="s">
        <v>1307</v>
      </c>
      <c r="Q83" s="9" t="s">
        <v>4</v>
      </c>
      <c r="R83" s="44">
        <v>46145</v>
      </c>
      <c r="S83" s="121" t="s">
        <v>1389</v>
      </c>
      <c r="T83" s="9"/>
    </row>
    <row r="84" spans="1:20">
      <c r="A84" s="7" t="s">
        <v>1390</v>
      </c>
      <c r="B84" s="7" t="s">
        <v>1073</v>
      </c>
      <c r="C84" s="7" t="s">
        <v>754</v>
      </c>
      <c r="D84" s="7" t="s">
        <v>906</v>
      </c>
      <c r="E84" s="32" t="s">
        <v>1108</v>
      </c>
      <c r="F84" s="7" t="s">
        <v>39</v>
      </c>
      <c r="G84" s="7" t="s">
        <v>12</v>
      </c>
      <c r="H84" s="7" t="s">
        <v>1391</v>
      </c>
      <c r="I84" s="14" t="s">
        <v>1392</v>
      </c>
      <c r="J84" s="14" t="s">
        <v>1393</v>
      </c>
      <c r="K84" s="56" t="s">
        <v>1394</v>
      </c>
      <c r="L84" s="14" t="s">
        <v>39</v>
      </c>
      <c r="M84" s="32" t="s">
        <v>912</v>
      </c>
      <c r="N84" s="32" t="s">
        <v>752</v>
      </c>
      <c r="O84" s="7"/>
      <c r="P84" s="14" t="s">
        <v>1395</v>
      </c>
      <c r="Q84" s="9" t="s">
        <v>4</v>
      </c>
      <c r="R84" s="44">
        <v>46056</v>
      </c>
      <c r="S84" s="121" t="s">
        <v>1396</v>
      </c>
      <c r="T84" s="9"/>
    </row>
    <row r="85" spans="1:20">
      <c r="A85" s="7" t="s">
        <v>1397</v>
      </c>
      <c r="B85" s="7" t="s">
        <v>1073</v>
      </c>
      <c r="C85" s="7" t="s">
        <v>746</v>
      </c>
      <c r="D85" s="7" t="s">
        <v>906</v>
      </c>
      <c r="E85" s="32" t="s">
        <v>1108</v>
      </c>
      <c r="F85" s="7" t="s">
        <v>39</v>
      </c>
      <c r="G85" s="7" t="s">
        <v>6</v>
      </c>
      <c r="H85" s="7" t="s">
        <v>907</v>
      </c>
      <c r="I85" s="14" t="s">
        <v>1398</v>
      </c>
      <c r="J85" s="14" t="s">
        <v>1399</v>
      </c>
      <c r="K85" s="56" t="s">
        <v>1400</v>
      </c>
      <c r="L85" s="14" t="s">
        <v>39</v>
      </c>
      <c r="M85" s="32" t="s">
        <v>912</v>
      </c>
      <c r="N85" s="32" t="s">
        <v>912</v>
      </c>
      <c r="O85" s="7"/>
      <c r="P85" s="14" t="s">
        <v>1351</v>
      </c>
      <c r="Q85" s="9" t="s">
        <v>3</v>
      </c>
      <c r="R85" s="44">
        <v>46359</v>
      </c>
      <c r="S85" s="121" t="s">
        <v>1401</v>
      </c>
      <c r="T85" s="9"/>
    </row>
    <row r="86" spans="1:20">
      <c r="A86" s="7" t="s">
        <v>1402</v>
      </c>
      <c r="B86" s="7" t="s">
        <v>1382</v>
      </c>
      <c r="C86" s="7" t="s">
        <v>746</v>
      </c>
      <c r="D86" s="7" t="s">
        <v>906</v>
      </c>
      <c r="E86" s="32" t="s">
        <v>828</v>
      </c>
      <c r="F86" s="7" t="s">
        <v>39</v>
      </c>
      <c r="G86" s="7" t="s">
        <v>6</v>
      </c>
      <c r="H86" s="7" t="s">
        <v>1013</v>
      </c>
      <c r="I86" s="14" t="s">
        <v>1403</v>
      </c>
      <c r="J86" s="206" t="s">
        <v>1404</v>
      </c>
      <c r="K86" s="28" t="s">
        <v>1405</v>
      </c>
      <c r="L86" s="14" t="s">
        <v>39</v>
      </c>
      <c r="M86" s="32" t="s">
        <v>912</v>
      </c>
      <c r="N86" s="32" t="s">
        <v>912</v>
      </c>
      <c r="O86" s="7"/>
      <c r="P86" s="43"/>
      <c r="Q86" s="9" t="s">
        <v>3</v>
      </c>
      <c r="R86" s="44">
        <v>46145</v>
      </c>
      <c r="S86" s="121" t="s">
        <v>1406</v>
      </c>
      <c r="T86" s="9"/>
    </row>
    <row r="87" spans="1:20">
      <c r="A87" s="7" t="s">
        <v>1407</v>
      </c>
      <c r="B87" s="7" t="s">
        <v>1382</v>
      </c>
      <c r="C87" s="7" t="s">
        <v>746</v>
      </c>
      <c r="D87" s="7" t="s">
        <v>906</v>
      </c>
      <c r="E87" s="32" t="s">
        <v>828</v>
      </c>
      <c r="F87" s="7" t="s">
        <v>39</v>
      </c>
      <c r="G87" s="7" t="s">
        <v>6</v>
      </c>
      <c r="H87" s="7" t="s">
        <v>1182</v>
      </c>
      <c r="I87" s="14" t="s">
        <v>1408</v>
      </c>
      <c r="J87" s="14" t="s">
        <v>1409</v>
      </c>
      <c r="K87" s="28" t="s">
        <v>1410</v>
      </c>
      <c r="L87" s="14" t="s">
        <v>39</v>
      </c>
      <c r="M87" s="32" t="s">
        <v>912</v>
      </c>
      <c r="N87" s="32" t="s">
        <v>752</v>
      </c>
      <c r="O87" s="7"/>
      <c r="P87" s="43"/>
      <c r="Q87" s="9" t="s">
        <v>1264</v>
      </c>
      <c r="R87" s="44">
        <v>46145</v>
      </c>
      <c r="S87" s="121" t="s">
        <v>1411</v>
      </c>
      <c r="T87" s="9"/>
    </row>
    <row r="88" spans="1:20">
      <c r="A88" s="7" t="s">
        <v>1412</v>
      </c>
      <c r="B88" s="47">
        <v>46056</v>
      </c>
      <c r="C88" s="7" t="s">
        <v>746</v>
      </c>
      <c r="D88" s="7" t="s">
        <v>906</v>
      </c>
      <c r="E88" s="32" t="s">
        <v>1003</v>
      </c>
      <c r="F88" s="7" t="s">
        <v>39</v>
      </c>
      <c r="G88" s="7" t="s">
        <v>6</v>
      </c>
      <c r="H88" s="7" t="s">
        <v>1004</v>
      </c>
      <c r="I88" s="14" t="s">
        <v>1413</v>
      </c>
      <c r="J88" s="14" t="s">
        <v>1414</v>
      </c>
      <c r="K88" s="28" t="s">
        <v>1415</v>
      </c>
      <c r="L88" s="28" t="s">
        <v>1416</v>
      </c>
      <c r="M88" s="32" t="s">
        <v>912</v>
      </c>
      <c r="N88" s="32" t="s">
        <v>752</v>
      </c>
      <c r="O88" s="7"/>
      <c r="P88" s="43"/>
      <c r="Q88" s="9" t="s">
        <v>4</v>
      </c>
      <c r="R88" s="9"/>
      <c r="S88" s="121"/>
      <c r="T88" s="9"/>
    </row>
    <row r="89" spans="1:20">
      <c r="A89" s="7" t="s">
        <v>1417</v>
      </c>
      <c r="B89" s="47">
        <v>46056</v>
      </c>
      <c r="C89" s="7" t="s">
        <v>754</v>
      </c>
      <c r="D89" s="7" t="s">
        <v>906</v>
      </c>
      <c r="E89" s="32" t="s">
        <v>1003</v>
      </c>
      <c r="F89" s="7" t="s">
        <v>39</v>
      </c>
      <c r="G89" s="7" t="s">
        <v>6</v>
      </c>
      <c r="H89" s="7" t="s">
        <v>907</v>
      </c>
      <c r="I89" s="14" t="s">
        <v>1413</v>
      </c>
      <c r="J89" s="14" t="s">
        <v>1418</v>
      </c>
      <c r="K89" s="28" t="s">
        <v>1415</v>
      </c>
      <c r="L89" s="28" t="s">
        <v>1416</v>
      </c>
      <c r="M89" s="32" t="s">
        <v>912</v>
      </c>
      <c r="N89" s="32" t="s">
        <v>752</v>
      </c>
      <c r="O89" s="7"/>
      <c r="P89" s="43"/>
      <c r="Q89" s="9" t="s">
        <v>4</v>
      </c>
      <c r="R89" s="9"/>
      <c r="S89" s="121"/>
      <c r="T89" s="9"/>
    </row>
    <row r="90" spans="1:20">
      <c r="A90" s="7" t="s">
        <v>1419</v>
      </c>
      <c r="B90" s="47">
        <v>46056</v>
      </c>
      <c r="C90" s="7" t="s">
        <v>746</v>
      </c>
      <c r="D90" s="7" t="s">
        <v>906</v>
      </c>
      <c r="E90" s="32" t="s">
        <v>828</v>
      </c>
      <c r="F90" s="7" t="s">
        <v>39</v>
      </c>
      <c r="G90" s="7" t="s">
        <v>6</v>
      </c>
      <c r="H90" s="7" t="s">
        <v>1260</v>
      </c>
      <c r="I90" s="14" t="s">
        <v>1420</v>
      </c>
      <c r="J90" s="14" t="s">
        <v>1421</v>
      </c>
      <c r="K90" s="28" t="s">
        <v>1422</v>
      </c>
      <c r="L90" s="14" t="s">
        <v>39</v>
      </c>
      <c r="M90" s="32" t="s">
        <v>912</v>
      </c>
      <c r="N90" s="32" t="s">
        <v>752</v>
      </c>
      <c r="O90" s="7"/>
      <c r="P90" s="43"/>
      <c r="Q90" s="9" t="s">
        <v>4</v>
      </c>
      <c r="R90" s="9"/>
      <c r="S90" s="121"/>
      <c r="T90" s="9"/>
    </row>
    <row r="91" spans="1:20">
      <c r="A91" s="7" t="s">
        <v>1423</v>
      </c>
      <c r="B91" s="47">
        <v>46084</v>
      </c>
      <c r="C91" s="7" t="s">
        <v>746</v>
      </c>
      <c r="D91" s="7" t="s">
        <v>906</v>
      </c>
      <c r="E91" s="32" t="s">
        <v>828</v>
      </c>
      <c r="F91" s="7" t="s">
        <v>39</v>
      </c>
      <c r="G91" s="7" t="s">
        <v>6</v>
      </c>
      <c r="H91" s="7" t="s">
        <v>907</v>
      </c>
      <c r="I91" s="14" t="s">
        <v>1424</v>
      </c>
      <c r="J91" s="14" t="s">
        <v>1425</v>
      </c>
      <c r="K91" s="28" t="s">
        <v>1426</v>
      </c>
      <c r="L91" s="14" t="s">
        <v>39</v>
      </c>
      <c r="M91" s="32" t="s">
        <v>912</v>
      </c>
      <c r="N91" s="32" t="s">
        <v>752</v>
      </c>
      <c r="O91" s="7"/>
      <c r="P91" s="43"/>
      <c r="Q91" s="9" t="s">
        <v>4</v>
      </c>
      <c r="R91" s="9"/>
      <c r="S91" s="121"/>
      <c r="T91" s="9"/>
    </row>
    <row r="92" spans="1:20">
      <c r="A92" s="7" t="s">
        <v>1427</v>
      </c>
      <c r="B92" s="47">
        <v>46084</v>
      </c>
      <c r="C92" s="7" t="s">
        <v>746</v>
      </c>
      <c r="D92" s="7" t="s">
        <v>906</v>
      </c>
      <c r="E92" s="32" t="s">
        <v>828</v>
      </c>
      <c r="F92" s="7" t="s">
        <v>39</v>
      </c>
      <c r="G92" s="7" t="s">
        <v>6</v>
      </c>
      <c r="H92" s="7" t="s">
        <v>907</v>
      </c>
      <c r="I92" s="14" t="s">
        <v>1428</v>
      </c>
      <c r="J92" s="14" t="s">
        <v>1429</v>
      </c>
      <c r="K92" s="28" t="s">
        <v>1430</v>
      </c>
      <c r="L92" s="14" t="s">
        <v>39</v>
      </c>
      <c r="M92" s="32" t="s">
        <v>912</v>
      </c>
      <c r="N92" s="32" t="s">
        <v>752</v>
      </c>
      <c r="O92" s="7"/>
      <c r="P92" s="43"/>
      <c r="Q92" s="9" t="s">
        <v>4</v>
      </c>
      <c r="R92" s="9"/>
      <c r="S92" s="121"/>
      <c r="T92" s="9"/>
    </row>
    <row r="93" spans="1:20">
      <c r="A93" s="7" t="s">
        <v>1431</v>
      </c>
      <c r="B93" s="47">
        <v>46084</v>
      </c>
      <c r="C93" s="7" t="s">
        <v>746</v>
      </c>
      <c r="D93" s="7" t="s">
        <v>906</v>
      </c>
      <c r="E93" s="32" t="s">
        <v>828</v>
      </c>
      <c r="F93" s="7" t="s">
        <v>39</v>
      </c>
      <c r="G93" s="7" t="s">
        <v>6</v>
      </c>
      <c r="H93" s="7" t="s">
        <v>907</v>
      </c>
      <c r="I93" s="14" t="s">
        <v>1432</v>
      </c>
      <c r="J93" s="14" t="s">
        <v>1433</v>
      </c>
      <c r="K93" s="28" t="s">
        <v>1434</v>
      </c>
      <c r="L93" s="14" t="s">
        <v>39</v>
      </c>
      <c r="M93" s="32" t="s">
        <v>912</v>
      </c>
      <c r="N93" s="32" t="s">
        <v>752</v>
      </c>
      <c r="O93" s="7"/>
      <c r="P93" s="43"/>
      <c r="Q93" s="9" t="s">
        <v>4</v>
      </c>
      <c r="R93" s="9"/>
      <c r="S93" s="121"/>
      <c r="T93" s="9"/>
    </row>
    <row r="94" spans="1:20">
      <c r="A94" s="7" t="s">
        <v>1435</v>
      </c>
      <c r="B94" s="47">
        <v>46084</v>
      </c>
      <c r="C94" s="7" t="s">
        <v>746</v>
      </c>
      <c r="D94" s="7" t="s">
        <v>906</v>
      </c>
      <c r="E94" s="32" t="s">
        <v>828</v>
      </c>
      <c r="F94" s="7" t="s">
        <v>39</v>
      </c>
      <c r="G94" s="7" t="s">
        <v>6</v>
      </c>
      <c r="H94" s="7" t="s">
        <v>907</v>
      </c>
      <c r="I94" s="14" t="s">
        <v>1436</v>
      </c>
      <c r="J94" s="14" t="s">
        <v>1437</v>
      </c>
      <c r="K94" s="28" t="s">
        <v>1438</v>
      </c>
      <c r="L94" s="14" t="s">
        <v>39</v>
      </c>
      <c r="M94" s="32" t="s">
        <v>912</v>
      </c>
      <c r="N94" s="32" t="s">
        <v>752</v>
      </c>
      <c r="O94" s="7"/>
      <c r="P94" s="43"/>
      <c r="Q94" s="9" t="s">
        <v>4</v>
      </c>
      <c r="R94" s="9"/>
      <c r="S94" s="121"/>
      <c r="T94" s="9"/>
    </row>
    <row r="95" spans="1:20">
      <c r="A95" s="7" t="s">
        <v>1439</v>
      </c>
      <c r="B95" s="47">
        <v>46084</v>
      </c>
      <c r="C95" s="7" t="s">
        <v>746</v>
      </c>
      <c r="D95" s="7" t="s">
        <v>906</v>
      </c>
      <c r="E95" s="32" t="s">
        <v>828</v>
      </c>
      <c r="F95" s="7" t="s">
        <v>39</v>
      </c>
      <c r="G95" s="7" t="s">
        <v>6</v>
      </c>
      <c r="H95" s="7" t="s">
        <v>907</v>
      </c>
      <c r="I95" s="14" t="s">
        <v>1440</v>
      </c>
      <c r="J95" s="14" t="s">
        <v>1441</v>
      </c>
      <c r="K95" s="28" t="s">
        <v>1442</v>
      </c>
      <c r="L95" s="14" t="s">
        <v>39</v>
      </c>
      <c r="M95" s="32" t="s">
        <v>912</v>
      </c>
      <c r="N95" s="32" t="s">
        <v>752</v>
      </c>
      <c r="O95" s="7"/>
      <c r="P95" s="43"/>
      <c r="Q95" s="9" t="s">
        <v>4</v>
      </c>
      <c r="R95" s="9"/>
      <c r="S95" s="121"/>
      <c r="T95" s="9"/>
    </row>
    <row r="96" spans="1:20">
      <c r="A96" s="7" t="s">
        <v>1443</v>
      </c>
      <c r="B96" s="47">
        <v>46084</v>
      </c>
      <c r="C96" s="7" t="s">
        <v>746</v>
      </c>
      <c r="D96" s="7" t="s">
        <v>906</v>
      </c>
      <c r="E96" s="32" t="s">
        <v>828</v>
      </c>
      <c r="F96" s="7" t="s">
        <v>39</v>
      </c>
      <c r="G96" s="7" t="s">
        <v>6</v>
      </c>
      <c r="H96" s="7" t="s">
        <v>907</v>
      </c>
      <c r="I96" s="14" t="s">
        <v>1444</v>
      </c>
      <c r="J96" s="14" t="s">
        <v>1445</v>
      </c>
      <c r="K96" s="28" t="s">
        <v>1446</v>
      </c>
      <c r="L96" s="14" t="s">
        <v>39</v>
      </c>
      <c r="M96" s="32" t="s">
        <v>912</v>
      </c>
      <c r="N96" s="32" t="s">
        <v>752</v>
      </c>
      <c r="O96" s="7"/>
      <c r="P96" s="43"/>
      <c r="Q96" s="9" t="s">
        <v>4</v>
      </c>
      <c r="R96" s="9"/>
      <c r="S96" s="121"/>
      <c r="T96" s="9"/>
    </row>
    <row r="97" spans="1:20">
      <c r="A97" s="7" t="s">
        <v>1447</v>
      </c>
      <c r="B97" s="47">
        <v>46084</v>
      </c>
      <c r="C97" s="7" t="s">
        <v>746</v>
      </c>
      <c r="D97" s="7" t="s">
        <v>906</v>
      </c>
      <c r="E97" s="32" t="s">
        <v>828</v>
      </c>
      <c r="F97" s="7" t="s">
        <v>39</v>
      </c>
      <c r="G97" s="7" t="s">
        <v>6</v>
      </c>
      <c r="H97" s="7" t="s">
        <v>907</v>
      </c>
      <c r="I97" s="14" t="s">
        <v>1448</v>
      </c>
      <c r="J97" s="14" t="s">
        <v>1449</v>
      </c>
      <c r="K97" s="28" t="s">
        <v>1450</v>
      </c>
      <c r="L97" s="14" t="s">
        <v>39</v>
      </c>
      <c r="M97" s="32" t="s">
        <v>912</v>
      </c>
      <c r="N97" s="32" t="s">
        <v>752</v>
      </c>
      <c r="O97" s="7"/>
      <c r="P97" s="43"/>
      <c r="Q97" s="9" t="s">
        <v>4</v>
      </c>
      <c r="R97" s="9"/>
      <c r="S97" s="121"/>
      <c r="T97" s="9"/>
    </row>
    <row r="98" spans="1:20">
      <c r="A98" s="7" t="s">
        <v>1451</v>
      </c>
      <c r="B98" s="47">
        <v>46084</v>
      </c>
      <c r="C98" s="7" t="s">
        <v>746</v>
      </c>
      <c r="D98" s="7" t="s">
        <v>906</v>
      </c>
      <c r="E98" s="32" t="s">
        <v>828</v>
      </c>
      <c r="F98" s="7" t="s">
        <v>39</v>
      </c>
      <c r="G98" s="7" t="s">
        <v>6</v>
      </c>
      <c r="H98" s="7" t="s">
        <v>907</v>
      </c>
      <c r="I98" s="14" t="s">
        <v>1452</v>
      </c>
      <c r="J98" s="14" t="s">
        <v>1453</v>
      </c>
      <c r="K98" s="28" t="s">
        <v>1454</v>
      </c>
      <c r="L98" s="14" t="s">
        <v>39</v>
      </c>
      <c r="M98" s="32" t="s">
        <v>912</v>
      </c>
      <c r="N98" s="32" t="s">
        <v>752</v>
      </c>
      <c r="O98" s="7"/>
      <c r="P98" s="43"/>
      <c r="Q98" s="9" t="s">
        <v>4</v>
      </c>
      <c r="R98" s="9"/>
      <c r="S98" s="121"/>
      <c r="T98" s="9"/>
    </row>
    <row r="99" spans="1:20">
      <c r="A99" s="7" t="s">
        <v>1455</v>
      </c>
      <c r="B99" s="47">
        <v>46084</v>
      </c>
      <c r="C99" s="7" t="s">
        <v>754</v>
      </c>
      <c r="D99" s="7" t="s">
        <v>906</v>
      </c>
      <c r="E99" s="32" t="s">
        <v>828</v>
      </c>
      <c r="F99" s="7" t="s">
        <v>39</v>
      </c>
      <c r="G99" s="7" t="s">
        <v>6</v>
      </c>
      <c r="H99" s="7" t="s">
        <v>907</v>
      </c>
      <c r="I99" s="14" t="s">
        <v>1456</v>
      </c>
      <c r="J99" s="14" t="s">
        <v>1457</v>
      </c>
      <c r="K99" s="28" t="s">
        <v>1458</v>
      </c>
      <c r="L99" s="14" t="s">
        <v>39</v>
      </c>
      <c r="M99" s="32" t="s">
        <v>912</v>
      </c>
      <c r="N99" s="32" t="s">
        <v>752</v>
      </c>
      <c r="O99" s="7"/>
      <c r="P99" s="43"/>
      <c r="Q99" s="9" t="s">
        <v>4</v>
      </c>
      <c r="R99" s="9"/>
      <c r="S99" s="121"/>
      <c r="T99" s="9"/>
    </row>
    <row r="100" spans="1:20">
      <c r="A100" s="7" t="s">
        <v>1459</v>
      </c>
      <c r="B100" s="47">
        <v>46084</v>
      </c>
      <c r="C100" s="7" t="s">
        <v>746</v>
      </c>
      <c r="D100" s="7" t="s">
        <v>906</v>
      </c>
      <c r="E100" s="32" t="s">
        <v>828</v>
      </c>
      <c r="F100" s="7" t="s">
        <v>39</v>
      </c>
      <c r="G100" s="7" t="s">
        <v>6</v>
      </c>
      <c r="H100" s="7" t="s">
        <v>907</v>
      </c>
      <c r="I100" s="14" t="s">
        <v>1460</v>
      </c>
      <c r="J100" s="14" t="s">
        <v>1461</v>
      </c>
      <c r="K100" s="28" t="s">
        <v>1462</v>
      </c>
      <c r="L100" s="14" t="s">
        <v>39</v>
      </c>
      <c r="M100" s="32" t="s">
        <v>912</v>
      </c>
      <c r="N100" s="32" t="s">
        <v>752</v>
      </c>
      <c r="O100" s="7"/>
      <c r="P100" s="43"/>
      <c r="Q100" s="9" t="s">
        <v>4</v>
      </c>
      <c r="R100" s="9"/>
      <c r="S100" s="121"/>
      <c r="T100" s="9"/>
    </row>
    <row r="101" spans="1:20">
      <c r="A101" s="7" t="s">
        <v>1463</v>
      </c>
      <c r="B101" s="47">
        <v>46084</v>
      </c>
      <c r="C101" s="7" t="s">
        <v>746</v>
      </c>
      <c r="D101" s="7" t="s">
        <v>906</v>
      </c>
      <c r="E101" s="32" t="s">
        <v>828</v>
      </c>
      <c r="F101" s="7" t="s">
        <v>39</v>
      </c>
      <c r="G101" s="7" t="s">
        <v>6</v>
      </c>
      <c r="H101" s="7" t="s">
        <v>907</v>
      </c>
      <c r="I101" s="14" t="s">
        <v>1464</v>
      </c>
      <c r="J101" s="14" t="s">
        <v>1465</v>
      </c>
      <c r="K101" s="28" t="s">
        <v>1466</v>
      </c>
      <c r="L101" s="14" t="s">
        <v>39</v>
      </c>
      <c r="M101" s="32" t="s">
        <v>912</v>
      </c>
      <c r="N101" s="32" t="s">
        <v>752</v>
      </c>
      <c r="O101" s="7"/>
      <c r="P101" s="43"/>
      <c r="Q101" s="9" t="s">
        <v>4</v>
      </c>
      <c r="R101" s="9"/>
      <c r="S101" s="121"/>
      <c r="T101" s="9"/>
    </row>
    <row r="102" spans="1:20">
      <c r="A102" s="7" t="s">
        <v>1467</v>
      </c>
      <c r="B102" s="47">
        <v>46084</v>
      </c>
      <c r="C102" s="7" t="s">
        <v>746</v>
      </c>
      <c r="D102" s="7" t="s">
        <v>906</v>
      </c>
      <c r="E102" s="32" t="s">
        <v>828</v>
      </c>
      <c r="F102" s="7" t="s">
        <v>39</v>
      </c>
      <c r="G102" s="7" t="s">
        <v>6</v>
      </c>
      <c r="H102" s="7" t="s">
        <v>907</v>
      </c>
      <c r="I102" s="14" t="s">
        <v>1468</v>
      </c>
      <c r="J102" s="14" t="s">
        <v>1469</v>
      </c>
      <c r="K102" s="28" t="s">
        <v>1470</v>
      </c>
      <c r="L102" s="14" t="s">
        <v>39</v>
      </c>
      <c r="M102" s="32" t="s">
        <v>912</v>
      </c>
      <c r="N102" s="32" t="s">
        <v>752</v>
      </c>
      <c r="O102" s="7"/>
      <c r="P102" s="43"/>
      <c r="Q102" s="9" t="s">
        <v>4</v>
      </c>
      <c r="R102" s="9"/>
      <c r="S102" s="121"/>
      <c r="T102" s="9"/>
    </row>
    <row r="103" spans="1:20">
      <c r="A103" s="7" t="s">
        <v>1471</v>
      </c>
      <c r="B103" s="47">
        <v>46084</v>
      </c>
      <c r="C103" s="7" t="s">
        <v>746</v>
      </c>
      <c r="D103" s="7" t="s">
        <v>906</v>
      </c>
      <c r="E103" s="32" t="s">
        <v>828</v>
      </c>
      <c r="F103" s="7" t="s">
        <v>39</v>
      </c>
      <c r="G103" s="7" t="s">
        <v>6</v>
      </c>
      <c r="H103" s="7" t="s">
        <v>907</v>
      </c>
      <c r="I103" s="14" t="s">
        <v>1472</v>
      </c>
      <c r="J103" s="14" t="s">
        <v>1473</v>
      </c>
      <c r="K103" s="28" t="s">
        <v>1474</v>
      </c>
      <c r="L103" s="14" t="s">
        <v>39</v>
      </c>
      <c r="M103" s="32" t="s">
        <v>912</v>
      </c>
      <c r="N103" s="32" t="s">
        <v>752</v>
      </c>
      <c r="O103" s="7"/>
      <c r="P103" s="43"/>
      <c r="Q103" s="9" t="s">
        <v>4</v>
      </c>
      <c r="R103" s="9"/>
      <c r="S103" s="121"/>
      <c r="T103" s="9"/>
    </row>
    <row r="104" spans="1:20">
      <c r="A104" s="7" t="s">
        <v>1475</v>
      </c>
      <c r="B104" s="47">
        <v>46084</v>
      </c>
      <c r="C104" s="7" t="s">
        <v>746</v>
      </c>
      <c r="D104" s="7" t="s">
        <v>906</v>
      </c>
      <c r="E104" s="32" t="s">
        <v>828</v>
      </c>
      <c r="F104" s="7" t="s">
        <v>39</v>
      </c>
      <c r="G104" s="7" t="s">
        <v>6</v>
      </c>
      <c r="H104" s="7" t="s">
        <v>907</v>
      </c>
      <c r="I104" s="14" t="s">
        <v>1476</v>
      </c>
      <c r="J104" s="14" t="s">
        <v>1477</v>
      </c>
      <c r="K104" s="28" t="s">
        <v>1478</v>
      </c>
      <c r="L104" s="14" t="s">
        <v>39</v>
      </c>
      <c r="M104" s="32" t="s">
        <v>912</v>
      </c>
      <c r="N104" s="32" t="s">
        <v>752</v>
      </c>
      <c r="O104" s="7"/>
      <c r="P104" s="43"/>
      <c r="Q104" s="9" t="s">
        <v>4</v>
      </c>
      <c r="R104" s="9"/>
      <c r="S104" s="121"/>
      <c r="T104" s="9"/>
    </row>
    <row r="105" spans="1:20">
      <c r="A105" s="7" t="s">
        <v>1479</v>
      </c>
      <c r="B105" s="47">
        <v>46084</v>
      </c>
      <c r="C105" s="7" t="s">
        <v>746</v>
      </c>
      <c r="D105" s="7" t="s">
        <v>906</v>
      </c>
      <c r="E105" s="32" t="s">
        <v>828</v>
      </c>
      <c r="F105" s="7" t="s">
        <v>39</v>
      </c>
      <c r="G105" s="7" t="s">
        <v>6</v>
      </c>
      <c r="H105" s="7" t="s">
        <v>907</v>
      </c>
      <c r="I105" s="14" t="s">
        <v>1480</v>
      </c>
      <c r="J105" s="14" t="s">
        <v>1481</v>
      </c>
      <c r="K105" s="28" t="s">
        <v>1482</v>
      </c>
      <c r="L105" s="14" t="s">
        <v>39</v>
      </c>
      <c r="M105" s="32" t="s">
        <v>912</v>
      </c>
      <c r="N105" s="32" t="s">
        <v>752</v>
      </c>
      <c r="O105" s="7"/>
      <c r="P105" s="43"/>
      <c r="Q105" s="9" t="s">
        <v>4</v>
      </c>
      <c r="R105" s="9"/>
      <c r="S105" s="121"/>
      <c r="T105" s="9"/>
    </row>
    <row r="106" spans="1:20">
      <c r="A106" s="7" t="s">
        <v>1483</v>
      </c>
      <c r="B106" s="47">
        <v>46084</v>
      </c>
      <c r="C106" s="7" t="s">
        <v>746</v>
      </c>
      <c r="D106" s="7" t="s">
        <v>906</v>
      </c>
      <c r="E106" s="32" t="s">
        <v>828</v>
      </c>
      <c r="F106" s="7" t="s">
        <v>39</v>
      </c>
      <c r="G106" s="7" t="s">
        <v>6</v>
      </c>
      <c r="H106" s="7" t="s">
        <v>907</v>
      </c>
      <c r="I106" s="14" t="s">
        <v>1484</v>
      </c>
      <c r="J106" s="14" t="s">
        <v>1485</v>
      </c>
      <c r="K106" s="28" t="s">
        <v>1486</v>
      </c>
      <c r="L106" s="14" t="s">
        <v>39</v>
      </c>
      <c r="M106" s="32" t="s">
        <v>912</v>
      </c>
      <c r="N106" s="32" t="s">
        <v>752</v>
      </c>
      <c r="O106" s="7"/>
      <c r="P106" s="43"/>
      <c r="Q106" s="9" t="s">
        <v>4</v>
      </c>
      <c r="R106" s="9"/>
      <c r="S106" s="121"/>
      <c r="T106" s="9"/>
    </row>
    <row r="107" spans="1:20">
      <c r="A107" s="7" t="s">
        <v>1487</v>
      </c>
      <c r="B107" s="47">
        <v>46084</v>
      </c>
      <c r="C107" s="7" t="s">
        <v>746</v>
      </c>
      <c r="D107" s="7" t="s">
        <v>906</v>
      </c>
      <c r="E107" s="32" t="s">
        <v>828</v>
      </c>
      <c r="F107" s="7" t="s">
        <v>39</v>
      </c>
      <c r="G107" s="7" t="s">
        <v>6</v>
      </c>
      <c r="H107" s="7" t="s">
        <v>907</v>
      </c>
      <c r="I107" s="14" t="s">
        <v>1488</v>
      </c>
      <c r="J107" s="14" t="s">
        <v>1489</v>
      </c>
      <c r="K107" s="28" t="s">
        <v>1490</v>
      </c>
      <c r="L107" s="14" t="s">
        <v>39</v>
      </c>
      <c r="M107" s="32" t="s">
        <v>912</v>
      </c>
      <c r="N107" s="32" t="s">
        <v>752</v>
      </c>
      <c r="O107" s="7"/>
      <c r="P107" s="43"/>
      <c r="Q107" s="9" t="s">
        <v>4</v>
      </c>
      <c r="R107" s="9"/>
      <c r="S107" s="121"/>
      <c r="T107" s="9"/>
    </row>
    <row r="108" spans="1:20">
      <c r="A108" s="16" t="s">
        <v>1491</v>
      </c>
      <c r="B108" s="258">
        <v>46084</v>
      </c>
      <c r="C108" s="16" t="s">
        <v>746</v>
      </c>
      <c r="D108" s="16" t="s">
        <v>906</v>
      </c>
      <c r="E108" s="57" t="s">
        <v>828</v>
      </c>
      <c r="F108" s="16" t="s">
        <v>39</v>
      </c>
      <c r="G108" s="16" t="s">
        <v>6</v>
      </c>
      <c r="H108" s="16" t="s">
        <v>907</v>
      </c>
      <c r="I108" s="12" t="s">
        <v>1492</v>
      </c>
      <c r="J108" s="12" t="s">
        <v>1493</v>
      </c>
      <c r="K108" s="63" t="s">
        <v>1494</v>
      </c>
      <c r="L108" s="12" t="s">
        <v>39</v>
      </c>
      <c r="M108" s="57" t="s">
        <v>912</v>
      </c>
      <c r="N108" s="57" t="s">
        <v>752</v>
      </c>
      <c r="O108" s="16"/>
      <c r="P108" s="48"/>
      <c r="Q108" s="19" t="s">
        <v>4</v>
      </c>
      <c r="R108" s="19"/>
      <c r="S108" s="168"/>
      <c r="T108" s="19"/>
    </row>
    <row r="109" spans="1:20">
      <c r="A109" s="7" t="s">
        <v>1495</v>
      </c>
      <c r="B109" s="47">
        <v>46084</v>
      </c>
      <c r="C109" s="7" t="s">
        <v>746</v>
      </c>
      <c r="D109" s="7" t="s">
        <v>906</v>
      </c>
      <c r="E109" s="32" t="s">
        <v>767</v>
      </c>
      <c r="F109" s="7" t="s">
        <v>39</v>
      </c>
      <c r="G109" s="7" t="s">
        <v>6</v>
      </c>
      <c r="H109" s="7" t="s">
        <v>1004</v>
      </c>
      <c r="I109" s="14" t="s">
        <v>1496</v>
      </c>
      <c r="J109" s="14" t="s">
        <v>1497</v>
      </c>
      <c r="K109" s="28" t="s">
        <v>1498</v>
      </c>
      <c r="L109" s="28" t="s">
        <v>1499</v>
      </c>
      <c r="M109" s="32" t="s">
        <v>912</v>
      </c>
      <c r="N109" s="32" t="s">
        <v>752</v>
      </c>
      <c r="O109" s="7"/>
      <c r="P109" s="43"/>
      <c r="Q109" s="7" t="s">
        <v>4</v>
      </c>
      <c r="R109" s="7"/>
      <c r="S109" s="4"/>
      <c r="T109" s="7"/>
    </row>
    <row r="110" spans="1:20">
      <c r="A110" s="74" t="s">
        <v>1500</v>
      </c>
      <c r="B110" s="229">
        <v>46084</v>
      </c>
      <c r="C110" s="74" t="s">
        <v>754</v>
      </c>
      <c r="D110" s="74" t="s">
        <v>906</v>
      </c>
      <c r="E110" s="73" t="s">
        <v>828</v>
      </c>
      <c r="F110" s="74" t="s">
        <v>39</v>
      </c>
      <c r="G110" s="74" t="s">
        <v>16</v>
      </c>
      <c r="H110" s="74" t="s">
        <v>1004</v>
      </c>
      <c r="I110" s="76" t="s">
        <v>1501</v>
      </c>
      <c r="J110" s="76" t="s">
        <v>1502</v>
      </c>
      <c r="K110" s="143" t="s">
        <v>1503</v>
      </c>
      <c r="L110" s="76" t="s">
        <v>39</v>
      </c>
      <c r="M110" s="73" t="s">
        <v>912</v>
      </c>
      <c r="N110" s="73" t="s">
        <v>973</v>
      </c>
      <c r="O110" s="74"/>
      <c r="P110" s="76"/>
      <c r="Q110" s="74" t="s">
        <v>4</v>
      </c>
      <c r="R110" s="74"/>
      <c r="S110" s="323"/>
      <c r="T110" s="74" t="s">
        <v>1028</v>
      </c>
    </row>
    <row r="111" spans="1:20">
      <c r="A111" s="7" t="s">
        <v>1504</v>
      </c>
      <c r="B111" s="47">
        <v>46359</v>
      </c>
      <c r="C111" s="7" t="s">
        <v>746</v>
      </c>
      <c r="D111" s="7" t="s">
        <v>906</v>
      </c>
      <c r="E111" s="32" t="s">
        <v>828</v>
      </c>
      <c r="F111" s="7" t="s">
        <v>39</v>
      </c>
      <c r="G111" s="7" t="s">
        <v>6</v>
      </c>
      <c r="H111" s="7" t="s">
        <v>907</v>
      </c>
      <c r="I111" s="14" t="s">
        <v>1505</v>
      </c>
      <c r="J111" s="237" t="s">
        <v>1506</v>
      </c>
      <c r="K111" s="28" t="s">
        <v>1507</v>
      </c>
      <c r="L111" s="28" t="s">
        <v>1508</v>
      </c>
      <c r="M111" s="32" t="s">
        <v>749</v>
      </c>
      <c r="N111" s="32" t="s">
        <v>752</v>
      </c>
      <c r="O111" s="7"/>
      <c r="P111" s="43"/>
      <c r="Q111" s="7" t="s">
        <v>3</v>
      </c>
      <c r="R111" s="47" t="s">
        <v>684</v>
      </c>
      <c r="S111" s="4" t="s">
        <v>1509</v>
      </c>
      <c r="T111" s="7"/>
    </row>
    <row r="112" spans="1:20">
      <c r="A112" s="414" t="s">
        <v>1510</v>
      </c>
      <c r="B112" s="414" t="s">
        <v>490</v>
      </c>
      <c r="C112" s="414" t="s">
        <v>746</v>
      </c>
      <c r="D112" s="414" t="s">
        <v>906</v>
      </c>
      <c r="E112" s="415" t="s">
        <v>1003</v>
      </c>
      <c r="F112" s="414" t="s">
        <v>39</v>
      </c>
      <c r="G112" s="414" t="s">
        <v>6</v>
      </c>
      <c r="H112" s="414" t="s">
        <v>1171</v>
      </c>
      <c r="I112" s="416" t="s">
        <v>1511</v>
      </c>
      <c r="J112" s="416" t="s">
        <v>1512</v>
      </c>
      <c r="K112" s="417" t="s">
        <v>1513</v>
      </c>
      <c r="L112" s="417" t="s">
        <v>1514</v>
      </c>
      <c r="M112" s="415" t="s">
        <v>912</v>
      </c>
      <c r="N112" s="415" t="s">
        <v>1190</v>
      </c>
      <c r="O112" s="414"/>
      <c r="P112" s="418"/>
      <c r="Q112" s="419" t="s">
        <v>4</v>
      </c>
      <c r="R112" s="419" t="s">
        <v>490</v>
      </c>
      <c r="S112" s="420" t="s">
        <v>1515</v>
      </c>
      <c r="T112" s="419"/>
    </row>
    <row r="113" spans="1:20">
      <c r="A113" s="7" t="s">
        <v>1516</v>
      </c>
      <c r="B113" s="7" t="s">
        <v>701</v>
      </c>
      <c r="C113" s="7" t="s">
        <v>746</v>
      </c>
      <c r="D113" s="7" t="s">
        <v>906</v>
      </c>
      <c r="E113" s="32" t="s">
        <v>828</v>
      </c>
      <c r="F113" s="7" t="s">
        <v>39</v>
      </c>
      <c r="G113" s="7" t="s">
        <v>6</v>
      </c>
      <c r="H113" s="7" t="s">
        <v>907</v>
      </c>
      <c r="I113" s="14" t="s">
        <v>1517</v>
      </c>
      <c r="J113" s="14" t="s">
        <v>1518</v>
      </c>
      <c r="K113" s="28" t="s">
        <v>1519</v>
      </c>
      <c r="L113" s="14" t="s">
        <v>39</v>
      </c>
      <c r="M113" s="32" t="s">
        <v>749</v>
      </c>
      <c r="N113" s="32" t="s">
        <v>752</v>
      </c>
      <c r="O113" s="7"/>
      <c r="P113" s="43"/>
      <c r="Q113" s="9" t="s">
        <v>4</v>
      </c>
      <c r="R113" s="9"/>
      <c r="S113" s="121"/>
      <c r="T113" s="9"/>
    </row>
    <row r="114" spans="1:20">
      <c r="A114" s="7"/>
      <c r="B114" s="7"/>
      <c r="C114" s="7"/>
      <c r="D114" s="7"/>
      <c r="E114" s="32"/>
      <c r="F114" s="7"/>
      <c r="G114" s="7"/>
      <c r="H114" s="7"/>
      <c r="I114" s="14"/>
      <c r="J114" s="14"/>
      <c r="K114" s="14"/>
      <c r="L114" s="14"/>
      <c r="M114" s="32"/>
      <c r="N114" s="32"/>
      <c r="O114" s="7"/>
      <c r="P114" s="43"/>
      <c r="Q114" s="9"/>
      <c r="R114" s="9"/>
      <c r="S114" s="121"/>
      <c r="T114" s="9"/>
    </row>
    <row r="115" spans="1:20">
      <c r="A115" s="7"/>
      <c r="B115" s="7"/>
      <c r="C115" s="7"/>
      <c r="D115" s="7"/>
      <c r="E115" s="32"/>
      <c r="F115" s="7"/>
      <c r="G115" s="7"/>
      <c r="H115" s="7"/>
      <c r="I115" s="14"/>
      <c r="J115" s="14"/>
      <c r="K115" s="14"/>
      <c r="L115" s="14"/>
      <c r="M115" s="32"/>
      <c r="N115" s="32"/>
      <c r="O115" s="7"/>
      <c r="P115" s="43"/>
      <c r="Q115" s="9"/>
      <c r="R115" s="9"/>
      <c r="S115" s="121"/>
      <c r="T115" s="9"/>
    </row>
    <row r="116" spans="1:20">
      <c r="A116" s="7"/>
      <c r="B116" s="7"/>
      <c r="C116" s="7"/>
      <c r="D116" s="7"/>
      <c r="E116" s="32"/>
      <c r="F116" s="7"/>
      <c r="G116" s="7"/>
      <c r="H116" s="7"/>
      <c r="I116" s="14"/>
      <c r="J116" s="14"/>
      <c r="K116" s="14"/>
      <c r="L116" s="14"/>
      <c r="M116" s="32"/>
      <c r="N116" s="32"/>
      <c r="O116" s="7"/>
      <c r="P116" s="43"/>
      <c r="Q116" s="9"/>
      <c r="R116" s="9"/>
      <c r="S116" s="121"/>
      <c r="T116" s="9"/>
    </row>
    <row r="117" spans="1:20">
      <c r="A117" s="7"/>
      <c r="B117" s="7"/>
      <c r="C117" s="7"/>
      <c r="D117" s="7"/>
      <c r="E117" s="32"/>
      <c r="F117" s="7"/>
      <c r="G117" s="7"/>
      <c r="H117" s="7"/>
      <c r="I117" s="14"/>
      <c r="J117" s="14"/>
      <c r="K117" s="14"/>
      <c r="L117" s="14"/>
      <c r="M117" s="32"/>
      <c r="N117" s="32"/>
      <c r="O117" s="7"/>
      <c r="P117" s="43"/>
      <c r="Q117" s="9"/>
      <c r="R117" s="9"/>
      <c r="S117" s="121"/>
      <c r="T117" s="9"/>
    </row>
    <row r="118" spans="1:20">
      <c r="A118" s="7"/>
      <c r="B118" s="7"/>
      <c r="C118" s="7"/>
      <c r="D118" s="7"/>
      <c r="E118" s="32"/>
      <c r="F118" s="7"/>
      <c r="G118" s="7"/>
      <c r="H118" s="7"/>
      <c r="I118" s="14"/>
      <c r="J118" s="14"/>
      <c r="K118" s="14"/>
      <c r="L118" s="14"/>
      <c r="M118" s="32"/>
      <c r="N118" s="32"/>
      <c r="O118" s="7"/>
      <c r="P118" s="43"/>
      <c r="Q118" s="9"/>
      <c r="R118" s="9"/>
      <c r="S118" s="121"/>
      <c r="T118" s="9"/>
    </row>
    <row r="119" spans="1:20">
      <c r="A119" s="7"/>
      <c r="B119" s="7"/>
      <c r="C119" s="7"/>
      <c r="D119" s="7"/>
      <c r="E119" s="32"/>
      <c r="F119" s="7"/>
      <c r="G119" s="7"/>
      <c r="H119" s="7"/>
      <c r="I119" s="14"/>
      <c r="J119" s="14"/>
      <c r="K119" s="14"/>
      <c r="L119" s="14"/>
      <c r="M119" s="32"/>
      <c r="N119" s="32"/>
      <c r="O119" s="7"/>
      <c r="P119" s="43"/>
      <c r="Q119" s="9"/>
      <c r="R119" s="9"/>
      <c r="S119" s="121"/>
      <c r="T119" s="9"/>
    </row>
    <row r="120" spans="1:20">
      <c r="A120" s="7"/>
      <c r="B120" s="7"/>
      <c r="C120" s="7"/>
      <c r="D120" s="7"/>
      <c r="E120" s="32"/>
      <c r="F120" s="7"/>
      <c r="G120" s="7"/>
      <c r="H120" s="7"/>
      <c r="I120" s="14"/>
      <c r="J120" s="14"/>
      <c r="K120" s="14"/>
      <c r="L120" s="14"/>
      <c r="M120" s="32"/>
      <c r="N120" s="32"/>
      <c r="O120" s="7"/>
      <c r="P120" s="43"/>
      <c r="Q120" s="9"/>
      <c r="R120" s="9"/>
      <c r="S120" s="121"/>
      <c r="T120" s="9"/>
    </row>
    <row r="121" spans="1:20">
      <c r="A121" s="7"/>
      <c r="B121" s="7"/>
      <c r="C121" s="7"/>
      <c r="D121" s="7"/>
      <c r="E121" s="32"/>
      <c r="F121" s="7"/>
      <c r="G121" s="7"/>
      <c r="H121" s="7"/>
      <c r="I121" s="14"/>
      <c r="J121" s="14"/>
      <c r="K121" s="14"/>
      <c r="L121" s="14"/>
      <c r="M121" s="32"/>
      <c r="N121" s="32"/>
      <c r="O121" s="7"/>
      <c r="P121" s="43"/>
      <c r="Q121" s="9"/>
      <c r="R121" s="9"/>
      <c r="S121" s="121"/>
      <c r="T121" s="9"/>
    </row>
    <row r="122" spans="1:20">
      <c r="A122" s="7"/>
      <c r="B122" s="7"/>
      <c r="C122" s="7"/>
      <c r="D122" s="7"/>
      <c r="E122" s="32"/>
      <c r="F122" s="7"/>
      <c r="G122" s="7"/>
      <c r="H122" s="7"/>
      <c r="I122" s="14"/>
      <c r="J122" s="14"/>
      <c r="K122" s="14"/>
      <c r="L122" s="14"/>
      <c r="M122" s="32"/>
      <c r="N122" s="32"/>
      <c r="O122" s="7"/>
      <c r="P122" s="43"/>
      <c r="Q122" s="9"/>
      <c r="R122" s="9"/>
      <c r="S122" s="121"/>
      <c r="T122" s="9"/>
    </row>
    <row r="123" spans="1:20">
      <c r="A123" s="7"/>
      <c r="B123" s="7"/>
      <c r="C123" s="7"/>
      <c r="D123" s="7"/>
      <c r="E123" s="32"/>
      <c r="F123" s="7"/>
      <c r="G123" s="7"/>
      <c r="H123" s="7"/>
      <c r="I123" s="14"/>
      <c r="J123" s="14"/>
      <c r="K123" s="14"/>
      <c r="L123" s="14"/>
      <c r="M123" s="32"/>
      <c r="N123" s="32"/>
      <c r="O123" s="7"/>
      <c r="P123" s="43"/>
      <c r="Q123" s="9"/>
      <c r="R123" s="9"/>
      <c r="S123" s="121"/>
      <c r="T123" s="9"/>
    </row>
    <row r="124" spans="1:20">
      <c r="A124" s="7"/>
      <c r="B124" s="7"/>
      <c r="C124" s="7"/>
      <c r="D124" s="7"/>
      <c r="E124" s="32"/>
      <c r="F124" s="7"/>
      <c r="G124" s="7"/>
      <c r="H124" s="7"/>
      <c r="I124" s="14"/>
      <c r="J124" s="14"/>
      <c r="K124" s="14"/>
      <c r="L124" s="14"/>
      <c r="M124" s="32"/>
      <c r="N124" s="32"/>
      <c r="O124" s="7"/>
      <c r="P124" s="43"/>
      <c r="Q124" s="9"/>
      <c r="R124" s="9"/>
      <c r="S124" s="121"/>
      <c r="T124" s="9"/>
    </row>
    <row r="125" spans="1:20">
      <c r="B125" s="159"/>
      <c r="K125" s="78"/>
      <c r="L125" s="78"/>
      <c r="P125" s="54"/>
    </row>
    <row r="126" spans="1:20">
      <c r="B126" s="159"/>
      <c r="K126" s="78"/>
      <c r="L126" s="78"/>
      <c r="P126" s="176"/>
    </row>
    <row r="127" spans="1:20">
      <c r="B127" s="159"/>
      <c r="K127" s="78"/>
    </row>
  </sheetData>
  <autoFilter ref="A1:T124" xr:uid="{00000000-0001-0000-0000-000000000000}"/>
  <dataValidations count="8">
    <dataValidation allowBlank="1" showInputMessage="1" showErrorMessage="1" sqref="R126:R1048576 E51:E52 N126:N1048576 D126:D1048576 M57:N57 Q57 D1:D49 R1:R36 N2:N56 R38:R56 D110:D124 R110:R124 D53:D108 N58:N108 N110:N124 R58:R108" xr:uid="{FA6D23CF-936C-42DD-986E-75844ED82E10}"/>
    <dataValidation type="list" allowBlank="1" showInputMessage="1" showErrorMessage="1" sqref="O28:O29 P57 O38:O40 O32:O35 O2:O21 O126:O1048576 O23:O26 O58:O108 O110:O124" xr:uid="{32E78E52-EE23-4D31-A64B-E17ACD557366}">
      <formula1>"Fixed, In Progress, Need Discussion"</formula1>
    </dataValidation>
    <dataValidation type="list" allowBlank="1" showInputMessage="1" showErrorMessage="1" sqref="C2:C49 C126:C1048576 C51:C108 C110:C124" xr:uid="{CBF1A2F5-0EDF-49DB-B693-23E71939D03B}">
      <formula1>"P0, P1, P2, P3"</formula1>
    </dataValidation>
    <dataValidation type="list" allowBlank="1" showInputMessage="1" showErrorMessage="1" sqref="O50 O52" xr:uid="{9A69FE7C-F490-451C-A3DC-66E42D55EF6A}">
      <formula1>"Resolved, Unresolved, Reopened, Need Discussion"</formula1>
    </dataValidation>
    <dataValidation type="list" allowBlank="1" showInputMessage="1" showErrorMessage="1" sqref="O53:O56 O41:O45 O22 O27 O47:O49 O51 O36:O37 O30:O31" xr:uid="{FD217D1C-BECA-4D8D-BD8C-7E9C1440E00E}">
      <formula1>"Fixed, In-Progress, Need-Discussion, Duplicate, Rejected, Blocked"</formula1>
    </dataValidation>
    <dataValidation type="list" allowBlank="1" showInputMessage="1" showErrorMessage="1" sqref="Q126:Q1048576 Q110:Q124 Q2:Q108" xr:uid="{4156872A-713B-450F-AB10-268B8EDDFA3D}">
      <formula1>"Open, Hold, Resolved, Reopened, Need Discussion"</formula1>
    </dataValidation>
    <dataValidation type="list" allowBlank="1" showInputMessage="1" showErrorMessage="1" sqref="G2:G1048576" xr:uid="{2D7E4729-5059-49EE-B99E-6DD5CA102F73}">
      <formula1>"PVT, UAT, HTML/CSS"</formula1>
    </dataValidation>
    <dataValidation type="list" allowBlank="1" showInputMessage="1" showErrorMessage="1" sqref="T2:T1048576" xr:uid="{9CDD6FB3-1F3E-4E98-9A1A-5BAE687C888B}">
      <formula1>"Fixed, Pending, Reopen"</formula1>
    </dataValidation>
  </dataValidations>
  <hyperlinks>
    <hyperlink ref="K2" r:id="rId1" xr:uid="{5D13A48F-F5FC-44F8-89B4-7D0FFCEFD019}"/>
    <hyperlink ref="L2" r:id="rId2" xr:uid="{AD7326C8-8789-47C1-9DEF-27858AC4F87B}"/>
    <hyperlink ref="K3" r:id="rId3" xr:uid="{F350C544-0A99-4D3D-A5C3-CBADA57DBA4B}"/>
    <hyperlink ref="L3" r:id="rId4" xr:uid="{F6913F6A-F7B1-48F6-BFDF-18500B5283CF}"/>
    <hyperlink ref="L4" r:id="rId5" xr:uid="{4118C800-D372-4ECE-B758-D332E093B95E}"/>
    <hyperlink ref="K4" r:id="rId6" xr:uid="{2D9C2DF6-777B-4297-8DE5-1184D00D5849}"/>
    <hyperlink ref="L5" r:id="rId7" xr:uid="{F474303F-6EE3-465A-BBE7-939FD22A697A}"/>
    <hyperlink ref="K5" r:id="rId8" xr:uid="{420CD720-E230-45A4-A1C0-CD06130D8ECD}"/>
    <hyperlink ref="K6" r:id="rId9" xr:uid="{1FF13614-55FD-427B-A43E-B41306BF98D8}"/>
    <hyperlink ref="K7" r:id="rId10" xr:uid="{DB29579E-222F-4B23-8085-D2969068033A}"/>
    <hyperlink ref="K8" r:id="rId11" xr:uid="{A22FDE3B-1BBB-4280-80A2-A6E97EF00DD4}"/>
    <hyperlink ref="K9" r:id="rId12" xr:uid="{436C4787-3A40-4537-A11D-7C8C3B5BDE72}"/>
    <hyperlink ref="K10" r:id="rId13" xr:uid="{8FE3445C-5296-4EC0-B93E-CC735EF2A23C}"/>
    <hyperlink ref="L10" r:id="rId14" xr:uid="{662D27D0-7256-4877-9A19-EC97E6273810}"/>
    <hyperlink ref="L11" r:id="rId15" xr:uid="{16B47AF3-EFB2-45DC-87D2-D5EBEC2CBBAC}"/>
    <hyperlink ref="K11" r:id="rId16" xr:uid="{0015E8A3-18CB-425C-884A-BB2A1CB6B41D}"/>
    <hyperlink ref="K12" r:id="rId17" xr:uid="{818A421D-2E2C-4F1E-B7EF-176A29A006EF}"/>
    <hyperlink ref="L12" r:id="rId18" xr:uid="{973F1172-C549-4A49-8D42-18A196194868}"/>
    <hyperlink ref="K13" r:id="rId19" xr:uid="{43E95E83-6EE4-45C2-A4C5-FC07E32676F2}"/>
    <hyperlink ref="K14" r:id="rId20" xr:uid="{A2B3915B-06DD-431E-9383-86A0780E54B8}"/>
    <hyperlink ref="K15" r:id="rId21" xr:uid="{F6217D7A-2A4D-4B13-A64C-F4401DBD31EB}"/>
    <hyperlink ref="K16" r:id="rId22" xr:uid="{F97A1888-D0C7-4AD8-B0B5-C9F5E4DD46B7}"/>
    <hyperlink ref="K17" r:id="rId23" xr:uid="{BEAA60BD-905B-4783-BB35-722451C686D6}"/>
    <hyperlink ref="L17" r:id="rId24" xr:uid="{E926259F-5C60-4919-86B4-A932442DD24F}"/>
    <hyperlink ref="K18" r:id="rId25" xr:uid="{291F7FE2-5145-4027-B71F-0B7A00FFD267}"/>
    <hyperlink ref="K19" r:id="rId26" xr:uid="{2D79383C-6DAB-4226-B5D2-6FE21A71D4FD}"/>
    <hyperlink ref="L19" r:id="rId27" xr:uid="{7241869D-09C2-493F-A5A8-C5FB061EA185}"/>
    <hyperlink ref="K20" r:id="rId28" xr:uid="{3AA2DC4F-8840-4092-82FE-2B66C3356721}"/>
    <hyperlink ref="K21" r:id="rId29" xr:uid="{0E5B811D-E7F7-47B8-8123-DF5C4CD2ED18}"/>
    <hyperlink ref="L21" r:id="rId30" xr:uid="{8B6FCC8E-472A-4C02-8EB9-DBCBED858F96}"/>
    <hyperlink ref="K22" r:id="rId31" xr:uid="{BF6689D5-816D-4003-8F6C-8BA4A59C9649}"/>
    <hyperlink ref="K23" r:id="rId32" xr:uid="{852948EE-44B2-47D8-97A2-E833B704A7A1}"/>
    <hyperlink ref="K24" r:id="rId33" xr:uid="{E0498704-46AD-44DB-86C6-E59F4CA78B44}"/>
    <hyperlink ref="K25" r:id="rId34" xr:uid="{08BF00E9-C4F5-4847-A948-2DA4E6FB1720}"/>
    <hyperlink ref="L25" r:id="rId35" xr:uid="{B3475832-84C3-4BA2-A1F3-4DA8288618C4}"/>
    <hyperlink ref="K26" r:id="rId36" xr:uid="{00CACD30-B8EB-4CF7-82F1-207E4820297A}"/>
    <hyperlink ref="L26" r:id="rId37" xr:uid="{66A8E3FF-10BE-434B-BD94-75888BDFA2C9}"/>
    <hyperlink ref="K35" r:id="rId38" xr:uid="{6E4801A5-C624-427E-A86E-F7014E8B570E}"/>
    <hyperlink ref="L35" r:id="rId39" xr:uid="{45A7C690-F6E9-458B-8FF2-97864C77722C}"/>
    <hyperlink ref="L36" r:id="rId40" xr:uid="{FACC872E-5D8B-43B1-A1AA-BABDCA39467E}"/>
    <hyperlink ref="K36" r:id="rId41" xr:uid="{963A721F-D05C-4282-A01A-A4654BB1E3CB}"/>
    <hyperlink ref="K38" r:id="rId42" xr:uid="{76002B61-0F67-40E9-A74A-5C3C41429123}"/>
    <hyperlink ref="K39" r:id="rId43" xr:uid="{FEFE69EF-D159-4E4F-8313-B697E0E90294}"/>
    <hyperlink ref="L39" r:id="rId44" xr:uid="{74A89999-12D1-430D-BAA8-A515503CA7F7}"/>
    <hyperlink ref="K40" r:id="rId45" xr:uid="{5730DC7C-C22D-4B88-83AF-09196181A597}"/>
    <hyperlink ref="K41" r:id="rId46" xr:uid="{8E428E7C-8EC5-436A-B14F-E0E7C37CF7F2}"/>
    <hyperlink ref="K42" r:id="rId47" xr:uid="{558EF620-BD36-4B6A-A938-725C6272CE57}"/>
    <hyperlink ref="K43" r:id="rId48" xr:uid="{15031148-2A8F-4E2E-B30D-254E3D148D9F}"/>
    <hyperlink ref="K44" r:id="rId49" xr:uid="{F6F652CC-FD9B-472C-A4D6-7B1E3357C8CB}"/>
    <hyperlink ref="L44" r:id="rId50" xr:uid="{57321094-9A3F-4374-9677-2987E2B08FB8}"/>
    <hyperlink ref="K45" r:id="rId51" xr:uid="{720376A9-AA75-4862-BDD3-C0EEFB156480}"/>
    <hyperlink ref="K48" r:id="rId52" xr:uid="{B574FF62-0EEF-4154-A83F-60AAC7170D11}"/>
    <hyperlink ref="K50" r:id="rId53" xr:uid="{E130B20D-BBFF-4F1B-B1B4-D01A4052D41F}"/>
    <hyperlink ref="S36" r:id="rId54" display="https://www.loom.com/i/aef5df14c0b5480db573272b1dd693d9" xr:uid="{DF45F7C1-366D-48AF-8B5E-34A337BC82B8}"/>
    <hyperlink ref="K53" r:id="rId55" xr:uid="{A0FF6631-890A-4B96-BA71-AF629031F24C}"/>
    <hyperlink ref="L53" r:id="rId56" xr:uid="{BA920C02-A6EB-4823-BCEF-8F0D43E9C311}"/>
    <hyperlink ref="L34" r:id="rId57" xr:uid="{122CD827-C9DD-46D8-89FC-623DDB980D8F}"/>
    <hyperlink ref="K34" r:id="rId58" xr:uid="{EF6B2B0C-9D90-4ED9-AED6-56FA6A1C55AB}"/>
    <hyperlink ref="L33" r:id="rId59" xr:uid="{7AF27953-E226-40D9-B976-BB01BCF278E7}"/>
    <hyperlink ref="K33" r:id="rId60" xr:uid="{97073347-5A52-41EB-9C72-E4DFDFF5EAE9}"/>
    <hyperlink ref="K30" r:id="rId61" xr:uid="{721A4A7C-228C-4D88-A2AE-5634E979B987}"/>
    <hyperlink ref="K29" r:id="rId62" xr:uid="{1E457B51-47B9-4599-9758-395374ECDA3B}"/>
    <hyperlink ref="K28" r:id="rId63" xr:uid="{D4D77F85-1F02-4C88-A8B5-D8DFD7B7844C}"/>
    <hyperlink ref="K27" r:id="rId64" xr:uid="{C4C5EECE-7503-41E8-96C6-949157DE86CD}"/>
    <hyperlink ref="K31" r:id="rId65" xr:uid="{E0A84FA5-670E-456E-A3D9-DE34125B88EB}"/>
    <hyperlink ref="L31" r:id="rId66" xr:uid="{16BC3E13-B4B0-4C78-AF8B-A6A2CCE43E73}"/>
    <hyperlink ref="K37" r:id="rId67" xr:uid="{811EDAF0-175B-4C4F-92AD-CEA8980035CB}"/>
    <hyperlink ref="L37" r:id="rId68" xr:uid="{3D2F8B9A-737D-4516-AC43-6381B73F5C19}"/>
    <hyperlink ref="K46" r:id="rId69" xr:uid="{8EE5B447-F910-4782-8380-AE606070C5CB}"/>
    <hyperlink ref="K47" r:id="rId70" xr:uid="{0F89F8C4-4BB0-4FA8-8D8C-B8762A3056C8}"/>
    <hyperlink ref="K49" r:id="rId71" xr:uid="{6D7510A0-FD3A-4E3C-9477-716145BCDA89}"/>
    <hyperlink ref="K51" r:id="rId72" xr:uid="{774B0237-E1D3-4C9F-A508-4B245D79D7C5}"/>
    <hyperlink ref="K52" r:id="rId73" xr:uid="{2FBA25A8-CA04-444B-B2C9-0EAD39395EE5}"/>
    <hyperlink ref="K54" r:id="rId74" xr:uid="{8F2BF779-C91B-45BE-923B-80F03D9AF33E}"/>
    <hyperlink ref="K55" r:id="rId75" xr:uid="{7CC48CBD-D719-4068-933F-DCE6E0D162AE}"/>
    <hyperlink ref="K56" r:id="rId76" xr:uid="{1878EE29-3B25-49DA-8D96-0E7B5520149E}"/>
    <hyperlink ref="K57" r:id="rId77" xr:uid="{83649E96-AF94-493B-9D3B-52C7AC6EB6B3}"/>
    <hyperlink ref="K58" r:id="rId78" xr:uid="{77EEB87E-8B93-432C-8AF2-A46923AFDC5A}"/>
    <hyperlink ref="K59" r:id="rId79" xr:uid="{D31DF016-5728-4293-94C2-FF069A5C0D90}"/>
    <hyperlink ref="L59" r:id="rId80" xr:uid="{0EF841FC-1363-46EA-9829-D18214866DCE}"/>
    <hyperlink ref="L60" r:id="rId81" xr:uid="{10EC565A-FB24-4EE6-8903-DE4B27CA25D0}"/>
    <hyperlink ref="K60" r:id="rId82" xr:uid="{9EB570C9-AFFF-4FCA-A68D-CC8287FE081B}"/>
    <hyperlink ref="K63" r:id="rId83" xr:uid="{67D7A6A7-05C4-4997-ACCD-77D29E69973D}"/>
    <hyperlink ref="L63" r:id="rId84" xr:uid="{F78FB253-64E6-4327-B67E-848D3471F040}"/>
    <hyperlink ref="K64" r:id="rId85" xr:uid="{A9458474-9EB3-4820-B2C6-BB472F27C4A7}"/>
    <hyperlink ref="K65" r:id="rId86" xr:uid="{616EAD5B-0160-4F41-8183-6A6EB22DB8B7}"/>
    <hyperlink ref="K67" r:id="rId87" xr:uid="{3508BBEC-E8F5-4616-A6B9-6741E1414D85}"/>
    <hyperlink ref="K66" r:id="rId88" xr:uid="{9F86A216-FC34-41B7-BA47-87582B7A47EA}"/>
    <hyperlink ref="K68" r:id="rId89" xr:uid="{94323682-0D9F-4B1D-BC83-0E3EEC86C14E}"/>
    <hyperlink ref="K69" r:id="rId90" xr:uid="{FC5FBDF0-845C-4020-9D40-AFF9ECF51002}"/>
    <hyperlink ref="K70" r:id="rId91" xr:uid="{F62A2EA8-BB70-487B-8D84-900759119891}"/>
    <hyperlink ref="K71" r:id="rId92" xr:uid="{48388E5C-D26C-4FE4-9D0C-66ABF86A8058}"/>
    <hyperlink ref="K72" r:id="rId93" xr:uid="{8C5AF0FF-E48A-425F-9A00-D0715BC8E4FE}"/>
    <hyperlink ref="K73" r:id="rId94" xr:uid="{67CC5EE9-DB31-4CEB-B91E-99F68069EF96}"/>
    <hyperlink ref="K74" r:id="rId95" xr:uid="{1E1B7692-74A4-4C83-A577-18156C920DBE}"/>
    <hyperlink ref="K75" r:id="rId96" xr:uid="{CA0277D1-DB14-438B-9074-1F1AC7B61D3A}"/>
    <hyperlink ref="K76" r:id="rId97" xr:uid="{C286FA35-9307-49D6-9702-3BA108D32978}"/>
    <hyperlink ref="K77" r:id="rId98" xr:uid="{4782BAEC-65FE-46B1-8BD9-46A13FCECE8A}"/>
    <hyperlink ref="K78" r:id="rId99" xr:uid="{78108ABB-D171-491E-B0C8-DA4C0A69A5A3}"/>
    <hyperlink ref="K79" r:id="rId100" xr:uid="{AD4E4D8B-9819-4C71-A5F1-ECB668DB64EA}"/>
    <hyperlink ref="K32" r:id="rId101" xr:uid="{13F5405B-2884-4044-9CE8-6056DADDD017}"/>
    <hyperlink ref="K80" r:id="rId102" xr:uid="{9F0EEE41-3310-4D8D-B69A-4CB30D8D11A6}"/>
    <hyperlink ref="K81" r:id="rId103" xr:uid="{3B7E4F55-9CD3-4E21-AAA8-F3964302F752}"/>
    <hyperlink ref="K82" r:id="rId104" xr:uid="{165DB1F1-EBF9-47F7-9479-BD62F1879E70}"/>
    <hyperlink ref="K83" r:id="rId105" xr:uid="{26C98EFE-73E0-4537-8045-9C71CB4E1489}"/>
    <hyperlink ref="L83" r:id="rId106" xr:uid="{F293E7D9-4F65-4A01-80A6-C8AADA52942D}"/>
    <hyperlink ref="K84" r:id="rId107" xr:uid="{F5CCC8C7-5D4D-409B-98CC-3162934AB955}"/>
    <hyperlink ref="K85" r:id="rId108" xr:uid="{34D3C0EB-C9CE-4DA9-82B4-ED1ACF6ECFD2}"/>
    <hyperlink ref="K86" r:id="rId109" xr:uid="{6196218D-A43F-4827-9AC9-E9AA2B582841}"/>
    <hyperlink ref="K87" r:id="rId110" xr:uid="{90801CE3-057F-4CDD-B44D-EC75480F7F0C}"/>
    <hyperlink ref="K88" r:id="rId111" xr:uid="{75D54EE9-C762-43F5-A2E0-1C04CBFFD422}"/>
    <hyperlink ref="L88" r:id="rId112" xr:uid="{7E8FE798-E8FE-4CA6-98C8-A76D78DC9393}"/>
    <hyperlink ref="K89" r:id="rId113" xr:uid="{F5BEB2C8-5FD3-4F12-9812-6E9BA31ECC68}"/>
    <hyperlink ref="L89" r:id="rId114" xr:uid="{0C719192-3C8A-4EF8-9B1C-439319E9A1B0}"/>
    <hyperlink ref="K90" r:id="rId115" xr:uid="{42D598DC-BFA6-4363-9548-820C88B12F5D}"/>
    <hyperlink ref="K91" r:id="rId116" xr:uid="{08A48798-2B2C-4F73-8A4B-CAD1C3B4052F}"/>
    <hyperlink ref="K92" r:id="rId117" xr:uid="{E30C915B-8ED1-4D44-95CF-AD097D82A44C}"/>
    <hyperlink ref="K93" r:id="rId118" xr:uid="{6EED6C8C-41B3-4FD9-9027-8DFCEFFD223F}"/>
    <hyperlink ref="K94" r:id="rId119" xr:uid="{D75D3C6D-5947-43C9-9EFC-85FA6CA3C77D}"/>
    <hyperlink ref="K95" r:id="rId120" xr:uid="{011E36FD-97BA-478B-80D2-CCCEFEA52969}"/>
    <hyperlink ref="K96" r:id="rId121" xr:uid="{AAFE4ADB-A31A-45EB-80D7-D2A36E6C6579}"/>
    <hyperlink ref="K97" r:id="rId122" xr:uid="{89205954-75AA-4914-BD72-3754E628C055}"/>
    <hyperlink ref="K98" r:id="rId123" xr:uid="{762A9B3A-6D5A-455F-A02A-DC5F637C0A84}"/>
    <hyperlink ref="K99" r:id="rId124" xr:uid="{EE00BDE4-8DE7-4168-8497-5EA52B6FCE6F}"/>
    <hyperlink ref="K100" r:id="rId125" xr:uid="{019910BF-857C-4A63-9330-B362A0C14B50}"/>
    <hyperlink ref="K102" r:id="rId126" xr:uid="{7D3A0541-5096-44AB-B37F-CF4D6B6757EC}"/>
    <hyperlink ref="K101" r:id="rId127" xr:uid="{4F0B9E69-8502-4577-AD9E-682610277375}"/>
    <hyperlink ref="K103" r:id="rId128" xr:uid="{F206F202-FA29-472E-B78D-0D4C445294B9}"/>
    <hyperlink ref="K104" r:id="rId129" xr:uid="{4AB7A393-AA31-4988-83D9-878098A48BBC}"/>
    <hyperlink ref="K105" r:id="rId130" xr:uid="{10D984BA-DAFD-44B8-8D0B-8DD4F3B31A0F}"/>
    <hyperlink ref="K106" r:id="rId131" xr:uid="{8698E775-9868-4B31-ACFD-9265F15444C6}"/>
    <hyperlink ref="K107" r:id="rId132" xr:uid="{7E0E7144-2796-4372-A862-41C60E1D0AAD}"/>
    <hyperlink ref="K108" r:id="rId133" xr:uid="{B1E4D30B-29C0-48C7-9EB1-20DE6F27660E}"/>
    <hyperlink ref="K109" r:id="rId134" xr:uid="{06ECDBEA-5344-4EB6-B705-0D3F11731AEA}"/>
    <hyperlink ref="L109" r:id="rId135" xr:uid="{77FD3921-2162-4918-8FD3-E9DD320150E9}"/>
    <hyperlink ref="K110" r:id="rId136" xr:uid="{88941445-7A1D-42CB-9F8D-0C5CE0B48918}"/>
    <hyperlink ref="K111" r:id="rId137" xr:uid="{326E8DC2-17BB-41D9-9606-BAE95F3ADEAF}"/>
    <hyperlink ref="L111" r:id="rId138" xr:uid="{3B0D1B56-CE04-417D-8B3A-A1027DADE423}"/>
    <hyperlink ref="K112" r:id="rId139" xr:uid="{B40E1AB9-635F-42A3-94C0-46A641E2EBF9}"/>
    <hyperlink ref="L112" r:id="rId140" xr:uid="{6610A928-C626-4BC2-85E4-5F07A6F20A4D}"/>
    <hyperlink ref="K113" r:id="rId141" xr:uid="{6DDDE8EC-89F9-42C3-A125-BD4FE72E594A}"/>
  </hyperlinks>
  <pageMargins left="0.7" right="0.7" top="0.75" bottom="0.75" header="0.3" footer="0.3"/>
  <headerFooter>
    <oddFooter>&amp;C_x000D_&amp;1#&amp;"Aptos"&amp;12&amp;K000000 SBI Card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4DAE-5A7A-494A-BDE1-3CE98F0539CB}">
  <dimension ref="A1:T134"/>
  <sheetViews>
    <sheetView topLeftCell="K1" workbookViewId="0">
      <pane ySplit="1" topLeftCell="I27" activePane="bottomLeft" state="frozen"/>
      <selection pane="bottomLeft" activeCell="E52" sqref="E52"/>
    </sheetView>
  </sheetViews>
  <sheetFormatPr defaultColWidth="9.140625" defaultRowHeight="15"/>
  <cols>
    <col min="1" max="1" width="13.85546875" style="8" customWidth="1"/>
    <col min="2" max="2" width="15.85546875" style="8" customWidth="1"/>
    <col min="3" max="3" width="12.5703125" style="8" customWidth="1"/>
    <col min="4" max="4" width="21.5703125" style="8" customWidth="1"/>
    <col min="5" max="5" width="25.85546875" style="40" customWidth="1"/>
    <col min="6" max="7" width="14.42578125" style="8" customWidth="1"/>
    <col min="8" max="8" width="18" style="8" customWidth="1"/>
    <col min="9" max="9" width="52.5703125" style="15" customWidth="1"/>
    <col min="10" max="10" width="73.7109375" style="15" customWidth="1"/>
    <col min="11" max="12" width="39.7109375" style="15" customWidth="1"/>
    <col min="13" max="14" width="16" style="40" customWidth="1"/>
    <col min="15" max="15" width="17.85546875" style="8" customWidth="1"/>
    <col min="16" max="16" width="46.5703125" style="54" customWidth="1"/>
    <col min="17" max="18" width="15.85546875" style="8" customWidth="1"/>
    <col min="19" max="19" width="50.28515625" style="5" customWidth="1"/>
    <col min="20" max="20" width="20.7109375" style="8" customWidth="1"/>
  </cols>
  <sheetData>
    <row r="1" spans="1:20" ht="24.75" customHeight="1">
      <c r="A1" s="1" t="s">
        <v>889</v>
      </c>
      <c r="B1" s="1" t="s">
        <v>890</v>
      </c>
      <c r="C1" s="1" t="s">
        <v>739</v>
      </c>
      <c r="D1" s="1" t="s">
        <v>891</v>
      </c>
      <c r="E1" s="1" t="s">
        <v>740</v>
      </c>
      <c r="F1" s="1" t="s">
        <v>460</v>
      </c>
      <c r="G1" s="1" t="s">
        <v>892</v>
      </c>
      <c r="H1" s="1" t="s">
        <v>893</v>
      </c>
      <c r="I1" s="1" t="s">
        <v>894</v>
      </c>
      <c r="J1" s="6" t="s">
        <v>895</v>
      </c>
      <c r="K1" s="6" t="s">
        <v>896</v>
      </c>
      <c r="L1" s="6" t="s">
        <v>897</v>
      </c>
      <c r="M1" s="6" t="s">
        <v>898</v>
      </c>
      <c r="N1" s="6" t="s">
        <v>744</v>
      </c>
      <c r="O1" s="1" t="s">
        <v>899</v>
      </c>
      <c r="P1" s="3" t="s">
        <v>900</v>
      </c>
      <c r="Q1" s="1" t="s">
        <v>901</v>
      </c>
      <c r="R1" s="2" t="s">
        <v>902</v>
      </c>
      <c r="S1" s="123" t="s">
        <v>276</v>
      </c>
      <c r="T1" s="1" t="s">
        <v>1520</v>
      </c>
    </row>
    <row r="2" spans="1:20">
      <c r="A2" s="7" t="s">
        <v>1521</v>
      </c>
      <c r="B2" s="7" t="s">
        <v>1522</v>
      </c>
      <c r="C2" s="7" t="s">
        <v>754</v>
      </c>
      <c r="D2" s="7" t="s">
        <v>906</v>
      </c>
      <c r="E2" s="32" t="s">
        <v>828</v>
      </c>
      <c r="F2" s="7"/>
      <c r="G2" s="7" t="s">
        <v>16</v>
      </c>
      <c r="H2" s="7" t="s">
        <v>1171</v>
      </c>
      <c r="I2" s="14" t="s">
        <v>1523</v>
      </c>
      <c r="J2" s="14" t="s">
        <v>1524</v>
      </c>
      <c r="K2" s="28" t="s">
        <v>1525</v>
      </c>
      <c r="L2" s="28" t="s">
        <v>39</v>
      </c>
      <c r="M2" s="32" t="s">
        <v>912</v>
      </c>
      <c r="N2" s="32" t="s">
        <v>973</v>
      </c>
      <c r="O2" s="7"/>
      <c r="P2" s="43" t="s">
        <v>1526</v>
      </c>
      <c r="Q2" s="9" t="s">
        <v>4</v>
      </c>
      <c r="R2" s="44" t="s">
        <v>1278</v>
      </c>
      <c r="S2" s="121" t="s">
        <v>1527</v>
      </c>
      <c r="T2" s="7" t="s">
        <v>868</v>
      </c>
    </row>
    <row r="3" spans="1:20">
      <c r="A3" s="7" t="s">
        <v>1528</v>
      </c>
      <c r="B3" s="7" t="s">
        <v>1522</v>
      </c>
      <c r="C3" s="7" t="s">
        <v>769</v>
      </c>
      <c r="D3" s="7" t="s">
        <v>906</v>
      </c>
      <c r="E3" s="32" t="s">
        <v>1003</v>
      </c>
      <c r="F3" s="7"/>
      <c r="G3" s="7" t="s">
        <v>12</v>
      </c>
      <c r="H3" s="7" t="s">
        <v>1142</v>
      </c>
      <c r="I3" s="14" t="s">
        <v>1529</v>
      </c>
      <c r="J3" s="14" t="s">
        <v>1530</v>
      </c>
      <c r="K3" s="28" t="s">
        <v>1531</v>
      </c>
      <c r="L3" s="14" t="s">
        <v>39</v>
      </c>
      <c r="M3" s="32" t="s">
        <v>912</v>
      </c>
      <c r="N3" s="32"/>
      <c r="O3" s="7"/>
      <c r="P3" s="43"/>
      <c r="Q3" s="9" t="s">
        <v>3</v>
      </c>
      <c r="R3" s="9" t="s">
        <v>1126</v>
      </c>
      <c r="S3" s="121"/>
      <c r="T3" s="98"/>
    </row>
    <row r="4" spans="1:20">
      <c r="A4" s="7" t="s">
        <v>1532</v>
      </c>
      <c r="B4" s="7" t="s">
        <v>1533</v>
      </c>
      <c r="C4" s="7" t="s">
        <v>769</v>
      </c>
      <c r="D4" s="7" t="s">
        <v>906</v>
      </c>
      <c r="E4" s="32" t="s">
        <v>755</v>
      </c>
      <c r="F4" s="7"/>
      <c r="G4" s="7" t="s">
        <v>12</v>
      </c>
      <c r="H4" s="7" t="s">
        <v>1030</v>
      </c>
      <c r="I4" s="14" t="s">
        <v>1534</v>
      </c>
      <c r="J4" s="14" t="s">
        <v>1535</v>
      </c>
      <c r="K4" s="28" t="s">
        <v>1536</v>
      </c>
      <c r="L4" s="14" t="s">
        <v>39</v>
      </c>
      <c r="M4" s="32" t="s">
        <v>912</v>
      </c>
      <c r="N4" s="32"/>
      <c r="O4" s="7"/>
      <c r="P4" s="43"/>
      <c r="Q4" s="9" t="s">
        <v>5</v>
      </c>
      <c r="R4" s="44" t="s">
        <v>1537</v>
      </c>
      <c r="S4" s="121" t="s">
        <v>1538</v>
      </c>
      <c r="T4" s="98"/>
    </row>
    <row r="5" spans="1:20">
      <c r="A5" s="7" t="s">
        <v>1539</v>
      </c>
      <c r="B5" s="7" t="s">
        <v>1533</v>
      </c>
      <c r="C5" s="7" t="s">
        <v>746</v>
      </c>
      <c r="D5" s="7" t="s">
        <v>906</v>
      </c>
      <c r="E5" s="32" t="s">
        <v>755</v>
      </c>
      <c r="F5" s="7"/>
      <c r="G5" s="7" t="s">
        <v>12</v>
      </c>
      <c r="H5" s="7" t="s">
        <v>1013</v>
      </c>
      <c r="I5" s="14" t="s">
        <v>1540</v>
      </c>
      <c r="J5" s="14" t="s">
        <v>1541</v>
      </c>
      <c r="K5" s="28" t="s">
        <v>1542</v>
      </c>
      <c r="L5" s="28" t="s">
        <v>1543</v>
      </c>
      <c r="M5" s="32" t="s">
        <v>912</v>
      </c>
      <c r="N5" s="32"/>
      <c r="O5" s="7"/>
      <c r="P5" s="43"/>
      <c r="Q5" s="9" t="s">
        <v>3</v>
      </c>
      <c r="R5" s="44">
        <v>46357</v>
      </c>
      <c r="S5" s="121"/>
      <c r="T5" s="98"/>
    </row>
    <row r="6" spans="1:20" s="27" customFormat="1">
      <c r="A6" s="7" t="s">
        <v>1544</v>
      </c>
      <c r="B6" s="7" t="s">
        <v>1533</v>
      </c>
      <c r="C6" s="7" t="s">
        <v>769</v>
      </c>
      <c r="D6" s="7" t="s">
        <v>906</v>
      </c>
      <c r="E6" s="32" t="s">
        <v>1003</v>
      </c>
      <c r="F6" s="7"/>
      <c r="G6" s="7" t="s">
        <v>16</v>
      </c>
      <c r="H6" s="7" t="s">
        <v>969</v>
      </c>
      <c r="I6" s="14" t="s">
        <v>1545</v>
      </c>
      <c r="J6" s="14" t="s">
        <v>1546</v>
      </c>
      <c r="K6" s="28" t="s">
        <v>1547</v>
      </c>
      <c r="L6" s="28" t="s">
        <v>1548</v>
      </c>
      <c r="M6" s="32" t="s">
        <v>912</v>
      </c>
      <c r="N6" s="32" t="s">
        <v>973</v>
      </c>
      <c r="O6" s="7"/>
      <c r="P6" s="43"/>
      <c r="Q6" s="9" t="s">
        <v>3</v>
      </c>
      <c r="R6" s="44" t="s">
        <v>1164</v>
      </c>
      <c r="S6" s="121" t="s">
        <v>1549</v>
      </c>
      <c r="T6" s="7" t="s">
        <v>1028</v>
      </c>
    </row>
    <row r="7" spans="1:20">
      <c r="A7" s="7" t="s">
        <v>1550</v>
      </c>
      <c r="B7" s="7" t="s">
        <v>1533</v>
      </c>
      <c r="C7" s="7" t="s">
        <v>746</v>
      </c>
      <c r="D7" s="7" t="s">
        <v>906</v>
      </c>
      <c r="E7" s="32" t="s">
        <v>767</v>
      </c>
      <c r="F7" s="7"/>
      <c r="G7" s="7" t="s">
        <v>12</v>
      </c>
      <c r="H7" s="7" t="s">
        <v>1551</v>
      </c>
      <c r="I7" s="14" t="s">
        <v>1552</v>
      </c>
      <c r="J7" s="14" t="s">
        <v>1553</v>
      </c>
      <c r="K7" s="28" t="s">
        <v>1554</v>
      </c>
      <c r="L7" s="28" t="s">
        <v>1555</v>
      </c>
      <c r="M7" s="32" t="s">
        <v>912</v>
      </c>
      <c r="N7" s="32"/>
      <c r="O7" s="7"/>
      <c r="P7" s="48"/>
      <c r="Q7" s="9" t="s">
        <v>3</v>
      </c>
      <c r="R7" s="9" t="s">
        <v>1046</v>
      </c>
      <c r="S7" s="121" t="s">
        <v>1556</v>
      </c>
      <c r="T7" s="98"/>
    </row>
    <row r="8" spans="1:20">
      <c r="A8" s="7" t="s">
        <v>1557</v>
      </c>
      <c r="B8" s="7" t="s">
        <v>1533</v>
      </c>
      <c r="C8" s="7" t="s">
        <v>769</v>
      </c>
      <c r="D8" s="7" t="s">
        <v>906</v>
      </c>
      <c r="E8" s="32" t="s">
        <v>1558</v>
      </c>
      <c r="F8" s="7" t="s">
        <v>494</v>
      </c>
      <c r="G8" s="7" t="s">
        <v>16</v>
      </c>
      <c r="H8" s="7" t="s">
        <v>969</v>
      </c>
      <c r="I8" s="14" t="s">
        <v>1559</v>
      </c>
      <c r="J8" s="14" t="s">
        <v>1560</v>
      </c>
      <c r="K8" s="28" t="s">
        <v>1561</v>
      </c>
      <c r="L8" s="28" t="s">
        <v>1562</v>
      </c>
      <c r="M8" s="32" t="s">
        <v>912</v>
      </c>
      <c r="N8" s="32" t="s">
        <v>973</v>
      </c>
      <c r="O8" s="9"/>
      <c r="P8" s="12" t="s">
        <v>1563</v>
      </c>
      <c r="Q8" s="31" t="s">
        <v>3</v>
      </c>
      <c r="R8" s="9" t="s">
        <v>1564</v>
      </c>
      <c r="S8" s="121" t="s">
        <v>1565</v>
      </c>
      <c r="T8" s="7" t="s">
        <v>868</v>
      </c>
    </row>
    <row r="9" spans="1:20">
      <c r="A9" s="7" t="s">
        <v>1566</v>
      </c>
      <c r="B9" s="47">
        <v>46143</v>
      </c>
      <c r="C9" s="7" t="s">
        <v>746</v>
      </c>
      <c r="D9" s="7" t="s">
        <v>906</v>
      </c>
      <c r="E9" s="32" t="s">
        <v>828</v>
      </c>
      <c r="F9" s="7"/>
      <c r="G9" s="7" t="s">
        <v>12</v>
      </c>
      <c r="H9" s="7" t="s">
        <v>1182</v>
      </c>
      <c r="I9" s="14" t="s">
        <v>1567</v>
      </c>
      <c r="J9" s="14" t="s">
        <v>1568</v>
      </c>
      <c r="K9" s="28" t="s">
        <v>1542</v>
      </c>
      <c r="L9" s="14" t="s">
        <v>39</v>
      </c>
      <c r="M9" s="32" t="s">
        <v>912</v>
      </c>
      <c r="N9" s="32"/>
      <c r="O9" s="9"/>
      <c r="P9" s="58"/>
      <c r="Q9" s="31" t="s">
        <v>3</v>
      </c>
      <c r="R9" s="44">
        <v>46357</v>
      </c>
      <c r="S9" s="121"/>
      <c r="T9" s="98"/>
    </row>
    <row r="10" spans="1:20">
      <c r="A10" s="7" t="s">
        <v>1569</v>
      </c>
      <c r="B10" s="47">
        <v>46143</v>
      </c>
      <c r="C10" s="7" t="s">
        <v>769</v>
      </c>
      <c r="D10" s="7" t="s">
        <v>906</v>
      </c>
      <c r="E10" s="32" t="s">
        <v>1049</v>
      </c>
      <c r="F10" s="7" t="s">
        <v>39</v>
      </c>
      <c r="G10" s="7" t="s">
        <v>12</v>
      </c>
      <c r="H10" s="7" t="s">
        <v>1050</v>
      </c>
      <c r="I10" s="14" t="s">
        <v>1051</v>
      </c>
      <c r="J10" s="14" t="s">
        <v>1570</v>
      </c>
      <c r="K10" s="28" t="s">
        <v>1053</v>
      </c>
      <c r="L10" s="14" t="s">
        <v>39</v>
      </c>
      <c r="M10" s="32" t="s">
        <v>912</v>
      </c>
      <c r="N10" s="32"/>
      <c r="O10" s="9"/>
      <c r="P10" s="58"/>
      <c r="Q10" s="31" t="s">
        <v>3</v>
      </c>
      <c r="R10" s="9" t="s">
        <v>1126</v>
      </c>
      <c r="S10" s="121" t="s">
        <v>1571</v>
      </c>
      <c r="T10" s="98"/>
    </row>
    <row r="11" spans="1:20">
      <c r="A11" s="7" t="s">
        <v>1572</v>
      </c>
      <c r="B11" s="47">
        <v>46357</v>
      </c>
      <c r="C11" s="7" t="s">
        <v>769</v>
      </c>
      <c r="D11" s="7" t="s">
        <v>1573</v>
      </c>
      <c r="E11" s="32" t="s">
        <v>1574</v>
      </c>
      <c r="F11" s="7" t="s">
        <v>39</v>
      </c>
      <c r="G11" s="7" t="s">
        <v>12</v>
      </c>
      <c r="H11" s="7" t="s">
        <v>1575</v>
      </c>
      <c r="I11" s="14" t="s">
        <v>1576</v>
      </c>
      <c r="J11" s="14" t="s">
        <v>1577</v>
      </c>
      <c r="K11" s="28" t="s">
        <v>1578</v>
      </c>
      <c r="L11" s="28" t="s">
        <v>1579</v>
      </c>
      <c r="M11" s="32" t="s">
        <v>912</v>
      </c>
      <c r="N11" s="32"/>
      <c r="O11" s="45"/>
      <c r="P11" s="50"/>
      <c r="Q11" s="9" t="s">
        <v>3</v>
      </c>
      <c r="R11" s="9" t="s">
        <v>1096</v>
      </c>
      <c r="S11" s="121" t="s">
        <v>1097</v>
      </c>
      <c r="T11" s="98"/>
    </row>
    <row r="12" spans="1:20">
      <c r="A12" s="7" t="s">
        <v>1580</v>
      </c>
      <c r="B12" s="47">
        <v>46357</v>
      </c>
      <c r="C12" s="7" t="s">
        <v>769</v>
      </c>
      <c r="D12" s="7" t="s">
        <v>906</v>
      </c>
      <c r="E12" s="32" t="s">
        <v>1581</v>
      </c>
      <c r="F12" s="7" t="s">
        <v>39</v>
      </c>
      <c r="G12" s="7" t="s">
        <v>12</v>
      </c>
      <c r="H12" s="7" t="s">
        <v>1582</v>
      </c>
      <c r="I12" s="14" t="s">
        <v>1583</v>
      </c>
      <c r="J12" s="14" t="s">
        <v>1584</v>
      </c>
      <c r="K12" s="28" t="s">
        <v>1585</v>
      </c>
      <c r="L12" s="28" t="s">
        <v>1586</v>
      </c>
      <c r="M12" s="32" t="s">
        <v>912</v>
      </c>
      <c r="N12" s="32"/>
      <c r="O12" s="7" t="s">
        <v>1028</v>
      </c>
      <c r="P12" s="43"/>
      <c r="Q12" s="9" t="s">
        <v>3</v>
      </c>
      <c r="R12" s="9" t="s">
        <v>1046</v>
      </c>
      <c r="S12" s="121" t="s">
        <v>1587</v>
      </c>
      <c r="T12" s="98"/>
    </row>
    <row r="13" spans="1:20">
      <c r="A13" s="7" t="s">
        <v>1588</v>
      </c>
      <c r="B13" s="47">
        <v>46357</v>
      </c>
      <c r="C13" s="7" t="s">
        <v>769</v>
      </c>
      <c r="D13" s="7" t="s">
        <v>906</v>
      </c>
      <c r="E13" s="32" t="s">
        <v>1574</v>
      </c>
      <c r="F13" s="7" t="s">
        <v>39</v>
      </c>
      <c r="G13" s="7" t="s">
        <v>12</v>
      </c>
      <c r="H13" s="7" t="s">
        <v>1109</v>
      </c>
      <c r="I13" s="14" t="s">
        <v>1589</v>
      </c>
      <c r="J13" s="14" t="s">
        <v>1590</v>
      </c>
      <c r="K13" s="28" t="s">
        <v>1591</v>
      </c>
      <c r="L13" s="28" t="s">
        <v>1592</v>
      </c>
      <c r="M13" s="32" t="s">
        <v>912</v>
      </c>
      <c r="N13" s="32"/>
      <c r="O13" s="7"/>
      <c r="P13" s="43"/>
      <c r="Q13" s="9" t="s">
        <v>3</v>
      </c>
      <c r="R13" s="9" t="s">
        <v>1096</v>
      </c>
      <c r="S13" s="121" t="s">
        <v>1097</v>
      </c>
      <c r="T13" s="98"/>
    </row>
    <row r="14" spans="1:20">
      <c r="A14" s="7" t="s">
        <v>1593</v>
      </c>
      <c r="B14" s="47">
        <v>46357</v>
      </c>
      <c r="C14" s="7" t="s">
        <v>769</v>
      </c>
      <c r="D14" s="7" t="s">
        <v>1084</v>
      </c>
      <c r="E14" s="32" t="s">
        <v>1574</v>
      </c>
      <c r="F14" s="7" t="s">
        <v>39</v>
      </c>
      <c r="G14" s="7" t="s">
        <v>12</v>
      </c>
      <c r="H14" s="7" t="s">
        <v>1085</v>
      </c>
      <c r="I14" s="14" t="s">
        <v>1594</v>
      </c>
      <c r="J14" s="14" t="s">
        <v>1595</v>
      </c>
      <c r="K14" s="28" t="s">
        <v>1596</v>
      </c>
      <c r="L14" s="14" t="s">
        <v>39</v>
      </c>
      <c r="M14" s="32" t="s">
        <v>912</v>
      </c>
      <c r="N14" s="32"/>
      <c r="O14" s="7"/>
      <c r="P14" s="43"/>
      <c r="Q14" s="9" t="s">
        <v>3</v>
      </c>
      <c r="R14" s="9" t="s">
        <v>1096</v>
      </c>
      <c r="S14" s="121" t="s">
        <v>1097</v>
      </c>
      <c r="T14" s="98"/>
    </row>
    <row r="15" spans="1:20">
      <c r="A15" s="7" t="s">
        <v>1597</v>
      </c>
      <c r="B15" s="47">
        <v>46357</v>
      </c>
      <c r="C15" s="7" t="s">
        <v>746</v>
      </c>
      <c r="D15" s="7" t="s">
        <v>906</v>
      </c>
      <c r="E15" s="32" t="s">
        <v>828</v>
      </c>
      <c r="F15" s="7" t="s">
        <v>39</v>
      </c>
      <c r="G15" s="7" t="s">
        <v>12</v>
      </c>
      <c r="H15" s="7" t="s">
        <v>943</v>
      </c>
      <c r="I15" s="14" t="s">
        <v>1598</v>
      </c>
      <c r="J15" s="12" t="s">
        <v>1599</v>
      </c>
      <c r="K15" s="28" t="s">
        <v>1600</v>
      </c>
      <c r="L15" s="28" t="s">
        <v>1601</v>
      </c>
      <c r="M15" s="32" t="s">
        <v>912</v>
      </c>
      <c r="N15" s="32"/>
      <c r="O15" s="7"/>
      <c r="P15" s="43"/>
      <c r="Q15" s="9" t="s">
        <v>3</v>
      </c>
      <c r="R15" s="9" t="s">
        <v>1096</v>
      </c>
      <c r="S15" s="121" t="s">
        <v>1097</v>
      </c>
      <c r="T15" s="98"/>
    </row>
    <row r="16" spans="1:20">
      <c r="A16" s="7" t="s">
        <v>1602</v>
      </c>
      <c r="B16" s="47">
        <v>46357</v>
      </c>
      <c r="C16" s="7" t="s">
        <v>769</v>
      </c>
      <c r="D16" s="7" t="s">
        <v>906</v>
      </c>
      <c r="E16" s="32" t="s">
        <v>1574</v>
      </c>
      <c r="F16" s="7" t="s">
        <v>39</v>
      </c>
      <c r="G16" s="7" t="s">
        <v>12</v>
      </c>
      <c r="H16" s="7" t="s">
        <v>943</v>
      </c>
      <c r="I16" s="71" t="s">
        <v>1603</v>
      </c>
      <c r="J16" s="49" t="s">
        <v>1604</v>
      </c>
      <c r="K16" s="29" t="s">
        <v>1605</v>
      </c>
      <c r="L16" s="28" t="s">
        <v>1606</v>
      </c>
      <c r="M16" s="32" t="s">
        <v>912</v>
      </c>
      <c r="N16" s="32"/>
      <c r="O16" s="7"/>
      <c r="P16" s="43"/>
      <c r="Q16" s="9" t="s">
        <v>3</v>
      </c>
      <c r="R16" s="9" t="s">
        <v>1096</v>
      </c>
      <c r="S16" s="121" t="s">
        <v>1097</v>
      </c>
      <c r="T16" s="98"/>
    </row>
    <row r="17" spans="1:20">
      <c r="A17" s="7" t="s">
        <v>1607</v>
      </c>
      <c r="B17" s="47">
        <v>46357</v>
      </c>
      <c r="C17" s="7" t="s">
        <v>769</v>
      </c>
      <c r="D17" s="7" t="s">
        <v>906</v>
      </c>
      <c r="E17" s="32" t="s">
        <v>1574</v>
      </c>
      <c r="F17" s="7" t="s">
        <v>39</v>
      </c>
      <c r="G17" s="7" t="s">
        <v>12</v>
      </c>
      <c r="H17" s="7" t="s">
        <v>943</v>
      </c>
      <c r="I17" s="71" t="s">
        <v>1608</v>
      </c>
      <c r="J17" s="49" t="s">
        <v>1609</v>
      </c>
      <c r="K17" s="29" t="s">
        <v>1610</v>
      </c>
      <c r="L17" s="28" t="s">
        <v>1611</v>
      </c>
      <c r="M17" s="32" t="s">
        <v>912</v>
      </c>
      <c r="N17" s="32"/>
      <c r="O17" s="7"/>
      <c r="P17" s="43"/>
      <c r="Q17" s="9" t="s">
        <v>3</v>
      </c>
      <c r="R17" s="9" t="s">
        <v>1096</v>
      </c>
      <c r="S17" s="121" t="s">
        <v>1097</v>
      </c>
      <c r="T17" s="98"/>
    </row>
    <row r="18" spans="1:20">
      <c r="A18" s="7" t="s">
        <v>1612</v>
      </c>
      <c r="B18" s="47">
        <v>46357</v>
      </c>
      <c r="C18" s="7" t="s">
        <v>746</v>
      </c>
      <c r="D18" s="7" t="s">
        <v>906</v>
      </c>
      <c r="E18" s="32" t="s">
        <v>1574</v>
      </c>
      <c r="F18" s="7" t="s">
        <v>39</v>
      </c>
      <c r="G18" s="7" t="s">
        <v>16</v>
      </c>
      <c r="H18" s="7" t="s">
        <v>804</v>
      </c>
      <c r="I18" s="14" t="s">
        <v>1613</v>
      </c>
      <c r="J18" s="46" t="s">
        <v>1614</v>
      </c>
      <c r="K18" s="28" t="s">
        <v>1615</v>
      </c>
      <c r="L18" s="28" t="s">
        <v>1616</v>
      </c>
      <c r="M18" s="32" t="s">
        <v>912</v>
      </c>
      <c r="N18" s="32" t="s">
        <v>973</v>
      </c>
      <c r="O18" s="7"/>
      <c r="P18" s="43"/>
      <c r="Q18" s="9" t="s">
        <v>3</v>
      </c>
      <c r="R18" s="9" t="s">
        <v>1126</v>
      </c>
      <c r="S18" s="121"/>
      <c r="T18" s="98"/>
    </row>
    <row r="19" spans="1:20">
      <c r="A19" s="7" t="s">
        <v>1617</v>
      </c>
      <c r="B19" s="47">
        <v>46357</v>
      </c>
      <c r="C19" s="7" t="s">
        <v>769</v>
      </c>
      <c r="D19" s="7" t="s">
        <v>906</v>
      </c>
      <c r="E19" s="32" t="s">
        <v>828</v>
      </c>
      <c r="F19" s="7" t="s">
        <v>39</v>
      </c>
      <c r="G19" s="7" t="s">
        <v>12</v>
      </c>
      <c r="H19" s="7" t="s">
        <v>943</v>
      </c>
      <c r="I19" s="14" t="s">
        <v>1618</v>
      </c>
      <c r="J19" s="14" t="s">
        <v>1619</v>
      </c>
      <c r="K19" s="28" t="s">
        <v>1620</v>
      </c>
      <c r="L19" s="28" t="s">
        <v>1621</v>
      </c>
      <c r="M19" s="32" t="s">
        <v>912</v>
      </c>
      <c r="N19" s="32"/>
      <c r="O19" s="7"/>
      <c r="P19" s="43"/>
      <c r="Q19" s="9" t="s">
        <v>3</v>
      </c>
      <c r="R19" s="9" t="s">
        <v>1126</v>
      </c>
      <c r="S19" s="121" t="s">
        <v>1622</v>
      </c>
      <c r="T19" s="98"/>
    </row>
    <row r="20" spans="1:20">
      <c r="A20" s="7" t="s">
        <v>1623</v>
      </c>
      <c r="B20" s="47">
        <v>46357</v>
      </c>
      <c r="C20" s="7" t="s">
        <v>1624</v>
      </c>
      <c r="D20" s="7" t="s">
        <v>906</v>
      </c>
      <c r="E20" s="32" t="s">
        <v>828</v>
      </c>
      <c r="F20" s="7" t="s">
        <v>39</v>
      </c>
      <c r="G20" s="7" t="s">
        <v>12</v>
      </c>
      <c r="H20" s="7" t="s">
        <v>943</v>
      </c>
      <c r="I20" s="14" t="s">
        <v>1625</v>
      </c>
      <c r="J20" s="14" t="s">
        <v>1626</v>
      </c>
      <c r="K20" s="28" t="s">
        <v>1627</v>
      </c>
      <c r="L20" s="28" t="s">
        <v>1628</v>
      </c>
      <c r="M20" s="32" t="s">
        <v>912</v>
      </c>
      <c r="N20" s="32"/>
      <c r="O20" s="7"/>
      <c r="P20" s="48"/>
      <c r="Q20" s="9" t="s">
        <v>3</v>
      </c>
      <c r="R20" s="9" t="s">
        <v>1126</v>
      </c>
      <c r="S20" s="121" t="s">
        <v>1622</v>
      </c>
      <c r="T20" s="98"/>
    </row>
    <row r="21" spans="1:20">
      <c r="A21" s="7" t="s">
        <v>1629</v>
      </c>
      <c r="B21" s="7" t="s">
        <v>1126</v>
      </c>
      <c r="C21" s="7" t="s">
        <v>746</v>
      </c>
      <c r="D21" s="7" t="s">
        <v>906</v>
      </c>
      <c r="E21" s="32" t="s">
        <v>1581</v>
      </c>
      <c r="F21" s="7" t="s">
        <v>39</v>
      </c>
      <c r="G21" s="7" t="s">
        <v>12</v>
      </c>
      <c r="H21" s="7" t="s">
        <v>907</v>
      </c>
      <c r="I21" s="14" t="s">
        <v>1630</v>
      </c>
      <c r="J21" s="14" t="s">
        <v>1631</v>
      </c>
      <c r="K21" s="56" t="s">
        <v>1632</v>
      </c>
      <c r="L21" s="56" t="s">
        <v>39</v>
      </c>
      <c r="M21" s="32" t="s">
        <v>912</v>
      </c>
      <c r="N21" s="32" t="s">
        <v>752</v>
      </c>
      <c r="O21" s="9" t="s">
        <v>1028</v>
      </c>
      <c r="P21" s="14" t="s">
        <v>1633</v>
      </c>
      <c r="Q21" s="31" t="s">
        <v>3</v>
      </c>
      <c r="R21" s="44">
        <v>46145</v>
      </c>
      <c r="S21" s="121" t="s">
        <v>1634</v>
      </c>
      <c r="T21" s="98"/>
    </row>
    <row r="22" spans="1:20">
      <c r="A22" s="7" t="s">
        <v>1635</v>
      </c>
      <c r="B22" s="7" t="s">
        <v>1010</v>
      </c>
      <c r="C22" s="7" t="s">
        <v>754</v>
      </c>
      <c r="D22" s="7" t="s">
        <v>906</v>
      </c>
      <c r="E22" s="32" t="s">
        <v>1003</v>
      </c>
      <c r="F22" s="7" t="s">
        <v>39</v>
      </c>
      <c r="G22" s="7" t="s">
        <v>16</v>
      </c>
      <c r="H22" s="7" t="s">
        <v>1636</v>
      </c>
      <c r="I22" s="14" t="s">
        <v>1637</v>
      </c>
      <c r="J22" s="14" t="s">
        <v>1638</v>
      </c>
      <c r="K22" s="28" t="s">
        <v>1639</v>
      </c>
      <c r="L22" s="28" t="s">
        <v>1640</v>
      </c>
      <c r="M22" s="32" t="s">
        <v>912</v>
      </c>
      <c r="N22" s="32" t="s">
        <v>973</v>
      </c>
      <c r="O22" s="9"/>
      <c r="P22" s="50"/>
      <c r="Q22" s="31" t="s">
        <v>3</v>
      </c>
      <c r="R22" s="9" t="s">
        <v>1089</v>
      </c>
      <c r="S22" s="121" t="s">
        <v>1641</v>
      </c>
      <c r="T22" s="7" t="s">
        <v>868</v>
      </c>
    </row>
    <row r="23" spans="1:20">
      <c r="A23" s="7" t="s">
        <v>1642</v>
      </c>
      <c r="B23" s="7" t="s">
        <v>1010</v>
      </c>
      <c r="C23" s="7" t="s">
        <v>754</v>
      </c>
      <c r="D23" s="7" t="s">
        <v>906</v>
      </c>
      <c r="E23" s="32" t="s">
        <v>755</v>
      </c>
      <c r="F23" s="7" t="s">
        <v>39</v>
      </c>
      <c r="G23" s="7" t="s">
        <v>12</v>
      </c>
      <c r="H23" s="7" t="s">
        <v>1030</v>
      </c>
      <c r="I23" s="14" t="s">
        <v>1643</v>
      </c>
      <c r="J23" s="14" t="s">
        <v>1644</v>
      </c>
      <c r="K23" s="28" t="s">
        <v>1645</v>
      </c>
      <c r="L23" s="14" t="s">
        <v>39</v>
      </c>
      <c r="M23" s="32" t="s">
        <v>912</v>
      </c>
      <c r="N23" s="32"/>
      <c r="O23" s="9"/>
      <c r="P23" s="76" t="s">
        <v>1138</v>
      </c>
      <c r="Q23" s="31" t="s">
        <v>5</v>
      </c>
      <c r="R23" s="44" t="s">
        <v>1537</v>
      </c>
      <c r="S23" s="121" t="s">
        <v>1646</v>
      </c>
      <c r="T23" s="98"/>
    </row>
    <row r="24" spans="1:20">
      <c r="A24" s="7" t="s">
        <v>1647</v>
      </c>
      <c r="B24" s="7" t="s">
        <v>1010</v>
      </c>
      <c r="C24" s="7" t="s">
        <v>754</v>
      </c>
      <c r="D24" s="7" t="s">
        <v>906</v>
      </c>
      <c r="E24" s="32" t="s">
        <v>828</v>
      </c>
      <c r="F24" s="7" t="s">
        <v>39</v>
      </c>
      <c r="G24" s="7" t="s">
        <v>16</v>
      </c>
      <c r="H24" s="17" t="s">
        <v>1109</v>
      </c>
      <c r="I24" s="46" t="s">
        <v>1648</v>
      </c>
      <c r="J24" s="14" t="s">
        <v>1649</v>
      </c>
      <c r="K24" s="28" t="s">
        <v>1650</v>
      </c>
      <c r="L24" s="14" t="s">
        <v>39</v>
      </c>
      <c r="M24" s="32" t="s">
        <v>912</v>
      </c>
      <c r="N24" s="32" t="s">
        <v>973</v>
      </c>
      <c r="O24" s="9"/>
      <c r="P24" s="43"/>
      <c r="Q24" s="31" t="s">
        <v>3</v>
      </c>
      <c r="R24" s="9" t="s">
        <v>1089</v>
      </c>
      <c r="S24" s="121" t="s">
        <v>1651</v>
      </c>
      <c r="T24" s="7" t="s">
        <v>868</v>
      </c>
    </row>
    <row r="25" spans="1:20">
      <c r="A25" s="7" t="s">
        <v>1652</v>
      </c>
      <c r="B25" s="7" t="s">
        <v>1159</v>
      </c>
      <c r="C25" s="7" t="s">
        <v>746</v>
      </c>
      <c r="D25" s="7" t="s">
        <v>906</v>
      </c>
      <c r="E25" s="32" t="s">
        <v>828</v>
      </c>
      <c r="F25" s="7" t="s">
        <v>39</v>
      </c>
      <c r="G25" s="7" t="s">
        <v>12</v>
      </c>
      <c r="H25" s="17" t="s">
        <v>1204</v>
      </c>
      <c r="I25" s="46" t="s">
        <v>1653</v>
      </c>
      <c r="J25" s="14" t="s">
        <v>1654</v>
      </c>
      <c r="K25" s="28" t="s">
        <v>1655</v>
      </c>
      <c r="L25" s="14" t="s">
        <v>39</v>
      </c>
      <c r="M25" s="32" t="s">
        <v>912</v>
      </c>
      <c r="N25" s="32" t="s">
        <v>752</v>
      </c>
      <c r="O25" s="9"/>
      <c r="P25" s="43"/>
      <c r="Q25" s="31" t="s">
        <v>4</v>
      </c>
      <c r="R25" s="44" t="s">
        <v>1278</v>
      </c>
      <c r="S25" s="121" t="s">
        <v>1656</v>
      </c>
      <c r="T25" s="7" t="s">
        <v>1028</v>
      </c>
    </row>
    <row r="26" spans="1:20">
      <c r="A26" s="7" t="s">
        <v>1657</v>
      </c>
      <c r="B26" s="7" t="s">
        <v>1658</v>
      </c>
      <c r="C26" s="7" t="s">
        <v>769</v>
      </c>
      <c r="D26" s="7" t="s">
        <v>906</v>
      </c>
      <c r="E26" s="32" t="s">
        <v>828</v>
      </c>
      <c r="F26" s="7" t="s">
        <v>39</v>
      </c>
      <c r="G26" s="7" t="s">
        <v>16</v>
      </c>
      <c r="H26" s="7" t="s">
        <v>1182</v>
      </c>
      <c r="I26" s="14" t="s">
        <v>1659</v>
      </c>
      <c r="J26" s="14" t="s">
        <v>1660</v>
      </c>
      <c r="K26" s="28" t="s">
        <v>1661</v>
      </c>
      <c r="L26" s="14" t="s">
        <v>39</v>
      </c>
      <c r="M26" s="32" t="s">
        <v>912</v>
      </c>
      <c r="N26" s="32" t="s">
        <v>973</v>
      </c>
      <c r="O26" s="7"/>
      <c r="P26" s="43"/>
      <c r="Q26" s="9" t="s">
        <v>3</v>
      </c>
      <c r="R26" s="44" t="s">
        <v>1089</v>
      </c>
      <c r="S26" s="121" t="s">
        <v>1662</v>
      </c>
      <c r="T26" s="7" t="s">
        <v>1028</v>
      </c>
    </row>
    <row r="27" spans="1:20">
      <c r="A27" s="7" t="s">
        <v>1663</v>
      </c>
      <c r="B27" s="7" t="s">
        <v>1658</v>
      </c>
      <c r="C27" s="7" t="s">
        <v>746</v>
      </c>
      <c r="D27" s="7" t="s">
        <v>906</v>
      </c>
      <c r="E27" s="32" t="s">
        <v>755</v>
      </c>
      <c r="F27" s="7" t="s">
        <v>39</v>
      </c>
      <c r="G27" s="7" t="s">
        <v>12</v>
      </c>
      <c r="H27" s="7" t="s">
        <v>1030</v>
      </c>
      <c r="I27" s="14" t="s">
        <v>1664</v>
      </c>
      <c r="J27" s="14" t="s">
        <v>1665</v>
      </c>
      <c r="K27" s="28" t="s">
        <v>1666</v>
      </c>
      <c r="L27" s="14" t="s">
        <v>39</v>
      </c>
      <c r="M27" s="32" t="s">
        <v>912</v>
      </c>
      <c r="N27" s="32"/>
      <c r="O27" s="7"/>
      <c r="P27" s="43"/>
      <c r="Q27" s="9" t="s">
        <v>5</v>
      </c>
      <c r="R27" s="44" t="s">
        <v>1537</v>
      </c>
      <c r="S27" s="121" t="s">
        <v>1667</v>
      </c>
      <c r="T27" s="98"/>
    </row>
    <row r="28" spans="1:20">
      <c r="A28" s="7" t="s">
        <v>1668</v>
      </c>
      <c r="B28" s="7" t="s">
        <v>1658</v>
      </c>
      <c r="C28" s="7" t="s">
        <v>746</v>
      </c>
      <c r="D28" s="7" t="s">
        <v>906</v>
      </c>
      <c r="E28" s="32" t="s">
        <v>755</v>
      </c>
      <c r="F28" s="7" t="s">
        <v>39</v>
      </c>
      <c r="G28" s="7" t="s">
        <v>12</v>
      </c>
      <c r="H28" s="7" t="s">
        <v>1030</v>
      </c>
      <c r="I28" s="14" t="s">
        <v>1669</v>
      </c>
      <c r="J28" s="14" t="s">
        <v>1670</v>
      </c>
      <c r="K28" s="28" t="s">
        <v>1671</v>
      </c>
      <c r="L28" s="14" t="s">
        <v>39</v>
      </c>
      <c r="M28" s="32" t="s">
        <v>912</v>
      </c>
      <c r="N28" s="32"/>
      <c r="O28" s="7"/>
      <c r="P28" s="43"/>
      <c r="Q28" s="9" t="s">
        <v>5</v>
      </c>
      <c r="R28" s="44" t="s">
        <v>1537</v>
      </c>
      <c r="S28" s="121" t="s">
        <v>1667</v>
      </c>
      <c r="T28" s="98"/>
    </row>
    <row r="29" spans="1:20">
      <c r="A29" s="7" t="s">
        <v>1672</v>
      </c>
      <c r="B29" s="7" t="s">
        <v>1658</v>
      </c>
      <c r="C29" s="7" t="s">
        <v>746</v>
      </c>
      <c r="D29" s="7" t="s">
        <v>906</v>
      </c>
      <c r="E29" s="32" t="s">
        <v>755</v>
      </c>
      <c r="F29" s="7" t="s">
        <v>39</v>
      </c>
      <c r="G29" s="7" t="s">
        <v>12</v>
      </c>
      <c r="H29" s="7" t="s">
        <v>1030</v>
      </c>
      <c r="I29" s="14" t="s">
        <v>1673</v>
      </c>
      <c r="J29" s="14" t="s">
        <v>1674</v>
      </c>
      <c r="K29" s="28" t="s">
        <v>1675</v>
      </c>
      <c r="L29" s="14" t="s">
        <v>39</v>
      </c>
      <c r="M29" s="32" t="s">
        <v>912</v>
      </c>
      <c r="N29" s="32"/>
      <c r="O29" s="7"/>
      <c r="P29" s="43"/>
      <c r="Q29" s="9" t="s">
        <v>5</v>
      </c>
      <c r="R29" s="44" t="s">
        <v>1537</v>
      </c>
      <c r="S29" s="121" t="s">
        <v>1667</v>
      </c>
      <c r="T29" s="98"/>
    </row>
    <row r="30" spans="1:20">
      <c r="A30" s="7" t="s">
        <v>1676</v>
      </c>
      <c r="B30" s="7" t="s">
        <v>1658</v>
      </c>
      <c r="C30" s="7" t="s">
        <v>769</v>
      </c>
      <c r="D30" s="7" t="s">
        <v>906</v>
      </c>
      <c r="E30" s="32" t="s">
        <v>767</v>
      </c>
      <c r="F30" s="7" t="s">
        <v>39</v>
      </c>
      <c r="G30" s="7" t="s">
        <v>16</v>
      </c>
      <c r="H30" s="7" t="s">
        <v>1004</v>
      </c>
      <c r="I30" s="14" t="s">
        <v>1677</v>
      </c>
      <c r="J30" s="14" t="s">
        <v>1678</v>
      </c>
      <c r="K30" s="28" t="s">
        <v>1679</v>
      </c>
      <c r="L30" s="14" t="s">
        <v>39</v>
      </c>
      <c r="M30" s="32" t="s">
        <v>912</v>
      </c>
      <c r="N30" s="32" t="s">
        <v>752</v>
      </c>
      <c r="O30" s="7"/>
      <c r="P30" s="43"/>
      <c r="Q30" s="9" t="s">
        <v>3</v>
      </c>
      <c r="R30" s="9" t="s">
        <v>1026</v>
      </c>
      <c r="S30" s="121" t="s">
        <v>1680</v>
      </c>
      <c r="T30" s="7" t="s">
        <v>1028</v>
      </c>
    </row>
    <row r="31" spans="1:20">
      <c r="A31" s="7" t="s">
        <v>1681</v>
      </c>
      <c r="B31" s="7" t="s">
        <v>1658</v>
      </c>
      <c r="C31" s="7" t="s">
        <v>746</v>
      </c>
      <c r="D31" s="7" t="s">
        <v>906</v>
      </c>
      <c r="E31" s="32" t="s">
        <v>767</v>
      </c>
      <c r="F31" s="7" t="s">
        <v>39</v>
      </c>
      <c r="G31" s="7" t="s">
        <v>12</v>
      </c>
      <c r="H31" s="7" t="s">
        <v>1004</v>
      </c>
      <c r="I31" s="14" t="s">
        <v>1682</v>
      </c>
      <c r="J31" s="14" t="s">
        <v>1683</v>
      </c>
      <c r="K31" s="28" t="s">
        <v>1684</v>
      </c>
      <c r="L31" s="14" t="s">
        <v>39</v>
      </c>
      <c r="M31" s="32" t="s">
        <v>912</v>
      </c>
      <c r="N31" s="32" t="s">
        <v>912</v>
      </c>
      <c r="O31" s="7" t="s">
        <v>1028</v>
      </c>
      <c r="P31" s="43"/>
      <c r="Q31" s="9" t="s">
        <v>3</v>
      </c>
      <c r="R31" s="44">
        <v>46114</v>
      </c>
      <c r="S31" s="121"/>
      <c r="T31" s="98"/>
    </row>
    <row r="32" spans="1:20">
      <c r="A32" s="89" t="s">
        <v>1685</v>
      </c>
      <c r="B32" s="89" t="s">
        <v>1046</v>
      </c>
      <c r="C32" s="89" t="s">
        <v>754</v>
      </c>
      <c r="D32" s="89" t="s">
        <v>906</v>
      </c>
      <c r="E32" s="89" t="s">
        <v>828</v>
      </c>
      <c r="F32" s="90" t="s">
        <v>39</v>
      </c>
      <c r="G32" s="7" t="s">
        <v>12</v>
      </c>
      <c r="H32" s="89" t="s">
        <v>1182</v>
      </c>
      <c r="I32" s="49" t="s">
        <v>1686</v>
      </c>
      <c r="J32" s="49" t="s">
        <v>1687</v>
      </c>
      <c r="K32" s="94" t="s">
        <v>1688</v>
      </c>
      <c r="L32" s="91" t="s">
        <v>39</v>
      </c>
      <c r="M32" s="89" t="s">
        <v>912</v>
      </c>
      <c r="N32" s="32" t="s">
        <v>752</v>
      </c>
      <c r="O32" s="89" t="s">
        <v>1028</v>
      </c>
      <c r="P32" s="91" t="s">
        <v>1689</v>
      </c>
      <c r="Q32" s="92" t="s">
        <v>3</v>
      </c>
      <c r="R32" s="44" t="s">
        <v>1073</v>
      </c>
      <c r="S32" s="124" t="s">
        <v>1690</v>
      </c>
      <c r="T32" s="98"/>
    </row>
    <row r="33" spans="1:20">
      <c r="A33" s="110" t="s">
        <v>1691</v>
      </c>
      <c r="B33" s="110" t="s">
        <v>1033</v>
      </c>
      <c r="C33" s="110" t="s">
        <v>769</v>
      </c>
      <c r="D33" s="110" t="s">
        <v>906</v>
      </c>
      <c r="E33" s="110" t="s">
        <v>1574</v>
      </c>
      <c r="F33" s="111" t="s">
        <v>39</v>
      </c>
      <c r="G33" s="16" t="s">
        <v>16</v>
      </c>
      <c r="H33" s="110" t="s">
        <v>1004</v>
      </c>
      <c r="I33" s="112" t="s">
        <v>1692</v>
      </c>
      <c r="J33" s="112" t="s">
        <v>1693</v>
      </c>
      <c r="K33" s="285" t="s">
        <v>1694</v>
      </c>
      <c r="L33" s="286" t="s">
        <v>39</v>
      </c>
      <c r="M33" s="110" t="s">
        <v>912</v>
      </c>
      <c r="N33" s="57" t="s">
        <v>752</v>
      </c>
      <c r="O33" s="110"/>
      <c r="P33" s="114"/>
      <c r="Q33" s="115" t="s">
        <v>3</v>
      </c>
      <c r="R33" s="19" t="s">
        <v>1026</v>
      </c>
      <c r="S33" s="125" t="s">
        <v>1695</v>
      </c>
      <c r="T33" s="16" t="s">
        <v>868</v>
      </c>
    </row>
    <row r="34" spans="1:20">
      <c r="A34" s="89" t="s">
        <v>1696</v>
      </c>
      <c r="B34" s="93">
        <v>46055</v>
      </c>
      <c r="C34" s="89" t="s">
        <v>769</v>
      </c>
      <c r="D34" s="89" t="s">
        <v>906</v>
      </c>
      <c r="E34" s="89" t="s">
        <v>1003</v>
      </c>
      <c r="F34" s="90" t="s">
        <v>39</v>
      </c>
      <c r="G34" s="7" t="s">
        <v>12</v>
      </c>
      <c r="H34" s="89" t="s">
        <v>1551</v>
      </c>
      <c r="I34" s="49" t="s">
        <v>1697</v>
      </c>
      <c r="J34" s="49" t="s">
        <v>1698</v>
      </c>
      <c r="K34" s="56" t="s">
        <v>1699</v>
      </c>
      <c r="L34" s="56" t="s">
        <v>39</v>
      </c>
      <c r="M34" s="89" t="s">
        <v>912</v>
      </c>
      <c r="N34" s="89" t="s">
        <v>912</v>
      </c>
      <c r="O34" s="89" t="s">
        <v>1028</v>
      </c>
      <c r="P34" s="88"/>
      <c r="Q34" s="89" t="s">
        <v>3</v>
      </c>
      <c r="R34" s="93">
        <v>46144</v>
      </c>
      <c r="S34" s="49"/>
      <c r="T34" s="98"/>
    </row>
    <row r="35" spans="1:20">
      <c r="A35" s="287" t="s">
        <v>1700</v>
      </c>
      <c r="B35" s="288">
        <v>46055</v>
      </c>
      <c r="C35" s="287" t="s">
        <v>754</v>
      </c>
      <c r="D35" s="287" t="s">
        <v>906</v>
      </c>
      <c r="E35" s="287" t="s">
        <v>828</v>
      </c>
      <c r="F35" s="289" t="s">
        <v>39</v>
      </c>
      <c r="G35" s="74" t="s">
        <v>12</v>
      </c>
      <c r="H35" s="287" t="s">
        <v>1182</v>
      </c>
      <c r="I35" s="51" t="s">
        <v>1701</v>
      </c>
      <c r="J35" s="51" t="s">
        <v>1702</v>
      </c>
      <c r="K35" s="130" t="s">
        <v>1703</v>
      </c>
      <c r="L35" s="130" t="s">
        <v>1704</v>
      </c>
      <c r="M35" s="287" t="s">
        <v>912</v>
      </c>
      <c r="N35" s="287"/>
      <c r="O35" s="287"/>
      <c r="P35" s="290"/>
      <c r="Q35" s="287" t="s">
        <v>3</v>
      </c>
      <c r="R35" s="288">
        <v>46083</v>
      </c>
      <c r="S35" s="51" t="s">
        <v>1705</v>
      </c>
      <c r="T35" s="267"/>
    </row>
    <row r="36" spans="1:20">
      <c r="A36" s="89" t="s">
        <v>1706</v>
      </c>
      <c r="B36" s="93">
        <v>46114</v>
      </c>
      <c r="C36" s="89" t="s">
        <v>754</v>
      </c>
      <c r="D36" s="89" t="s">
        <v>906</v>
      </c>
      <c r="E36" s="89" t="s">
        <v>1574</v>
      </c>
      <c r="F36" s="90" t="s">
        <v>39</v>
      </c>
      <c r="G36" s="7" t="s">
        <v>16</v>
      </c>
      <c r="H36" s="89" t="s">
        <v>969</v>
      </c>
      <c r="I36" s="49" t="s">
        <v>1707</v>
      </c>
      <c r="J36" s="49" t="s">
        <v>1708</v>
      </c>
      <c r="K36" s="56" t="s">
        <v>1709</v>
      </c>
      <c r="L36" s="91" t="s">
        <v>39</v>
      </c>
      <c r="M36" s="89" t="s">
        <v>912</v>
      </c>
      <c r="N36" s="32" t="s">
        <v>752</v>
      </c>
      <c r="O36" s="89"/>
      <c r="P36" s="88"/>
      <c r="Q36" s="89" t="s">
        <v>3</v>
      </c>
      <c r="R36" s="89" t="s">
        <v>1164</v>
      </c>
      <c r="S36" s="49" t="s">
        <v>1710</v>
      </c>
      <c r="T36" s="7" t="s">
        <v>1028</v>
      </c>
    </row>
    <row r="37" spans="1:20">
      <c r="A37" s="230" t="s">
        <v>1711</v>
      </c>
      <c r="B37" s="231">
        <v>46114</v>
      </c>
      <c r="C37" s="230" t="s">
        <v>769</v>
      </c>
      <c r="D37" s="230" t="s">
        <v>906</v>
      </c>
      <c r="E37" s="230" t="s">
        <v>828</v>
      </c>
      <c r="F37" s="232" t="s">
        <v>39</v>
      </c>
      <c r="G37" s="17" t="s">
        <v>12</v>
      </c>
      <c r="H37" s="230" t="s">
        <v>1085</v>
      </c>
      <c r="I37" s="180" t="s">
        <v>1712</v>
      </c>
      <c r="J37" s="180" t="s">
        <v>1713</v>
      </c>
      <c r="K37" s="179" t="s">
        <v>1714</v>
      </c>
      <c r="L37" s="233" t="s">
        <v>1715</v>
      </c>
      <c r="M37" s="230" t="s">
        <v>912</v>
      </c>
      <c r="N37" s="230" t="s">
        <v>752</v>
      </c>
      <c r="O37" s="230"/>
      <c r="P37" s="51" t="s">
        <v>1716</v>
      </c>
      <c r="Q37" s="230" t="s">
        <v>3</v>
      </c>
      <c r="R37" s="230" t="s">
        <v>1089</v>
      </c>
      <c r="S37" s="182" t="s">
        <v>1717</v>
      </c>
      <c r="T37" s="17"/>
    </row>
    <row r="38" spans="1:20">
      <c r="A38" s="74" t="s">
        <v>1718</v>
      </c>
      <c r="B38" s="229">
        <v>46267</v>
      </c>
      <c r="C38" s="74" t="s">
        <v>746</v>
      </c>
      <c r="D38" s="74" t="s">
        <v>906</v>
      </c>
      <c r="E38" s="73" t="s">
        <v>1003</v>
      </c>
      <c r="F38" s="74" t="s">
        <v>39</v>
      </c>
      <c r="G38" s="74" t="s">
        <v>12</v>
      </c>
      <c r="H38" s="141" t="s">
        <v>1085</v>
      </c>
      <c r="I38" s="76" t="s">
        <v>1719</v>
      </c>
      <c r="J38" s="76" t="s">
        <v>1720</v>
      </c>
      <c r="K38" s="130" t="s">
        <v>1721</v>
      </c>
      <c r="L38" s="76" t="s">
        <v>39</v>
      </c>
      <c r="M38" s="73" t="s">
        <v>912</v>
      </c>
      <c r="N38" s="73" t="s">
        <v>752</v>
      </c>
      <c r="O38" s="141" t="s">
        <v>1028</v>
      </c>
      <c r="P38" s="12" t="s">
        <v>1722</v>
      </c>
      <c r="Q38" s="72" t="s">
        <v>3</v>
      </c>
      <c r="R38" s="74" t="s">
        <v>1089</v>
      </c>
      <c r="S38" s="51" t="s">
        <v>1723</v>
      </c>
      <c r="T38" s="131"/>
    </row>
    <row r="39" spans="1:20">
      <c r="A39" s="16" t="s">
        <v>1724</v>
      </c>
      <c r="B39" s="258">
        <v>46267</v>
      </c>
      <c r="C39" s="16" t="s">
        <v>754</v>
      </c>
      <c r="D39" s="16" t="s">
        <v>906</v>
      </c>
      <c r="E39" s="57" t="s">
        <v>1574</v>
      </c>
      <c r="F39" s="16" t="s">
        <v>39</v>
      </c>
      <c r="G39" s="16" t="s">
        <v>12</v>
      </c>
      <c r="H39" s="16" t="s">
        <v>1076</v>
      </c>
      <c r="I39" s="12" t="s">
        <v>1725</v>
      </c>
      <c r="J39" s="12" t="s">
        <v>1726</v>
      </c>
      <c r="K39" s="113" t="s">
        <v>1727</v>
      </c>
      <c r="L39" s="113" t="s">
        <v>1728</v>
      </c>
      <c r="M39" s="57" t="s">
        <v>912</v>
      </c>
      <c r="N39" s="57"/>
      <c r="O39" s="16"/>
      <c r="P39" s="12" t="s">
        <v>1729</v>
      </c>
      <c r="Q39" s="16" t="s">
        <v>5</v>
      </c>
      <c r="R39" s="16" t="s">
        <v>1089</v>
      </c>
      <c r="S39" s="207" t="s">
        <v>1730</v>
      </c>
      <c r="T39" s="16"/>
    </row>
    <row r="40" spans="1:20">
      <c r="A40" s="7" t="s">
        <v>1731</v>
      </c>
      <c r="B40" s="7" t="s">
        <v>1271</v>
      </c>
      <c r="C40" s="7" t="s">
        <v>769</v>
      </c>
      <c r="D40" s="7" t="s">
        <v>906</v>
      </c>
      <c r="E40" s="32" t="s">
        <v>828</v>
      </c>
      <c r="F40" s="7" t="s">
        <v>39</v>
      </c>
      <c r="G40" s="7" t="s">
        <v>6</v>
      </c>
      <c r="H40" s="7" t="s">
        <v>1085</v>
      </c>
      <c r="I40" s="14" t="s">
        <v>1732</v>
      </c>
      <c r="J40" s="14" t="s">
        <v>1733</v>
      </c>
      <c r="K40" s="14" t="s">
        <v>1734</v>
      </c>
      <c r="L40" s="14" t="s">
        <v>39</v>
      </c>
      <c r="M40" s="32" t="s">
        <v>912</v>
      </c>
      <c r="N40" s="32" t="s">
        <v>912</v>
      </c>
      <c r="O40" s="7"/>
      <c r="P40" s="43"/>
      <c r="Q40" s="7" t="s">
        <v>3</v>
      </c>
      <c r="R40" s="7" t="s">
        <v>1278</v>
      </c>
      <c r="S40" s="4" t="s">
        <v>1735</v>
      </c>
      <c r="T40" s="7"/>
    </row>
    <row r="41" spans="1:20">
      <c r="A41" s="17" t="s">
        <v>1736</v>
      </c>
      <c r="B41" s="17" t="s">
        <v>1164</v>
      </c>
      <c r="C41" s="17" t="s">
        <v>746</v>
      </c>
      <c r="D41" s="17" t="s">
        <v>906</v>
      </c>
      <c r="E41" s="65" t="s">
        <v>828</v>
      </c>
      <c r="F41" s="17" t="s">
        <v>39</v>
      </c>
      <c r="G41" s="17" t="s">
        <v>12</v>
      </c>
      <c r="H41" s="17" t="s">
        <v>1737</v>
      </c>
      <c r="I41" s="46" t="s">
        <v>1738</v>
      </c>
      <c r="J41" s="46" t="s">
        <v>1739</v>
      </c>
      <c r="K41" s="179" t="s">
        <v>1740</v>
      </c>
      <c r="L41" s="179" t="s">
        <v>1741</v>
      </c>
      <c r="M41" s="65" t="s">
        <v>912</v>
      </c>
      <c r="N41" s="65" t="s">
        <v>912</v>
      </c>
      <c r="O41" s="17"/>
      <c r="P41" s="46" t="s">
        <v>1742</v>
      </c>
      <c r="Q41" s="17" t="s">
        <v>3</v>
      </c>
      <c r="R41" s="17" t="s">
        <v>1278</v>
      </c>
      <c r="S41" s="122" t="s">
        <v>1743</v>
      </c>
      <c r="T41" s="17"/>
    </row>
    <row r="42" spans="1:20">
      <c r="A42" s="7" t="s">
        <v>1744</v>
      </c>
      <c r="B42" s="7" t="s">
        <v>1564</v>
      </c>
      <c r="C42" s="7" t="s">
        <v>754</v>
      </c>
      <c r="D42" s="7" t="s">
        <v>906</v>
      </c>
      <c r="E42" s="32" t="s">
        <v>1574</v>
      </c>
      <c r="F42" s="7" t="s">
        <v>39</v>
      </c>
      <c r="G42" s="7" t="s">
        <v>12</v>
      </c>
      <c r="H42" s="7" t="s">
        <v>1171</v>
      </c>
      <c r="I42" s="14" t="s">
        <v>1745</v>
      </c>
      <c r="J42" s="14" t="s">
        <v>1746</v>
      </c>
      <c r="K42" s="14" t="s">
        <v>1747</v>
      </c>
      <c r="L42" s="14"/>
      <c r="M42" s="32" t="s">
        <v>912</v>
      </c>
      <c r="N42" s="32" t="s">
        <v>1748</v>
      </c>
      <c r="O42" s="7"/>
      <c r="P42" s="43"/>
      <c r="Q42" s="7" t="s">
        <v>4</v>
      </c>
      <c r="R42" s="47">
        <v>46176</v>
      </c>
      <c r="S42" s="121" t="s">
        <v>1749</v>
      </c>
      <c r="T42" s="7"/>
    </row>
    <row r="43" spans="1:20">
      <c r="A43" s="7" t="s">
        <v>1750</v>
      </c>
      <c r="B43" s="7" t="s">
        <v>1026</v>
      </c>
      <c r="C43" s="7" t="s">
        <v>754</v>
      </c>
      <c r="D43" s="7" t="s">
        <v>906</v>
      </c>
      <c r="E43" s="32" t="s">
        <v>828</v>
      </c>
      <c r="F43" s="7" t="s">
        <v>39</v>
      </c>
      <c r="G43" s="7" t="s">
        <v>16</v>
      </c>
      <c r="H43" s="7" t="s">
        <v>1050</v>
      </c>
      <c r="I43" s="14" t="s">
        <v>1751</v>
      </c>
      <c r="J43" s="14" t="s">
        <v>1752</v>
      </c>
      <c r="K43" s="28" t="s">
        <v>1753</v>
      </c>
      <c r="L43" s="14" t="s">
        <v>39</v>
      </c>
      <c r="M43" s="32" t="s">
        <v>1190</v>
      </c>
      <c r="N43" s="32" t="s">
        <v>973</v>
      </c>
      <c r="O43" s="7" t="s">
        <v>1028</v>
      </c>
      <c r="P43" s="43"/>
      <c r="Q43" s="7" t="s">
        <v>4</v>
      </c>
      <c r="R43" s="7" t="s">
        <v>1278</v>
      </c>
      <c r="S43" s="121" t="s">
        <v>1754</v>
      </c>
      <c r="T43" s="7"/>
    </row>
    <row r="44" spans="1:20">
      <c r="A44" s="7" t="s">
        <v>1755</v>
      </c>
      <c r="B44" s="7" t="s">
        <v>1026</v>
      </c>
      <c r="C44" s="7" t="s">
        <v>754</v>
      </c>
      <c r="D44" s="7" t="s">
        <v>906</v>
      </c>
      <c r="E44" s="32" t="s">
        <v>1756</v>
      </c>
      <c r="F44" s="7" t="s">
        <v>39</v>
      </c>
      <c r="G44" s="7" t="s">
        <v>16</v>
      </c>
      <c r="H44" s="7" t="s">
        <v>1050</v>
      </c>
      <c r="I44" s="14" t="s">
        <v>1757</v>
      </c>
      <c r="J44" s="14" t="s">
        <v>1758</v>
      </c>
      <c r="K44" s="28" t="s">
        <v>1759</v>
      </c>
      <c r="L44" s="14" t="s">
        <v>39</v>
      </c>
      <c r="M44" s="32" t="s">
        <v>1190</v>
      </c>
      <c r="N44" s="32" t="s">
        <v>973</v>
      </c>
      <c r="O44" s="7" t="s">
        <v>1028</v>
      </c>
      <c r="P44" s="43"/>
      <c r="Q44" s="7" t="s">
        <v>4</v>
      </c>
      <c r="R44" s="7" t="s">
        <v>1278</v>
      </c>
      <c r="S44" s="121" t="s">
        <v>1754</v>
      </c>
      <c r="T44" s="7"/>
    </row>
    <row r="45" spans="1:20">
      <c r="A45" s="7" t="s">
        <v>1760</v>
      </c>
      <c r="B45" s="47">
        <v>46056</v>
      </c>
      <c r="C45" s="7" t="s">
        <v>754</v>
      </c>
      <c r="D45" s="7" t="s">
        <v>906</v>
      </c>
      <c r="E45" s="32" t="s">
        <v>828</v>
      </c>
      <c r="F45" s="7" t="s">
        <v>39</v>
      </c>
      <c r="G45" s="7" t="s">
        <v>16</v>
      </c>
      <c r="H45" s="7" t="s">
        <v>460</v>
      </c>
      <c r="I45" s="14" t="s">
        <v>1761</v>
      </c>
      <c r="J45" s="14" t="s">
        <v>1762</v>
      </c>
      <c r="K45" s="28" t="s">
        <v>1763</v>
      </c>
      <c r="L45" s="14" t="s">
        <v>39</v>
      </c>
      <c r="M45" s="32" t="s">
        <v>912</v>
      </c>
      <c r="N45" s="32" t="s">
        <v>973</v>
      </c>
      <c r="O45" s="7" t="s">
        <v>1028</v>
      </c>
      <c r="P45" s="43"/>
      <c r="Q45" s="7" t="s">
        <v>4</v>
      </c>
      <c r="R45" s="7"/>
      <c r="S45" s="121"/>
      <c r="T45" s="7"/>
    </row>
    <row r="46" spans="1:20">
      <c r="A46" s="7" t="s">
        <v>1764</v>
      </c>
      <c r="B46" s="47">
        <v>46056</v>
      </c>
      <c r="C46" s="7" t="s">
        <v>746</v>
      </c>
      <c r="D46" s="7" t="s">
        <v>906</v>
      </c>
      <c r="E46" s="32" t="s">
        <v>1574</v>
      </c>
      <c r="F46" s="7" t="s">
        <v>39</v>
      </c>
      <c r="G46" s="7" t="s">
        <v>6</v>
      </c>
      <c r="H46" s="7" t="s">
        <v>1050</v>
      </c>
      <c r="I46" s="14" t="s">
        <v>1765</v>
      </c>
      <c r="J46" s="14" t="s">
        <v>1766</v>
      </c>
      <c r="K46" s="28" t="s">
        <v>1767</v>
      </c>
      <c r="L46" s="14" t="s">
        <v>39</v>
      </c>
      <c r="M46" s="32" t="s">
        <v>912</v>
      </c>
      <c r="N46" s="32" t="s">
        <v>752</v>
      </c>
      <c r="O46" s="7"/>
      <c r="P46" s="43"/>
      <c r="Q46" s="7" t="s">
        <v>4</v>
      </c>
      <c r="R46" s="7"/>
      <c r="S46" s="121"/>
      <c r="T46" s="7"/>
    </row>
    <row r="47" spans="1:20">
      <c r="A47" s="17" t="s">
        <v>1768</v>
      </c>
      <c r="B47" s="257">
        <v>46084</v>
      </c>
      <c r="C47" s="17" t="s">
        <v>754</v>
      </c>
      <c r="D47" s="17" t="s">
        <v>906</v>
      </c>
      <c r="E47" s="65" t="s">
        <v>767</v>
      </c>
      <c r="F47" s="17" t="s">
        <v>39</v>
      </c>
      <c r="G47" s="17" t="s">
        <v>16</v>
      </c>
      <c r="H47" s="17" t="s">
        <v>1004</v>
      </c>
      <c r="I47" s="46" t="s">
        <v>1769</v>
      </c>
      <c r="J47" s="46" t="s">
        <v>1770</v>
      </c>
      <c r="K47" s="64" t="s">
        <v>1771</v>
      </c>
      <c r="L47" s="46" t="s">
        <v>39</v>
      </c>
      <c r="M47" s="65" t="s">
        <v>912</v>
      </c>
      <c r="N47" s="65" t="s">
        <v>973</v>
      </c>
      <c r="O47" s="17" t="s">
        <v>1028</v>
      </c>
      <c r="P47" s="50"/>
      <c r="Q47" s="30" t="s">
        <v>4</v>
      </c>
      <c r="R47" s="30"/>
      <c r="S47" s="122"/>
      <c r="T47" s="7"/>
    </row>
    <row r="48" spans="1:20">
      <c r="A48" s="7" t="s">
        <v>1772</v>
      </c>
      <c r="B48" s="47">
        <v>46268</v>
      </c>
      <c r="C48" s="7" t="s">
        <v>746</v>
      </c>
      <c r="D48" s="7" t="s">
        <v>906</v>
      </c>
      <c r="E48" s="32" t="s">
        <v>828</v>
      </c>
      <c r="F48" s="7" t="s">
        <v>39</v>
      </c>
      <c r="G48" s="7" t="s">
        <v>6</v>
      </c>
      <c r="H48" s="7" t="s">
        <v>907</v>
      </c>
      <c r="I48" s="14" t="s">
        <v>1773</v>
      </c>
      <c r="J48" s="14" t="s">
        <v>1774</v>
      </c>
      <c r="K48" s="28" t="s">
        <v>1775</v>
      </c>
      <c r="L48" s="14" t="s">
        <v>39</v>
      </c>
      <c r="M48" s="32" t="s">
        <v>749</v>
      </c>
      <c r="N48" s="32" t="s">
        <v>752</v>
      </c>
      <c r="O48" s="7"/>
      <c r="P48" s="43"/>
      <c r="Q48" s="9" t="s">
        <v>4</v>
      </c>
      <c r="R48" s="44">
        <v>46298</v>
      </c>
      <c r="S48" s="121" t="s">
        <v>1776</v>
      </c>
      <c r="T48" s="7"/>
    </row>
    <row r="49" spans="1:20">
      <c r="A49" s="7" t="s">
        <v>1777</v>
      </c>
      <c r="B49" s="47">
        <v>46268</v>
      </c>
      <c r="C49" s="7" t="s">
        <v>754</v>
      </c>
      <c r="D49" s="7" t="s">
        <v>906</v>
      </c>
      <c r="E49" s="32" t="s">
        <v>828</v>
      </c>
      <c r="F49" s="7" t="s">
        <v>39</v>
      </c>
      <c r="G49" s="7" t="s">
        <v>16</v>
      </c>
      <c r="H49" s="7" t="s">
        <v>1778</v>
      </c>
      <c r="I49" s="14" t="s">
        <v>1779</v>
      </c>
      <c r="J49" s="14" t="s">
        <v>1780</v>
      </c>
      <c r="K49" s="28" t="s">
        <v>1781</v>
      </c>
      <c r="L49" s="14" t="s">
        <v>39</v>
      </c>
      <c r="M49" s="32" t="s">
        <v>749</v>
      </c>
      <c r="N49" s="32" t="s">
        <v>973</v>
      </c>
      <c r="O49" s="7"/>
      <c r="P49" s="43"/>
      <c r="Q49" s="9" t="s">
        <v>4</v>
      </c>
      <c r="R49" s="9"/>
      <c r="S49" s="121"/>
      <c r="T49" s="7"/>
    </row>
    <row r="50" spans="1:20">
      <c r="A50" s="7" t="s">
        <v>1782</v>
      </c>
      <c r="B50" s="47">
        <v>46359</v>
      </c>
      <c r="C50" s="7" t="s">
        <v>746</v>
      </c>
      <c r="D50" s="7" t="s">
        <v>906</v>
      </c>
      <c r="E50" s="32" t="s">
        <v>1003</v>
      </c>
      <c r="F50" s="7" t="s">
        <v>39</v>
      </c>
      <c r="G50" s="7" t="s">
        <v>6</v>
      </c>
      <c r="H50" s="7" t="s">
        <v>1050</v>
      </c>
      <c r="I50" s="14" t="s">
        <v>1783</v>
      </c>
      <c r="J50" s="14" t="s">
        <v>1784</v>
      </c>
      <c r="K50" s="28" t="s">
        <v>1785</v>
      </c>
      <c r="L50" s="14" t="s">
        <v>39</v>
      </c>
      <c r="M50" s="32" t="s">
        <v>912</v>
      </c>
      <c r="N50" s="32" t="s">
        <v>752</v>
      </c>
      <c r="O50" s="7"/>
      <c r="P50" s="43"/>
      <c r="Q50" s="9" t="s">
        <v>4</v>
      </c>
      <c r="R50" s="9"/>
      <c r="S50" s="121"/>
      <c r="T50" s="7"/>
    </row>
    <row r="51" spans="1:20">
      <c r="A51" s="7" t="s">
        <v>1786</v>
      </c>
      <c r="B51" s="47">
        <v>46359</v>
      </c>
      <c r="C51" s="7" t="s">
        <v>746</v>
      </c>
      <c r="D51" s="7" t="s">
        <v>906</v>
      </c>
      <c r="E51" s="32" t="s">
        <v>828</v>
      </c>
      <c r="F51" s="7" t="s">
        <v>39</v>
      </c>
      <c r="G51" s="7" t="s">
        <v>12</v>
      </c>
      <c r="H51" s="7" t="s">
        <v>1085</v>
      </c>
      <c r="I51" s="14" t="s">
        <v>1787</v>
      </c>
      <c r="J51" s="14" t="s">
        <v>1788</v>
      </c>
      <c r="K51" s="14" t="s">
        <v>39</v>
      </c>
      <c r="L51" s="28" t="s">
        <v>1789</v>
      </c>
      <c r="M51" s="32" t="s">
        <v>749</v>
      </c>
      <c r="N51" s="32" t="s">
        <v>752</v>
      </c>
      <c r="O51" s="7"/>
      <c r="P51" s="43"/>
      <c r="Q51" s="9" t="s">
        <v>3</v>
      </c>
      <c r="R51" s="9" t="s">
        <v>490</v>
      </c>
      <c r="S51" s="121" t="s">
        <v>1790</v>
      </c>
      <c r="T51" s="7"/>
    </row>
    <row r="52" spans="1:20">
      <c r="A52" s="7"/>
      <c r="B52" s="47"/>
      <c r="C52" s="7"/>
      <c r="D52" s="7"/>
      <c r="E52" s="32"/>
      <c r="F52" s="7"/>
      <c r="G52" s="7"/>
      <c r="H52" s="7"/>
      <c r="I52" s="14"/>
      <c r="J52" s="14"/>
      <c r="K52" s="14"/>
      <c r="L52" s="14"/>
      <c r="M52" s="32"/>
      <c r="N52" s="32"/>
      <c r="O52" s="7"/>
      <c r="P52" s="43"/>
      <c r="Q52" s="9"/>
      <c r="R52" s="9"/>
      <c r="S52" s="121"/>
      <c r="T52" s="7"/>
    </row>
    <row r="53" spans="1:20">
      <c r="A53" s="7"/>
      <c r="B53" s="7"/>
      <c r="C53" s="7"/>
      <c r="D53" s="7"/>
      <c r="E53" s="32"/>
      <c r="F53" s="7"/>
      <c r="G53" s="7"/>
      <c r="H53" s="7"/>
      <c r="I53" s="14"/>
      <c r="J53" s="14"/>
      <c r="K53" s="14"/>
      <c r="L53" s="14"/>
      <c r="M53" s="32"/>
      <c r="N53" s="32"/>
      <c r="O53" s="7"/>
      <c r="P53" s="43"/>
      <c r="Q53" s="9"/>
      <c r="R53" s="9"/>
      <c r="S53" s="121"/>
      <c r="T53" s="7"/>
    </row>
    <row r="54" spans="1:20">
      <c r="A54" s="7"/>
      <c r="B54" s="7"/>
      <c r="C54" s="7"/>
      <c r="D54" s="7"/>
      <c r="E54" s="32"/>
      <c r="F54" s="7"/>
      <c r="G54" s="7"/>
      <c r="H54" s="7"/>
      <c r="I54" s="14"/>
      <c r="J54" s="14"/>
      <c r="K54" s="14"/>
      <c r="L54" s="14"/>
      <c r="M54" s="32"/>
      <c r="N54" s="32"/>
      <c r="O54" s="7"/>
      <c r="P54" s="43"/>
      <c r="Q54" s="9"/>
      <c r="R54" s="9"/>
      <c r="S54" s="121"/>
      <c r="T54" s="7"/>
    </row>
    <row r="55" spans="1:20">
      <c r="A55" s="7"/>
      <c r="B55" s="7"/>
      <c r="C55" s="7"/>
      <c r="D55" s="7"/>
      <c r="E55" s="32"/>
      <c r="F55" s="7"/>
      <c r="G55" s="7"/>
      <c r="H55" s="7"/>
      <c r="I55" s="14"/>
      <c r="J55" s="14"/>
      <c r="K55" s="14"/>
      <c r="L55" s="14"/>
      <c r="M55" s="32"/>
      <c r="N55" s="32"/>
      <c r="O55" s="7"/>
      <c r="P55" s="43"/>
      <c r="Q55" s="9"/>
      <c r="R55" s="9"/>
      <c r="S55" s="121"/>
      <c r="T55" s="7"/>
    </row>
    <row r="56" spans="1:20">
      <c r="A56" s="7"/>
      <c r="B56" s="7"/>
      <c r="C56" s="7"/>
      <c r="D56" s="7"/>
      <c r="E56" s="32"/>
      <c r="F56" s="7"/>
      <c r="G56" s="7"/>
      <c r="H56" s="7"/>
      <c r="I56" s="14"/>
      <c r="J56" s="14"/>
      <c r="K56" s="14"/>
      <c r="L56" s="14"/>
      <c r="M56" s="32"/>
      <c r="N56" s="32"/>
      <c r="O56" s="7"/>
      <c r="P56" s="43"/>
      <c r="Q56" s="9"/>
      <c r="R56" s="9"/>
      <c r="S56" s="121"/>
      <c r="T56" s="7"/>
    </row>
    <row r="57" spans="1:20">
      <c r="A57" s="7"/>
      <c r="B57" s="7"/>
      <c r="C57" s="7"/>
      <c r="D57" s="7"/>
      <c r="E57" s="32"/>
      <c r="F57" s="7"/>
      <c r="G57" s="7"/>
      <c r="H57" s="7"/>
      <c r="I57" s="14"/>
      <c r="J57" s="14"/>
      <c r="K57" s="14"/>
      <c r="L57" s="14"/>
      <c r="M57" s="32"/>
      <c r="N57" s="32"/>
      <c r="O57" s="7"/>
      <c r="P57" s="43"/>
      <c r="Q57" s="9"/>
      <c r="R57" s="9"/>
      <c r="S57" s="121"/>
      <c r="T57" s="7"/>
    </row>
    <row r="58" spans="1:20">
      <c r="A58" s="7"/>
      <c r="B58" s="7"/>
      <c r="C58" s="7"/>
      <c r="D58" s="7"/>
      <c r="E58" s="32"/>
      <c r="F58" s="7"/>
      <c r="G58" s="7"/>
      <c r="H58" s="7"/>
      <c r="I58" s="14"/>
      <c r="J58" s="14"/>
      <c r="K58" s="14"/>
      <c r="L58" s="14"/>
      <c r="M58" s="32"/>
      <c r="N58" s="32"/>
      <c r="O58" s="7"/>
      <c r="P58" s="43"/>
      <c r="Q58" s="9"/>
      <c r="R58" s="9"/>
      <c r="S58" s="121"/>
      <c r="T58" s="7"/>
    </row>
    <row r="59" spans="1:20">
      <c r="A59" s="7"/>
      <c r="B59" s="7"/>
      <c r="C59" s="7"/>
      <c r="D59" s="7"/>
      <c r="E59" s="32"/>
      <c r="F59" s="7"/>
      <c r="G59" s="7"/>
      <c r="H59" s="7"/>
      <c r="I59" s="14"/>
      <c r="J59" s="14"/>
      <c r="K59" s="14"/>
      <c r="L59" s="14"/>
      <c r="M59" s="32"/>
      <c r="N59" s="32"/>
      <c r="O59" s="7"/>
      <c r="P59" s="43"/>
      <c r="Q59" s="9"/>
      <c r="R59" s="9"/>
      <c r="S59" s="121"/>
      <c r="T59" s="7"/>
    </row>
    <row r="60" spans="1:20">
      <c r="A60" s="7"/>
      <c r="B60" s="7"/>
      <c r="C60" s="7"/>
      <c r="D60" s="7"/>
      <c r="E60" s="32"/>
      <c r="F60" s="7"/>
      <c r="G60" s="7"/>
      <c r="H60" s="7"/>
      <c r="I60" s="14"/>
      <c r="J60" s="14"/>
      <c r="K60" s="14"/>
      <c r="L60" s="14"/>
      <c r="M60" s="32"/>
      <c r="N60" s="32"/>
      <c r="O60" s="7"/>
      <c r="P60" s="43"/>
      <c r="Q60" s="9"/>
      <c r="R60" s="9"/>
      <c r="S60" s="121"/>
      <c r="T60" s="7"/>
    </row>
    <row r="61" spans="1:20">
      <c r="A61" s="7"/>
      <c r="B61" s="7"/>
      <c r="C61" s="7"/>
      <c r="D61" s="7"/>
      <c r="E61" s="32"/>
      <c r="F61" s="7"/>
      <c r="G61" s="7"/>
      <c r="H61" s="7"/>
      <c r="I61" s="14"/>
      <c r="J61" s="14"/>
      <c r="K61" s="14"/>
      <c r="L61" s="14"/>
      <c r="M61" s="32"/>
      <c r="N61" s="32"/>
      <c r="O61" s="7"/>
      <c r="P61" s="43"/>
      <c r="Q61" s="9"/>
      <c r="R61" s="9"/>
      <c r="S61" s="121"/>
      <c r="T61" s="7"/>
    </row>
    <row r="62" spans="1:20">
      <c r="A62" s="7"/>
      <c r="B62" s="7"/>
      <c r="C62" s="7"/>
      <c r="D62" s="7"/>
      <c r="E62" s="32"/>
      <c r="F62" s="7"/>
      <c r="G62" s="7"/>
      <c r="H62" s="7"/>
      <c r="I62" s="14"/>
      <c r="J62" s="14"/>
      <c r="K62" s="14"/>
      <c r="L62" s="14"/>
      <c r="M62" s="32"/>
      <c r="N62" s="32"/>
      <c r="O62" s="7"/>
      <c r="P62" s="43"/>
      <c r="Q62" s="9"/>
      <c r="R62" s="9"/>
      <c r="S62" s="121"/>
      <c r="T62" s="7"/>
    </row>
    <row r="63" spans="1:20">
      <c r="A63" s="7"/>
      <c r="B63" s="7"/>
      <c r="C63" s="7"/>
      <c r="D63" s="7"/>
      <c r="E63" s="32"/>
      <c r="F63" s="7"/>
      <c r="G63" s="7"/>
      <c r="H63" s="7"/>
      <c r="I63" s="14"/>
      <c r="J63" s="14"/>
      <c r="K63" s="14"/>
      <c r="L63" s="14"/>
      <c r="M63" s="32"/>
      <c r="N63" s="32"/>
      <c r="O63" s="7"/>
      <c r="P63" s="43"/>
      <c r="Q63" s="9"/>
      <c r="R63" s="9"/>
      <c r="S63" s="121"/>
      <c r="T63" s="7"/>
    </row>
    <row r="64" spans="1:20">
      <c r="A64" s="7"/>
      <c r="B64" s="7"/>
      <c r="C64" s="7"/>
      <c r="D64" s="7"/>
      <c r="E64" s="32"/>
      <c r="F64" s="7"/>
      <c r="G64" s="7"/>
      <c r="H64" s="7"/>
      <c r="I64" s="14"/>
      <c r="J64" s="14"/>
      <c r="K64" s="14"/>
      <c r="L64" s="14"/>
      <c r="M64" s="32"/>
      <c r="N64" s="32"/>
      <c r="O64" s="7"/>
      <c r="P64" s="43"/>
      <c r="Q64" s="9"/>
      <c r="R64" s="9"/>
      <c r="S64" s="121"/>
      <c r="T64" s="7"/>
    </row>
    <row r="65" spans="1:20">
      <c r="A65" s="7"/>
      <c r="B65" s="7"/>
      <c r="C65" s="7"/>
      <c r="D65" s="7"/>
      <c r="E65" s="32"/>
      <c r="F65" s="7"/>
      <c r="G65" s="7"/>
      <c r="H65" s="7"/>
      <c r="I65" s="14"/>
      <c r="J65" s="14"/>
      <c r="K65" s="14"/>
      <c r="L65" s="14"/>
      <c r="M65" s="32"/>
      <c r="N65" s="32"/>
      <c r="O65" s="7"/>
      <c r="P65" s="43"/>
      <c r="Q65" s="9"/>
      <c r="R65" s="9"/>
      <c r="S65" s="121"/>
      <c r="T65" s="7"/>
    </row>
    <row r="66" spans="1:20">
      <c r="A66" s="7"/>
      <c r="B66" s="7"/>
      <c r="C66" s="7"/>
      <c r="D66" s="7"/>
      <c r="E66" s="32"/>
      <c r="F66" s="7"/>
      <c r="G66" s="7"/>
      <c r="H66" s="7"/>
      <c r="I66" s="14"/>
      <c r="J66" s="14"/>
      <c r="K66" s="14"/>
      <c r="L66" s="14"/>
      <c r="M66" s="32"/>
      <c r="N66" s="32"/>
      <c r="O66" s="7"/>
      <c r="P66" s="43"/>
      <c r="Q66" s="9"/>
      <c r="R66" s="9"/>
      <c r="S66" s="121"/>
      <c r="T66" s="7"/>
    </row>
    <row r="67" spans="1:20">
      <c r="A67" s="7"/>
      <c r="B67" s="7"/>
      <c r="C67" s="7"/>
      <c r="D67" s="7"/>
      <c r="E67" s="32"/>
      <c r="F67" s="7"/>
      <c r="G67" s="7"/>
      <c r="H67" s="7"/>
      <c r="I67" s="14"/>
      <c r="J67" s="14"/>
      <c r="K67" s="14"/>
      <c r="L67" s="14"/>
      <c r="M67" s="32"/>
      <c r="N67" s="32"/>
      <c r="O67" s="7"/>
      <c r="P67" s="43"/>
      <c r="Q67" s="9"/>
      <c r="R67" s="9"/>
      <c r="S67" s="121"/>
      <c r="T67" s="7"/>
    </row>
    <row r="68" spans="1:20">
      <c r="A68" s="7"/>
      <c r="B68" s="7"/>
      <c r="C68" s="7"/>
      <c r="D68" s="7"/>
      <c r="E68" s="32"/>
      <c r="F68" s="7"/>
      <c r="G68" s="7"/>
      <c r="H68" s="7"/>
      <c r="I68" s="14"/>
      <c r="J68" s="14"/>
      <c r="K68" s="14"/>
      <c r="L68" s="14"/>
      <c r="M68" s="32"/>
      <c r="N68" s="32"/>
      <c r="O68" s="7"/>
      <c r="P68" s="43"/>
      <c r="Q68" s="9"/>
      <c r="R68" s="9"/>
      <c r="S68" s="121"/>
      <c r="T68" s="7"/>
    </row>
    <row r="69" spans="1:20">
      <c r="A69" s="7"/>
      <c r="B69" s="7"/>
      <c r="C69" s="7"/>
      <c r="D69" s="7"/>
      <c r="E69" s="32"/>
      <c r="F69" s="7"/>
      <c r="G69" s="7"/>
      <c r="H69" s="7"/>
      <c r="I69" s="14"/>
      <c r="J69" s="14"/>
      <c r="K69" s="14"/>
      <c r="L69" s="14"/>
      <c r="M69" s="32"/>
      <c r="N69" s="32"/>
      <c r="O69" s="7"/>
      <c r="P69" s="43"/>
      <c r="Q69" s="9"/>
      <c r="R69" s="9"/>
      <c r="S69" s="121"/>
      <c r="T69" s="7"/>
    </row>
    <row r="70" spans="1:20">
      <c r="A70" s="7"/>
      <c r="B70" s="7"/>
      <c r="C70" s="7"/>
      <c r="D70" s="7"/>
      <c r="E70" s="32"/>
      <c r="F70" s="7"/>
      <c r="G70" s="7"/>
      <c r="H70" s="7"/>
      <c r="I70" s="14"/>
      <c r="J70" s="14"/>
      <c r="K70" s="14"/>
      <c r="L70" s="14"/>
      <c r="M70" s="32"/>
      <c r="N70" s="32"/>
      <c r="O70" s="7"/>
      <c r="P70" s="43"/>
      <c r="Q70" s="9"/>
      <c r="R70" s="9"/>
      <c r="S70" s="121"/>
      <c r="T70" s="7"/>
    </row>
    <row r="71" spans="1:20">
      <c r="A71" s="7"/>
      <c r="B71" s="7"/>
      <c r="C71" s="7"/>
      <c r="D71" s="7"/>
      <c r="E71" s="32"/>
      <c r="F71" s="7"/>
      <c r="G71" s="7"/>
      <c r="H71" s="7"/>
      <c r="I71" s="14"/>
      <c r="J71" s="14"/>
      <c r="K71" s="14"/>
      <c r="L71" s="14"/>
      <c r="M71" s="32"/>
      <c r="N71" s="32"/>
      <c r="O71" s="7"/>
      <c r="P71" s="43"/>
      <c r="Q71" s="9"/>
      <c r="R71" s="9"/>
      <c r="S71" s="121"/>
      <c r="T71" s="7"/>
    </row>
    <row r="72" spans="1:20">
      <c r="A72" s="7"/>
      <c r="B72" s="7"/>
      <c r="C72" s="7"/>
      <c r="D72" s="7"/>
      <c r="E72" s="32"/>
      <c r="F72" s="7"/>
      <c r="G72" s="7"/>
      <c r="H72" s="7"/>
      <c r="I72" s="14"/>
      <c r="J72" s="14"/>
      <c r="K72" s="14"/>
      <c r="L72" s="14"/>
      <c r="M72" s="32"/>
      <c r="N72" s="32"/>
      <c r="O72" s="7"/>
      <c r="P72" s="43"/>
      <c r="Q72" s="9"/>
      <c r="R72" s="9"/>
      <c r="S72" s="121"/>
      <c r="T72" s="7"/>
    </row>
    <row r="73" spans="1:20">
      <c r="A73" s="7"/>
      <c r="B73" s="7"/>
      <c r="C73" s="7"/>
      <c r="D73" s="7"/>
      <c r="E73" s="32"/>
      <c r="F73" s="7"/>
      <c r="G73" s="7"/>
      <c r="H73" s="7"/>
      <c r="I73" s="14"/>
      <c r="J73" s="14"/>
      <c r="K73" s="14"/>
      <c r="L73" s="14"/>
      <c r="M73" s="32"/>
      <c r="N73" s="32"/>
      <c r="O73" s="7"/>
      <c r="P73" s="43"/>
      <c r="Q73" s="9"/>
      <c r="R73" s="9"/>
      <c r="S73" s="121"/>
      <c r="T73" s="7"/>
    </row>
    <row r="74" spans="1:20">
      <c r="A74" s="7"/>
      <c r="B74" s="7"/>
      <c r="C74" s="7"/>
      <c r="D74" s="7"/>
      <c r="E74" s="32"/>
      <c r="F74" s="7"/>
      <c r="G74" s="7"/>
      <c r="H74" s="7"/>
      <c r="I74" s="14"/>
      <c r="J74" s="14"/>
      <c r="K74" s="14"/>
      <c r="L74" s="14"/>
      <c r="M74" s="32"/>
      <c r="N74" s="32"/>
      <c r="O74" s="7"/>
      <c r="P74" s="43"/>
      <c r="Q74" s="9"/>
      <c r="R74" s="9"/>
      <c r="S74" s="121"/>
      <c r="T74" s="7"/>
    </row>
    <row r="75" spans="1:20">
      <c r="A75" s="7"/>
      <c r="B75" s="7"/>
      <c r="C75" s="7"/>
      <c r="D75" s="7"/>
      <c r="E75" s="32"/>
      <c r="F75" s="7"/>
      <c r="G75" s="7"/>
      <c r="H75" s="7"/>
      <c r="I75" s="14"/>
      <c r="J75" s="14"/>
      <c r="K75" s="14"/>
      <c r="L75" s="14"/>
      <c r="M75" s="32"/>
      <c r="N75" s="32"/>
      <c r="O75" s="7"/>
      <c r="P75" s="43"/>
      <c r="Q75" s="9"/>
      <c r="R75" s="9"/>
      <c r="S75" s="121"/>
      <c r="T75" s="7"/>
    </row>
    <row r="76" spans="1:20">
      <c r="A76" s="7"/>
      <c r="B76" s="7"/>
      <c r="C76" s="7"/>
      <c r="D76" s="7"/>
      <c r="E76" s="32"/>
      <c r="F76" s="7"/>
      <c r="G76" s="7"/>
      <c r="H76" s="7"/>
      <c r="I76" s="14"/>
      <c r="J76" s="14"/>
      <c r="K76" s="14"/>
      <c r="L76" s="14"/>
      <c r="M76" s="32"/>
      <c r="N76" s="32"/>
      <c r="O76" s="7"/>
      <c r="P76" s="43"/>
      <c r="Q76" s="9"/>
      <c r="R76" s="9"/>
      <c r="S76" s="121"/>
      <c r="T76" s="7"/>
    </row>
    <row r="77" spans="1:20">
      <c r="A77" s="7"/>
      <c r="B77" s="7"/>
      <c r="C77" s="7"/>
      <c r="D77" s="7"/>
      <c r="E77" s="32"/>
      <c r="F77" s="7"/>
      <c r="G77" s="7"/>
      <c r="H77" s="7"/>
      <c r="I77" s="14"/>
      <c r="J77" s="14"/>
      <c r="K77" s="14"/>
      <c r="L77" s="14"/>
      <c r="M77" s="32"/>
      <c r="N77" s="32"/>
      <c r="O77" s="7"/>
      <c r="P77" s="43"/>
      <c r="Q77" s="9"/>
      <c r="R77" s="9"/>
      <c r="S77" s="121"/>
      <c r="T77" s="7"/>
    </row>
    <row r="78" spans="1:20">
      <c r="A78" s="7"/>
      <c r="B78" s="7"/>
      <c r="C78" s="7"/>
      <c r="D78" s="7"/>
      <c r="E78" s="32"/>
      <c r="F78" s="7"/>
      <c r="G78" s="7"/>
      <c r="H78" s="7"/>
      <c r="I78" s="14"/>
      <c r="J78" s="14"/>
      <c r="K78" s="14"/>
      <c r="L78" s="14"/>
      <c r="M78" s="32"/>
      <c r="N78" s="32"/>
      <c r="O78" s="7"/>
      <c r="P78" s="43"/>
      <c r="Q78" s="9"/>
      <c r="R78" s="9"/>
      <c r="S78" s="121"/>
      <c r="T78" s="7"/>
    </row>
    <row r="79" spans="1:20">
      <c r="A79" s="7"/>
      <c r="B79" s="7"/>
      <c r="C79" s="7"/>
      <c r="D79" s="7"/>
      <c r="E79" s="32"/>
      <c r="F79" s="7"/>
      <c r="G79" s="7"/>
      <c r="H79" s="7"/>
      <c r="I79" s="14"/>
      <c r="J79" s="14"/>
      <c r="K79" s="14"/>
      <c r="L79" s="14"/>
      <c r="M79" s="32"/>
      <c r="N79" s="32"/>
      <c r="O79" s="7"/>
      <c r="P79" s="43"/>
      <c r="Q79" s="9"/>
      <c r="R79" s="9"/>
      <c r="S79" s="121"/>
      <c r="T79" s="7"/>
    </row>
    <row r="80" spans="1:20">
      <c r="A80" s="7"/>
      <c r="B80" s="7"/>
      <c r="C80" s="7"/>
      <c r="D80" s="7"/>
      <c r="E80" s="32"/>
      <c r="F80" s="7"/>
      <c r="G80" s="7"/>
      <c r="H80" s="7"/>
      <c r="I80" s="14"/>
      <c r="J80" s="14"/>
      <c r="K80" s="14"/>
      <c r="L80" s="14"/>
      <c r="M80" s="32"/>
      <c r="N80" s="32"/>
      <c r="O80" s="7"/>
      <c r="P80" s="43"/>
      <c r="Q80" s="9"/>
      <c r="R80" s="9"/>
      <c r="S80" s="121"/>
      <c r="T80" s="7"/>
    </row>
    <row r="81" spans="1:20">
      <c r="A81" s="7"/>
      <c r="B81" s="7"/>
      <c r="C81" s="7"/>
      <c r="D81" s="7"/>
      <c r="E81" s="32"/>
      <c r="F81" s="7"/>
      <c r="G81" s="7"/>
      <c r="H81" s="7"/>
      <c r="I81" s="14"/>
      <c r="J81" s="14"/>
      <c r="K81" s="14"/>
      <c r="L81" s="14"/>
      <c r="M81" s="32"/>
      <c r="N81" s="32"/>
      <c r="O81" s="7"/>
      <c r="P81" s="43"/>
      <c r="Q81" s="9"/>
      <c r="R81" s="9"/>
      <c r="S81" s="121"/>
      <c r="T81" s="7"/>
    </row>
    <row r="82" spans="1:20">
      <c r="A82" s="7"/>
      <c r="B82" s="7"/>
      <c r="C82" s="7"/>
      <c r="D82" s="7"/>
      <c r="E82" s="32"/>
      <c r="F82" s="7"/>
      <c r="G82" s="7"/>
      <c r="H82" s="7"/>
      <c r="I82" s="14"/>
      <c r="J82" s="14"/>
      <c r="K82" s="14"/>
      <c r="L82" s="14"/>
      <c r="M82" s="32"/>
      <c r="N82" s="32"/>
      <c r="O82" s="7"/>
      <c r="P82" s="43"/>
      <c r="Q82" s="9"/>
      <c r="R82" s="9"/>
      <c r="S82" s="121"/>
      <c r="T82" s="7"/>
    </row>
    <row r="83" spans="1:20">
      <c r="A83" s="7"/>
      <c r="B83" s="7"/>
      <c r="C83" s="7"/>
      <c r="D83" s="7"/>
      <c r="E83" s="32"/>
      <c r="F83" s="7"/>
      <c r="G83" s="7"/>
      <c r="H83" s="7"/>
      <c r="I83" s="14"/>
      <c r="J83" s="14"/>
      <c r="K83" s="14"/>
      <c r="L83" s="14"/>
      <c r="M83" s="32"/>
      <c r="N83" s="32"/>
      <c r="O83" s="7"/>
      <c r="P83" s="43"/>
      <c r="Q83" s="9"/>
      <c r="R83" s="9"/>
      <c r="S83" s="121"/>
      <c r="T83" s="7"/>
    </row>
    <row r="84" spans="1:20">
      <c r="A84" s="7"/>
      <c r="B84" s="7"/>
      <c r="C84" s="7"/>
      <c r="D84" s="7"/>
      <c r="E84" s="32"/>
      <c r="F84" s="7"/>
      <c r="G84" s="7"/>
      <c r="H84" s="7"/>
      <c r="I84" s="14"/>
      <c r="J84" s="14"/>
      <c r="K84" s="14"/>
      <c r="L84" s="14"/>
      <c r="M84" s="32"/>
      <c r="N84" s="32"/>
      <c r="O84" s="7"/>
      <c r="P84" s="43"/>
      <c r="Q84" s="9"/>
      <c r="R84" s="9"/>
      <c r="S84" s="121"/>
      <c r="T84" s="7"/>
    </row>
    <row r="85" spans="1:20">
      <c r="A85" s="7"/>
      <c r="B85" s="7"/>
      <c r="C85" s="7"/>
      <c r="D85" s="7"/>
      <c r="E85" s="32"/>
      <c r="F85" s="7"/>
      <c r="G85" s="7"/>
      <c r="H85" s="7"/>
      <c r="I85" s="14"/>
      <c r="J85" s="14"/>
      <c r="K85" s="14"/>
      <c r="L85" s="14"/>
      <c r="M85" s="32"/>
      <c r="N85" s="32"/>
      <c r="O85" s="7"/>
      <c r="P85" s="43"/>
      <c r="Q85" s="9"/>
      <c r="R85" s="9"/>
      <c r="S85" s="121"/>
      <c r="T85" s="7"/>
    </row>
    <row r="86" spans="1:20">
      <c r="A86" s="7"/>
      <c r="B86" s="7"/>
      <c r="C86" s="7"/>
      <c r="D86" s="7"/>
      <c r="E86" s="32"/>
      <c r="F86" s="7"/>
      <c r="G86" s="7"/>
      <c r="H86" s="7"/>
      <c r="I86" s="14"/>
      <c r="J86" s="14"/>
      <c r="K86" s="14"/>
      <c r="L86" s="14"/>
      <c r="M86" s="32"/>
      <c r="N86" s="32"/>
      <c r="O86" s="7"/>
      <c r="P86" s="43"/>
      <c r="Q86" s="9"/>
      <c r="R86" s="9"/>
      <c r="S86" s="121"/>
      <c r="T86" s="7"/>
    </row>
    <row r="87" spans="1:20">
      <c r="A87" s="7"/>
      <c r="B87" s="7"/>
      <c r="C87" s="7"/>
      <c r="D87" s="7"/>
      <c r="E87" s="32"/>
      <c r="F87" s="7"/>
      <c r="G87" s="7"/>
      <c r="H87" s="7"/>
      <c r="I87" s="14"/>
      <c r="J87" s="14"/>
      <c r="K87" s="14"/>
      <c r="L87" s="14"/>
      <c r="M87" s="32"/>
      <c r="N87" s="32"/>
      <c r="O87" s="7"/>
      <c r="P87" s="43"/>
      <c r="Q87" s="9"/>
      <c r="R87" s="9"/>
      <c r="S87" s="121"/>
      <c r="T87" s="7"/>
    </row>
    <row r="88" spans="1:20">
      <c r="A88" s="7"/>
      <c r="B88" s="7"/>
      <c r="C88" s="7"/>
      <c r="D88" s="7"/>
      <c r="E88" s="32"/>
      <c r="F88" s="7"/>
      <c r="G88" s="7"/>
      <c r="H88" s="7"/>
      <c r="I88" s="14"/>
      <c r="J88" s="14"/>
      <c r="K88" s="14"/>
      <c r="L88" s="14"/>
      <c r="M88" s="32"/>
      <c r="N88" s="32"/>
      <c r="O88" s="7"/>
      <c r="P88" s="43"/>
      <c r="Q88" s="9"/>
      <c r="R88" s="9"/>
      <c r="S88" s="121"/>
      <c r="T88" s="7"/>
    </row>
    <row r="89" spans="1:20">
      <c r="A89" s="7"/>
      <c r="B89" s="7"/>
      <c r="C89" s="7"/>
      <c r="D89" s="7"/>
      <c r="E89" s="32"/>
      <c r="F89" s="7"/>
      <c r="G89" s="7"/>
      <c r="H89" s="7"/>
      <c r="I89" s="14"/>
      <c r="J89" s="14"/>
      <c r="K89" s="14"/>
      <c r="L89" s="14"/>
      <c r="M89" s="32"/>
      <c r="N89" s="32"/>
      <c r="O89" s="7"/>
      <c r="P89" s="43"/>
      <c r="Q89" s="9"/>
      <c r="R89" s="9"/>
      <c r="S89" s="121"/>
      <c r="T89" s="7"/>
    </row>
    <row r="90" spans="1:20">
      <c r="A90" s="7"/>
      <c r="B90" s="7"/>
      <c r="C90" s="7"/>
      <c r="D90" s="7"/>
      <c r="E90" s="32"/>
      <c r="F90" s="7"/>
      <c r="G90" s="7"/>
      <c r="H90" s="7"/>
      <c r="I90" s="14"/>
      <c r="J90" s="14"/>
      <c r="K90" s="14"/>
      <c r="L90" s="14"/>
      <c r="M90" s="32"/>
      <c r="N90" s="32"/>
      <c r="O90" s="7"/>
      <c r="P90" s="43"/>
      <c r="Q90" s="9"/>
      <c r="R90" s="9"/>
      <c r="S90" s="121"/>
      <c r="T90" s="7"/>
    </row>
    <row r="91" spans="1:20">
      <c r="A91" s="7"/>
      <c r="B91" s="7"/>
      <c r="C91" s="7"/>
      <c r="D91" s="7"/>
      <c r="E91" s="32"/>
      <c r="F91" s="7"/>
      <c r="G91" s="7"/>
      <c r="H91" s="7"/>
      <c r="I91" s="14"/>
      <c r="J91" s="14"/>
      <c r="K91" s="14"/>
      <c r="L91" s="14"/>
      <c r="M91" s="32"/>
      <c r="N91" s="32"/>
      <c r="O91" s="7"/>
      <c r="P91" s="43"/>
      <c r="Q91" s="9"/>
      <c r="R91" s="9"/>
      <c r="S91" s="121"/>
      <c r="T91" s="7"/>
    </row>
    <row r="92" spans="1:20">
      <c r="A92" s="7"/>
      <c r="B92" s="7"/>
      <c r="C92" s="7"/>
      <c r="D92" s="7"/>
      <c r="E92" s="32"/>
      <c r="F92" s="7"/>
      <c r="G92" s="7"/>
      <c r="H92" s="7"/>
      <c r="I92" s="14"/>
      <c r="J92" s="14"/>
      <c r="K92" s="14"/>
      <c r="L92" s="14"/>
      <c r="M92" s="32"/>
      <c r="N92" s="32"/>
      <c r="O92" s="7"/>
      <c r="P92" s="43"/>
      <c r="Q92" s="9"/>
      <c r="R92" s="9"/>
      <c r="S92" s="121"/>
      <c r="T92" s="7"/>
    </row>
    <row r="93" spans="1:20">
      <c r="A93" s="7"/>
      <c r="B93" s="7"/>
      <c r="C93" s="7"/>
      <c r="D93" s="7"/>
      <c r="E93" s="32"/>
      <c r="F93" s="7"/>
      <c r="G93" s="7"/>
      <c r="H93" s="7"/>
      <c r="I93" s="14"/>
      <c r="J93" s="14"/>
      <c r="K93" s="14"/>
      <c r="L93" s="14"/>
      <c r="M93" s="32"/>
      <c r="N93" s="32"/>
      <c r="O93" s="7"/>
      <c r="P93" s="43"/>
      <c r="Q93" s="9"/>
      <c r="R93" s="9"/>
      <c r="S93" s="121"/>
      <c r="T93" s="7"/>
    </row>
    <row r="94" spans="1:20">
      <c r="A94" s="7"/>
      <c r="B94" s="7"/>
      <c r="C94" s="7"/>
      <c r="D94" s="7"/>
      <c r="E94" s="32"/>
      <c r="F94" s="7"/>
      <c r="G94" s="7"/>
      <c r="H94" s="7"/>
      <c r="I94" s="14"/>
      <c r="J94" s="14"/>
      <c r="K94" s="14"/>
      <c r="L94" s="14"/>
      <c r="M94" s="32"/>
      <c r="N94" s="32"/>
      <c r="O94" s="7"/>
      <c r="P94" s="43"/>
      <c r="Q94" s="9"/>
      <c r="R94" s="9"/>
      <c r="S94" s="121"/>
      <c r="T94" s="7"/>
    </row>
    <row r="95" spans="1:20">
      <c r="A95" s="7"/>
      <c r="B95" s="7"/>
      <c r="C95" s="7"/>
      <c r="D95" s="7"/>
      <c r="E95" s="32"/>
      <c r="F95" s="7"/>
      <c r="G95" s="7"/>
      <c r="H95" s="7"/>
      <c r="I95" s="14"/>
      <c r="J95" s="14"/>
      <c r="K95" s="14"/>
      <c r="L95" s="14"/>
      <c r="M95" s="32"/>
      <c r="N95" s="32"/>
      <c r="O95" s="7"/>
      <c r="P95" s="43"/>
      <c r="Q95" s="9"/>
      <c r="R95" s="9"/>
      <c r="S95" s="121"/>
      <c r="T95" s="7"/>
    </row>
    <row r="96" spans="1:20">
      <c r="A96" s="7"/>
      <c r="B96" s="7"/>
      <c r="C96" s="7"/>
      <c r="D96" s="7"/>
      <c r="E96" s="32"/>
      <c r="F96" s="7"/>
      <c r="G96" s="7"/>
      <c r="H96" s="7"/>
      <c r="I96" s="14"/>
      <c r="J96" s="14"/>
      <c r="K96" s="14"/>
      <c r="L96" s="14"/>
      <c r="M96" s="32"/>
      <c r="N96" s="32"/>
      <c r="O96" s="7"/>
      <c r="P96" s="43"/>
      <c r="Q96" s="9"/>
      <c r="R96" s="9"/>
      <c r="S96" s="121"/>
      <c r="T96" s="7"/>
    </row>
    <row r="97" spans="1:20">
      <c r="A97" s="7"/>
      <c r="B97" s="7"/>
      <c r="C97" s="7"/>
      <c r="D97" s="7"/>
      <c r="E97" s="32"/>
      <c r="F97" s="7"/>
      <c r="G97" s="7"/>
      <c r="H97" s="7"/>
      <c r="I97" s="14"/>
      <c r="J97" s="14"/>
      <c r="K97" s="14"/>
      <c r="L97" s="14"/>
      <c r="M97" s="32"/>
      <c r="N97" s="32"/>
      <c r="O97" s="7"/>
      <c r="P97" s="43"/>
      <c r="Q97" s="9"/>
      <c r="R97" s="9"/>
      <c r="S97" s="121"/>
      <c r="T97" s="7"/>
    </row>
    <row r="98" spans="1:20">
      <c r="A98" s="7"/>
      <c r="B98" s="7"/>
      <c r="C98" s="7"/>
      <c r="D98" s="7"/>
      <c r="E98" s="32"/>
      <c r="F98" s="7"/>
      <c r="G98" s="7"/>
      <c r="H98" s="7"/>
      <c r="I98" s="14"/>
      <c r="J98" s="14"/>
      <c r="K98" s="14"/>
      <c r="L98" s="14"/>
      <c r="M98" s="32"/>
      <c r="N98" s="32"/>
      <c r="O98" s="7"/>
      <c r="P98" s="43"/>
      <c r="Q98" s="9"/>
      <c r="R98" s="9"/>
      <c r="S98" s="121"/>
      <c r="T98" s="7"/>
    </row>
    <row r="99" spans="1:20">
      <c r="A99" s="7"/>
      <c r="B99" s="7"/>
      <c r="C99" s="7"/>
      <c r="D99" s="7"/>
      <c r="E99" s="32"/>
      <c r="F99" s="7"/>
      <c r="G99" s="7"/>
      <c r="H99" s="7"/>
      <c r="I99" s="14"/>
      <c r="J99" s="14"/>
      <c r="K99" s="14"/>
      <c r="L99" s="14"/>
      <c r="M99" s="32"/>
      <c r="N99" s="32"/>
      <c r="O99" s="7"/>
      <c r="P99" s="43"/>
      <c r="Q99" s="9"/>
      <c r="R99" s="9"/>
      <c r="S99" s="121"/>
      <c r="T99" s="7"/>
    </row>
    <row r="100" spans="1:20">
      <c r="A100" s="7"/>
      <c r="B100" s="7"/>
      <c r="C100" s="7"/>
      <c r="D100" s="7"/>
      <c r="E100" s="32"/>
      <c r="F100" s="7"/>
      <c r="G100" s="7"/>
      <c r="H100" s="7"/>
      <c r="I100" s="14"/>
      <c r="J100" s="14"/>
      <c r="K100" s="14"/>
      <c r="L100" s="14"/>
      <c r="M100" s="32"/>
      <c r="N100" s="32"/>
      <c r="O100" s="7"/>
      <c r="P100" s="43"/>
      <c r="Q100" s="9"/>
      <c r="R100" s="9"/>
      <c r="S100" s="121"/>
      <c r="T100" s="7"/>
    </row>
    <row r="101" spans="1:20">
      <c r="A101" s="7"/>
      <c r="B101" s="7"/>
      <c r="C101" s="7"/>
      <c r="D101" s="7"/>
      <c r="E101" s="32"/>
      <c r="F101" s="7"/>
      <c r="G101" s="7"/>
      <c r="H101" s="7"/>
      <c r="I101" s="14"/>
      <c r="J101" s="14"/>
      <c r="K101" s="14"/>
      <c r="L101" s="14"/>
      <c r="M101" s="32"/>
      <c r="N101" s="32"/>
      <c r="O101" s="7"/>
      <c r="P101" s="43"/>
      <c r="Q101" s="9"/>
      <c r="R101" s="9"/>
      <c r="S101" s="121"/>
      <c r="T101" s="7"/>
    </row>
    <row r="102" spans="1:20">
      <c r="A102" s="7"/>
      <c r="B102" s="7"/>
      <c r="C102" s="7"/>
      <c r="D102" s="7"/>
      <c r="E102" s="32"/>
      <c r="F102" s="7"/>
      <c r="G102" s="7"/>
      <c r="H102" s="7"/>
      <c r="I102" s="14"/>
      <c r="J102" s="14"/>
      <c r="K102" s="14"/>
      <c r="L102" s="14"/>
      <c r="M102" s="32"/>
      <c r="N102" s="32"/>
      <c r="O102" s="7"/>
      <c r="P102" s="43"/>
      <c r="Q102" s="9"/>
      <c r="R102" s="9"/>
      <c r="S102" s="121"/>
      <c r="T102" s="7"/>
    </row>
    <row r="103" spans="1:20">
      <c r="A103" s="7"/>
      <c r="B103" s="7"/>
      <c r="C103" s="7"/>
      <c r="D103" s="7"/>
      <c r="E103" s="32"/>
      <c r="F103" s="7"/>
      <c r="G103" s="7"/>
      <c r="H103" s="7"/>
      <c r="I103" s="14"/>
      <c r="J103" s="14"/>
      <c r="K103" s="14"/>
      <c r="L103" s="14"/>
      <c r="M103" s="32"/>
      <c r="N103" s="32"/>
      <c r="O103" s="7"/>
      <c r="P103" s="43"/>
      <c r="Q103" s="9"/>
      <c r="R103" s="9"/>
      <c r="S103" s="121"/>
      <c r="T103" s="7"/>
    </row>
    <row r="104" spans="1:20">
      <c r="A104" s="7"/>
      <c r="B104" s="7"/>
      <c r="C104" s="7"/>
      <c r="D104" s="7"/>
      <c r="E104" s="32"/>
      <c r="F104" s="7"/>
      <c r="G104" s="7"/>
      <c r="H104" s="7"/>
      <c r="I104" s="14"/>
      <c r="J104" s="14"/>
      <c r="K104" s="14"/>
      <c r="L104" s="14"/>
      <c r="M104" s="32"/>
      <c r="N104" s="32"/>
      <c r="O104" s="7"/>
      <c r="P104" s="43"/>
      <c r="Q104" s="9"/>
      <c r="R104" s="9"/>
      <c r="S104" s="121"/>
      <c r="T104" s="7"/>
    </row>
    <row r="105" spans="1:20">
      <c r="A105" s="7"/>
      <c r="B105" s="7"/>
      <c r="C105" s="7"/>
      <c r="D105" s="7"/>
      <c r="E105" s="32"/>
      <c r="F105" s="7"/>
      <c r="G105" s="7"/>
      <c r="H105" s="7"/>
      <c r="I105" s="14"/>
      <c r="J105" s="14"/>
      <c r="K105" s="14"/>
      <c r="L105" s="14"/>
      <c r="M105" s="32"/>
      <c r="N105" s="32"/>
      <c r="O105" s="7"/>
      <c r="P105" s="43"/>
      <c r="Q105" s="9"/>
      <c r="R105" s="9"/>
      <c r="S105" s="121"/>
      <c r="T105" s="7"/>
    </row>
    <row r="106" spans="1:20">
      <c r="A106" s="7"/>
      <c r="B106" s="7"/>
      <c r="C106" s="7"/>
      <c r="D106" s="7"/>
      <c r="E106" s="32"/>
      <c r="F106" s="7"/>
      <c r="G106" s="7"/>
      <c r="H106" s="7"/>
      <c r="I106" s="14"/>
      <c r="J106" s="14"/>
      <c r="K106" s="14"/>
      <c r="L106" s="14"/>
      <c r="M106" s="32"/>
      <c r="N106" s="32"/>
      <c r="O106" s="7"/>
      <c r="P106" s="43"/>
      <c r="Q106" s="9"/>
      <c r="R106" s="9"/>
      <c r="S106" s="121"/>
      <c r="T106" s="7"/>
    </row>
    <row r="107" spans="1:20">
      <c r="A107" s="7"/>
      <c r="B107" s="7"/>
      <c r="C107" s="7"/>
      <c r="D107" s="7"/>
      <c r="E107" s="32"/>
      <c r="F107" s="7"/>
      <c r="G107" s="7"/>
      <c r="H107" s="7"/>
      <c r="I107" s="14"/>
      <c r="J107" s="14"/>
      <c r="K107" s="14"/>
      <c r="L107" s="14"/>
      <c r="M107" s="32"/>
      <c r="N107" s="32"/>
      <c r="O107" s="7"/>
      <c r="P107" s="43"/>
      <c r="Q107" s="9"/>
      <c r="R107" s="9"/>
      <c r="S107" s="121"/>
      <c r="T107" s="7"/>
    </row>
    <row r="108" spans="1:20">
      <c r="A108" s="7"/>
      <c r="B108" s="7"/>
      <c r="C108" s="7"/>
      <c r="D108" s="7"/>
      <c r="E108" s="32"/>
      <c r="F108" s="7"/>
      <c r="G108" s="7"/>
      <c r="H108" s="7"/>
      <c r="I108" s="14"/>
      <c r="J108" s="14"/>
      <c r="K108" s="14"/>
      <c r="L108" s="14"/>
      <c r="M108" s="32"/>
      <c r="N108" s="32"/>
      <c r="O108" s="7"/>
      <c r="P108" s="43"/>
      <c r="Q108" s="9"/>
      <c r="R108" s="9"/>
      <c r="S108" s="121"/>
      <c r="T108" s="7"/>
    </row>
    <row r="109" spans="1:20">
      <c r="A109" s="7"/>
      <c r="B109" s="7"/>
      <c r="C109" s="7"/>
      <c r="D109" s="7"/>
      <c r="E109" s="32"/>
      <c r="F109" s="7"/>
      <c r="G109" s="7"/>
      <c r="H109" s="7"/>
      <c r="I109" s="14"/>
      <c r="J109" s="14"/>
      <c r="K109" s="14"/>
      <c r="L109" s="14"/>
      <c r="M109" s="32"/>
      <c r="N109" s="32"/>
      <c r="O109" s="7"/>
      <c r="P109" s="43"/>
      <c r="Q109" s="9"/>
      <c r="R109" s="9"/>
      <c r="S109" s="121"/>
      <c r="T109" s="7"/>
    </row>
    <row r="110" spans="1:20">
      <c r="A110" s="7"/>
      <c r="B110" s="7"/>
      <c r="C110" s="7"/>
      <c r="D110" s="7"/>
      <c r="E110" s="32"/>
      <c r="F110" s="7"/>
      <c r="G110" s="7"/>
      <c r="H110" s="7"/>
      <c r="I110" s="14"/>
      <c r="J110" s="14"/>
      <c r="K110" s="14"/>
      <c r="L110" s="14"/>
      <c r="M110" s="32"/>
      <c r="N110" s="32"/>
      <c r="O110" s="7"/>
      <c r="P110" s="43"/>
      <c r="Q110" s="9"/>
      <c r="R110" s="9"/>
      <c r="S110" s="121"/>
      <c r="T110" s="7"/>
    </row>
    <row r="111" spans="1:20">
      <c r="A111" s="7"/>
      <c r="B111" s="7"/>
      <c r="C111" s="7"/>
      <c r="D111" s="7"/>
      <c r="E111" s="32"/>
      <c r="F111" s="7"/>
      <c r="G111" s="7"/>
      <c r="H111" s="7"/>
      <c r="I111" s="14"/>
      <c r="J111" s="14"/>
      <c r="K111" s="14"/>
      <c r="L111" s="14"/>
      <c r="M111" s="32"/>
      <c r="N111" s="32"/>
      <c r="O111" s="7"/>
      <c r="P111" s="43"/>
      <c r="Q111" s="9"/>
      <c r="R111" s="9"/>
      <c r="S111" s="121"/>
      <c r="T111" s="7"/>
    </row>
    <row r="112" spans="1:20">
      <c r="A112" s="7"/>
      <c r="B112" s="7"/>
      <c r="C112" s="7"/>
      <c r="D112" s="7"/>
      <c r="E112" s="32"/>
      <c r="F112" s="7"/>
      <c r="G112" s="7"/>
      <c r="H112" s="7"/>
      <c r="I112" s="14"/>
      <c r="J112" s="14"/>
      <c r="K112" s="14"/>
      <c r="L112" s="14"/>
      <c r="M112" s="32"/>
      <c r="N112" s="32"/>
      <c r="O112" s="7"/>
      <c r="P112" s="43"/>
      <c r="Q112" s="9"/>
      <c r="R112" s="9"/>
      <c r="S112" s="121"/>
      <c r="T112" s="7"/>
    </row>
    <row r="113" spans="1:20">
      <c r="A113" s="7"/>
      <c r="B113" s="7"/>
      <c r="C113" s="7"/>
      <c r="D113" s="7"/>
      <c r="E113" s="32"/>
      <c r="F113" s="7"/>
      <c r="G113" s="7"/>
      <c r="H113" s="7"/>
      <c r="I113" s="14"/>
      <c r="J113" s="14"/>
      <c r="K113" s="14"/>
      <c r="L113" s="14"/>
      <c r="M113" s="32"/>
      <c r="N113" s="32"/>
      <c r="O113" s="7"/>
      <c r="P113" s="43"/>
      <c r="Q113" s="9"/>
      <c r="R113" s="9"/>
      <c r="S113" s="121"/>
      <c r="T113" s="7"/>
    </row>
    <row r="114" spans="1:20">
      <c r="A114" s="7"/>
      <c r="B114" s="7"/>
      <c r="C114" s="7"/>
      <c r="D114" s="7"/>
      <c r="E114" s="32"/>
      <c r="F114" s="7"/>
      <c r="G114" s="7"/>
      <c r="H114" s="7"/>
      <c r="I114" s="14"/>
      <c r="J114" s="14"/>
      <c r="K114" s="14"/>
      <c r="L114" s="14"/>
      <c r="M114" s="32"/>
      <c r="N114" s="32"/>
      <c r="O114" s="7"/>
      <c r="P114" s="43"/>
      <c r="Q114" s="9"/>
      <c r="R114" s="9"/>
      <c r="S114" s="121"/>
      <c r="T114" s="7"/>
    </row>
    <row r="115" spans="1:20">
      <c r="A115" s="7"/>
      <c r="B115" s="7"/>
      <c r="C115" s="7"/>
      <c r="D115" s="7"/>
      <c r="E115" s="32"/>
      <c r="F115" s="7"/>
      <c r="G115" s="7"/>
      <c r="H115" s="7"/>
      <c r="I115" s="14"/>
      <c r="J115" s="14"/>
      <c r="K115" s="14"/>
      <c r="L115" s="14"/>
      <c r="M115" s="32"/>
      <c r="N115" s="32"/>
      <c r="O115" s="7"/>
      <c r="P115" s="43"/>
      <c r="Q115" s="9"/>
      <c r="R115" s="9"/>
      <c r="S115" s="121"/>
      <c r="T115" s="7"/>
    </row>
    <row r="116" spans="1:20">
      <c r="A116" s="7"/>
      <c r="B116" s="7"/>
      <c r="C116" s="7"/>
      <c r="D116" s="7"/>
      <c r="E116" s="32"/>
      <c r="F116" s="7"/>
      <c r="G116" s="7"/>
      <c r="H116" s="7"/>
      <c r="I116" s="14"/>
      <c r="J116" s="14"/>
      <c r="K116" s="14"/>
      <c r="L116" s="14"/>
      <c r="M116" s="32"/>
      <c r="N116" s="32"/>
      <c r="O116" s="7"/>
      <c r="P116" s="43"/>
      <c r="Q116" s="9"/>
      <c r="R116" s="9"/>
      <c r="S116" s="121"/>
      <c r="T116" s="7"/>
    </row>
    <row r="117" spans="1:20">
      <c r="A117" s="7"/>
      <c r="B117" s="7"/>
      <c r="C117" s="7"/>
      <c r="D117" s="7"/>
      <c r="E117" s="32"/>
      <c r="F117" s="7"/>
      <c r="G117" s="7"/>
      <c r="H117" s="7"/>
      <c r="I117" s="14"/>
      <c r="J117" s="14"/>
      <c r="K117" s="14"/>
      <c r="L117" s="14"/>
      <c r="M117" s="32"/>
      <c r="N117" s="32"/>
      <c r="O117" s="7"/>
      <c r="P117" s="43"/>
      <c r="Q117" s="9"/>
      <c r="R117" s="9"/>
      <c r="S117" s="121"/>
      <c r="T117" s="7"/>
    </row>
    <row r="118" spans="1:20">
      <c r="A118" s="7"/>
      <c r="B118" s="7"/>
      <c r="C118" s="7"/>
      <c r="D118" s="7"/>
      <c r="E118" s="32"/>
      <c r="F118" s="7"/>
      <c r="G118" s="7"/>
      <c r="H118" s="7"/>
      <c r="I118" s="14"/>
      <c r="J118" s="14"/>
      <c r="K118" s="14"/>
      <c r="L118" s="14"/>
      <c r="M118" s="32"/>
      <c r="N118" s="32"/>
      <c r="O118" s="7"/>
      <c r="P118" s="43"/>
      <c r="Q118" s="9"/>
      <c r="R118" s="9"/>
      <c r="S118" s="121"/>
      <c r="T118" s="7"/>
    </row>
    <row r="119" spans="1:20">
      <c r="A119" s="7"/>
      <c r="B119" s="7"/>
      <c r="C119" s="7"/>
      <c r="D119" s="7"/>
      <c r="E119" s="32"/>
      <c r="F119" s="7"/>
      <c r="G119" s="7"/>
      <c r="H119" s="7"/>
      <c r="I119" s="14"/>
      <c r="J119" s="14"/>
      <c r="K119" s="14"/>
      <c r="L119" s="14"/>
      <c r="M119" s="32"/>
      <c r="N119" s="32"/>
      <c r="O119" s="7"/>
      <c r="P119" s="43"/>
      <c r="Q119" s="9"/>
      <c r="R119" s="9"/>
      <c r="S119" s="121"/>
      <c r="T119" s="7"/>
    </row>
    <row r="120" spans="1:20">
      <c r="A120" s="7"/>
      <c r="B120" s="7"/>
      <c r="C120" s="7"/>
      <c r="D120" s="7"/>
      <c r="E120" s="32"/>
      <c r="F120" s="7"/>
      <c r="G120" s="7"/>
      <c r="H120" s="7"/>
      <c r="I120" s="14"/>
      <c r="J120" s="14"/>
      <c r="K120" s="14"/>
      <c r="L120" s="14"/>
      <c r="M120" s="32"/>
      <c r="N120" s="32"/>
      <c r="O120" s="7"/>
      <c r="P120" s="43"/>
      <c r="Q120" s="9"/>
      <c r="R120" s="9"/>
      <c r="S120" s="121"/>
      <c r="T120" s="7"/>
    </row>
    <row r="121" spans="1:20">
      <c r="A121" s="7"/>
      <c r="B121" s="7"/>
      <c r="C121" s="7"/>
      <c r="D121" s="7"/>
      <c r="E121" s="32"/>
      <c r="F121" s="7"/>
      <c r="G121" s="7"/>
      <c r="H121" s="7"/>
      <c r="I121" s="14"/>
      <c r="J121" s="14"/>
      <c r="K121" s="14"/>
      <c r="L121" s="14"/>
      <c r="M121" s="32"/>
      <c r="N121" s="32"/>
      <c r="O121" s="7"/>
      <c r="P121" s="43"/>
      <c r="Q121" s="9"/>
      <c r="R121" s="9"/>
      <c r="S121" s="121"/>
      <c r="T121" s="7"/>
    </row>
    <row r="122" spans="1:20">
      <c r="A122" s="7"/>
      <c r="B122" s="7"/>
      <c r="C122" s="7"/>
      <c r="D122" s="7"/>
      <c r="E122" s="32"/>
      <c r="F122" s="7"/>
      <c r="G122" s="7"/>
      <c r="H122" s="7"/>
      <c r="I122" s="14"/>
      <c r="J122" s="14"/>
      <c r="K122" s="14"/>
      <c r="L122" s="14"/>
      <c r="M122" s="32"/>
      <c r="N122" s="32"/>
      <c r="O122" s="7"/>
      <c r="P122" s="43"/>
      <c r="Q122" s="9"/>
      <c r="R122" s="9"/>
      <c r="S122" s="121"/>
      <c r="T122" s="7"/>
    </row>
    <row r="123" spans="1:20">
      <c r="A123" s="7"/>
      <c r="B123" s="7"/>
      <c r="C123" s="7"/>
      <c r="D123" s="7"/>
      <c r="E123" s="32"/>
      <c r="F123" s="7"/>
      <c r="G123" s="7"/>
      <c r="H123" s="7"/>
      <c r="I123" s="14"/>
      <c r="J123" s="14"/>
      <c r="K123" s="14"/>
      <c r="L123" s="14"/>
      <c r="M123" s="32"/>
      <c r="N123" s="32"/>
      <c r="O123" s="7"/>
      <c r="P123" s="43"/>
      <c r="Q123" s="9"/>
      <c r="R123" s="9"/>
      <c r="S123" s="121"/>
      <c r="T123" s="7"/>
    </row>
    <row r="124" spans="1:20">
      <c r="A124" s="7"/>
      <c r="B124" s="7"/>
      <c r="C124" s="7"/>
      <c r="D124" s="7"/>
      <c r="E124" s="32"/>
      <c r="F124" s="7"/>
      <c r="G124" s="7"/>
      <c r="H124" s="7"/>
      <c r="I124" s="14"/>
      <c r="J124" s="14"/>
      <c r="K124" s="14"/>
      <c r="L124" s="14"/>
      <c r="M124" s="32"/>
      <c r="N124" s="32"/>
      <c r="O124" s="7"/>
      <c r="P124" s="43"/>
      <c r="Q124" s="9"/>
      <c r="R124" s="9"/>
      <c r="S124" s="121"/>
      <c r="T124" s="7"/>
    </row>
    <row r="125" spans="1:20">
      <c r="A125" s="7"/>
      <c r="B125" s="7"/>
      <c r="C125" s="7"/>
      <c r="D125" s="7"/>
      <c r="E125" s="32"/>
      <c r="F125" s="7"/>
      <c r="G125" s="7"/>
      <c r="H125" s="7"/>
      <c r="I125" s="14"/>
      <c r="J125" s="14"/>
      <c r="K125" s="14"/>
      <c r="L125" s="14"/>
      <c r="M125" s="32"/>
      <c r="N125" s="32"/>
      <c r="O125" s="7"/>
      <c r="P125" s="43"/>
      <c r="Q125" s="9"/>
      <c r="R125" s="9"/>
      <c r="S125" s="121"/>
      <c r="T125" s="7"/>
    </row>
    <row r="126" spans="1:20">
      <c r="A126" s="7"/>
      <c r="B126" s="7"/>
      <c r="C126" s="7"/>
      <c r="D126" s="7"/>
      <c r="E126" s="32"/>
      <c r="F126" s="7"/>
      <c r="G126" s="7"/>
      <c r="H126" s="7"/>
      <c r="I126" s="14"/>
      <c r="J126" s="14"/>
      <c r="K126" s="14"/>
      <c r="L126" s="14"/>
      <c r="M126" s="32"/>
      <c r="N126" s="32"/>
      <c r="O126" s="7"/>
      <c r="P126" s="43"/>
      <c r="Q126" s="9"/>
      <c r="R126" s="9"/>
      <c r="S126" s="121"/>
      <c r="T126" s="7"/>
    </row>
    <row r="127" spans="1:20">
      <c r="A127" s="7"/>
      <c r="B127" s="7"/>
      <c r="C127" s="7"/>
      <c r="D127" s="7"/>
      <c r="E127" s="32"/>
      <c r="F127" s="7"/>
      <c r="G127" s="7"/>
      <c r="H127" s="7"/>
      <c r="I127" s="14"/>
      <c r="J127" s="14"/>
      <c r="K127" s="14"/>
      <c r="L127" s="14"/>
      <c r="M127" s="32"/>
      <c r="N127" s="32"/>
      <c r="O127" s="7"/>
      <c r="P127" s="43"/>
      <c r="Q127" s="9"/>
      <c r="R127" s="9"/>
      <c r="S127" s="121"/>
      <c r="T127" s="7"/>
    </row>
    <row r="128" spans="1:20">
      <c r="A128" s="7"/>
      <c r="B128" s="7"/>
      <c r="C128" s="7"/>
      <c r="D128" s="7"/>
      <c r="E128" s="32"/>
      <c r="F128" s="7"/>
      <c r="G128" s="7"/>
      <c r="H128" s="7"/>
      <c r="I128" s="14"/>
      <c r="J128" s="14"/>
      <c r="K128" s="14"/>
      <c r="L128" s="14"/>
      <c r="M128" s="32"/>
      <c r="N128" s="32"/>
      <c r="O128" s="7"/>
      <c r="P128" s="43"/>
      <c r="Q128" s="9"/>
      <c r="R128" s="9"/>
      <c r="S128" s="121"/>
      <c r="T128" s="7"/>
    </row>
    <row r="129" spans="1:20">
      <c r="A129" s="7"/>
      <c r="B129" s="7"/>
      <c r="C129" s="7"/>
      <c r="D129" s="7"/>
      <c r="E129" s="32"/>
      <c r="F129" s="7"/>
      <c r="G129" s="7"/>
      <c r="H129" s="7"/>
      <c r="I129" s="14"/>
      <c r="J129" s="14"/>
      <c r="K129" s="14"/>
      <c r="L129" s="14"/>
      <c r="M129" s="32"/>
      <c r="N129" s="32"/>
      <c r="O129" s="7"/>
      <c r="P129" s="43"/>
      <c r="Q129" s="9"/>
      <c r="R129" s="9"/>
      <c r="S129" s="121"/>
      <c r="T129" s="7"/>
    </row>
    <row r="130" spans="1:20">
      <c r="A130" s="7"/>
      <c r="B130" s="7"/>
      <c r="C130" s="7"/>
      <c r="D130" s="7"/>
      <c r="E130" s="32"/>
      <c r="F130" s="7"/>
      <c r="G130" s="7"/>
      <c r="H130" s="7"/>
      <c r="I130" s="14"/>
      <c r="J130" s="14"/>
      <c r="K130" s="14"/>
      <c r="L130" s="14"/>
      <c r="M130" s="32"/>
      <c r="N130" s="32"/>
      <c r="O130" s="7"/>
      <c r="P130" s="43"/>
      <c r="Q130" s="9"/>
      <c r="R130" s="9"/>
      <c r="S130" s="121"/>
      <c r="T130" s="7"/>
    </row>
    <row r="131" spans="1:20">
      <c r="A131" s="7"/>
      <c r="B131" s="7"/>
      <c r="C131" s="7"/>
      <c r="D131" s="7"/>
      <c r="E131" s="32"/>
      <c r="F131" s="7"/>
      <c r="G131" s="7"/>
      <c r="H131" s="7"/>
      <c r="I131" s="14"/>
      <c r="J131" s="14"/>
      <c r="K131" s="14"/>
      <c r="L131" s="14"/>
      <c r="M131" s="32"/>
      <c r="N131" s="32"/>
      <c r="O131" s="7"/>
      <c r="P131" s="43"/>
      <c r="Q131" s="9"/>
      <c r="R131" s="9"/>
      <c r="S131" s="121"/>
      <c r="T131" s="7"/>
    </row>
    <row r="132" spans="1:20">
      <c r="A132" s="7"/>
      <c r="B132" s="7"/>
      <c r="C132" s="7"/>
      <c r="D132" s="7"/>
      <c r="E132" s="32"/>
      <c r="F132" s="7"/>
      <c r="G132" s="7"/>
      <c r="H132" s="7"/>
      <c r="I132" s="14"/>
      <c r="J132" s="14"/>
      <c r="K132" s="14"/>
      <c r="L132" s="14"/>
      <c r="M132" s="32"/>
      <c r="N132" s="32"/>
      <c r="O132" s="7"/>
      <c r="P132" s="43"/>
      <c r="Q132" s="9"/>
      <c r="R132" s="9"/>
      <c r="S132" s="121"/>
      <c r="T132" s="7"/>
    </row>
    <row r="133" spans="1:20">
      <c r="A133" s="7"/>
      <c r="B133" s="7"/>
      <c r="C133" s="7"/>
      <c r="D133" s="7"/>
      <c r="E133" s="32"/>
      <c r="F133" s="7"/>
      <c r="G133" s="7"/>
      <c r="H133" s="7"/>
      <c r="I133" s="14"/>
      <c r="J133" s="14"/>
      <c r="K133" s="14"/>
      <c r="L133" s="14"/>
      <c r="M133" s="32"/>
      <c r="N133" s="32"/>
      <c r="O133" s="7"/>
      <c r="P133" s="43"/>
      <c r="Q133" s="9"/>
      <c r="R133" s="9"/>
      <c r="S133" s="121"/>
      <c r="T133" s="7"/>
    </row>
    <row r="134" spans="1:20">
      <c r="A134" s="7"/>
      <c r="B134" s="7"/>
      <c r="C134" s="7"/>
      <c r="D134" s="7"/>
      <c r="E134" s="32"/>
      <c r="F134" s="7"/>
      <c r="G134" s="7"/>
      <c r="H134" s="7"/>
      <c r="I134" s="14"/>
      <c r="J134" s="14"/>
      <c r="K134" s="14"/>
      <c r="L134" s="14"/>
      <c r="M134" s="32"/>
      <c r="N134" s="32"/>
      <c r="O134" s="7"/>
      <c r="P134" s="43"/>
      <c r="Q134" s="9"/>
      <c r="R134" s="9"/>
      <c r="S134" s="121"/>
      <c r="T134" s="7"/>
    </row>
  </sheetData>
  <autoFilter ref="A1:T51" xr:uid="{3CA54DAE-5A7A-494A-BDE1-3CE98F0539CB}"/>
  <dataValidations count="6">
    <dataValidation type="list" allowBlank="1" showInputMessage="1" showErrorMessage="1" sqref="C2:C31 C37:C1048576" xr:uid="{6C58D871-5FFA-4857-BF54-82E05B184341}">
      <formula1>"P0, P1, P2, P3"</formula1>
    </dataValidation>
    <dataValidation type="list" allowBlank="1" showInputMessage="1" showErrorMessage="1" sqref="O34 O39:O1048576 O37 O2:O32" xr:uid="{7B1E0342-0C16-44A9-AD8B-B6C6678E0E95}">
      <formula1>"Fixed, In Progress, Need Discussion"</formula1>
    </dataValidation>
    <dataValidation allowBlank="1" showInputMessage="1" showErrorMessage="1" sqref="D1:D31 R39:R1048576 D37 R2:R33 R37 D39:D1048576" xr:uid="{A771A6F7-837C-4051-BD6A-92E2FD3FA7A7}"/>
    <dataValidation type="list" allowBlank="1" showInputMessage="1" showErrorMessage="1" sqref="G2:G1048576" xr:uid="{B4F55B24-FB50-40CA-A48C-2C882C44DBFA}">
      <formula1>"PVT, UAT, HTML/CSS"</formula1>
    </dataValidation>
    <dataValidation type="list" allowBlank="1" showInputMessage="1" showErrorMessage="1" sqref="T2:T1048576" xr:uid="{007330EA-D9B5-42A1-9FA1-6716718BDAB7}">
      <formula1>"Fixed, Pending, Reopen"</formula1>
    </dataValidation>
    <dataValidation type="list" allowBlank="1" showInputMessage="1" showErrorMessage="1" sqref="Q47:Q1048576 Q2:Q45" xr:uid="{9C4F5CBA-415D-4BE7-9821-1B105BE2E06F}">
      <formula1>"Open, Resolved, Hold, Reopened, Need Discussion"</formula1>
    </dataValidation>
  </dataValidations>
  <hyperlinks>
    <hyperlink ref="K3" r:id="rId1" xr:uid="{1DDF6554-4CD9-47B3-9502-16A514C678B8}"/>
    <hyperlink ref="K4" r:id="rId2" xr:uid="{FD066C04-0327-411F-8043-CFF8B5D8B24E}"/>
    <hyperlink ref="K5" r:id="rId3" xr:uid="{6D215A9C-F690-46AC-8EA0-B7373F5FC962}"/>
    <hyperlink ref="L5" r:id="rId4" xr:uid="{CD0A31B9-84CF-42B3-845C-84ED83FCC1DA}"/>
    <hyperlink ref="K6" r:id="rId5" xr:uid="{E61F9704-362C-45A6-9276-474BAA77523A}"/>
    <hyperlink ref="L6" r:id="rId6" xr:uid="{E7EA87B7-8198-463E-8FC7-5F52993C8DE5}"/>
    <hyperlink ref="K7" r:id="rId7" xr:uid="{8B4A424A-19A8-4BFB-91A9-8FD429B6509F}"/>
    <hyperlink ref="L7" r:id="rId8" xr:uid="{7E6F146A-64BF-4422-AA0D-BDC1751E1F52}"/>
    <hyperlink ref="K8" r:id="rId9" xr:uid="{89C32490-4A55-4045-964B-34C0ADE086BA}"/>
    <hyperlink ref="L8" r:id="rId10" xr:uid="{44A5631C-1430-4A27-BB83-1A0F16B5214B}"/>
    <hyperlink ref="K9" r:id="rId11" xr:uid="{9BF22044-CE65-438F-A6B3-5D003F1CC6CD}"/>
    <hyperlink ref="K10" r:id="rId12" xr:uid="{FF71495E-A88D-4714-B87A-E5E7D8E0D372}"/>
    <hyperlink ref="S4" r:id="rId13" display="https://www.loom.com/i/fb68b53ce98d4c41a4e73123e7f49fbd" xr:uid="{703482A1-EFEC-444D-9E88-FA40574036A7}"/>
    <hyperlink ref="K11" r:id="rId14" xr:uid="{335E7FB6-61ED-49AB-9A84-DFAFA9D7EAED}"/>
    <hyperlink ref="L11" r:id="rId15" xr:uid="{85E93CF7-DA3F-4F9C-A42C-0A40350EBB20}"/>
    <hyperlink ref="L12" r:id="rId16" xr:uid="{87AC5B6E-CD6A-4EBC-BB25-CC9682FC078D}"/>
    <hyperlink ref="K12" r:id="rId17" xr:uid="{C1FC36BF-E3A4-4D05-A373-D4422EEFEAD0}"/>
    <hyperlink ref="K13" r:id="rId18" xr:uid="{54187BD4-C4C5-4A3D-9FD0-4E91696F2AA3}"/>
    <hyperlink ref="L13" r:id="rId19" xr:uid="{9D2B6B6B-65C3-40D5-BB18-BD5C6F02DA3A}"/>
    <hyperlink ref="K14" r:id="rId20" xr:uid="{65E2948C-C81C-43DB-8820-D0C1EC7F08F7}"/>
    <hyperlink ref="K15" r:id="rId21" xr:uid="{2B5E15E1-8D68-4BAD-AC18-E1D7C65BE98D}"/>
    <hyperlink ref="L15" r:id="rId22" xr:uid="{9148E987-A81B-43E6-A5B4-5415D8BEC60C}"/>
    <hyperlink ref="K16" r:id="rId23" xr:uid="{1ABF42D7-F4E6-4D61-874E-528256FF9D50}"/>
    <hyperlink ref="L16" r:id="rId24" xr:uid="{309A883B-DEDA-46C4-8A17-CCE6EC1EDF2C}"/>
    <hyperlink ref="K17" r:id="rId25" xr:uid="{FA63BBF2-1599-4E76-A28E-74663B67A03A}"/>
    <hyperlink ref="L17" r:id="rId26" xr:uid="{BC48CC33-5807-426E-8695-73AB6CF76420}"/>
    <hyperlink ref="K18" r:id="rId27" xr:uid="{0F980A64-9721-4B15-911C-C277D95C29A1}"/>
    <hyperlink ref="L18" r:id="rId28" xr:uid="{D4A36643-DFCB-485C-AF03-320E83BD6B39}"/>
    <hyperlink ref="K19" r:id="rId29" xr:uid="{6E15D4BF-957B-4349-A06D-EC7049CFA173}"/>
    <hyperlink ref="L19" r:id="rId30" xr:uid="{A9C6F697-DA86-407E-A709-EA137FD48B4B}"/>
    <hyperlink ref="K20" r:id="rId31" xr:uid="{81424840-7478-4854-AB66-0FDB089C5B96}"/>
    <hyperlink ref="L20" r:id="rId32" xr:uid="{FF32B938-4B73-44DB-96B0-9077A988CA85}"/>
    <hyperlink ref="S8" r:id="rId33" display="https://www.loom.com/i/4cfd037008044c2b8130dce4582861b1" xr:uid="{AFDC36D1-6221-46D1-9515-3B8783402F14}"/>
    <hyperlink ref="K22" r:id="rId34" xr:uid="{7ECB507A-4051-40F5-B8A3-828D8F1B3D2D}"/>
    <hyperlink ref="L22" r:id="rId35" xr:uid="{DBD97008-8240-4CB2-B766-EAEEBA176C81}"/>
    <hyperlink ref="K23" r:id="rId36" xr:uid="{63DAD65F-4CDA-4D2E-BF8C-FBF278505F95}"/>
    <hyperlink ref="K24" r:id="rId37" xr:uid="{C7BCDBFB-409E-49B7-896E-7D3CCF3752FB}"/>
    <hyperlink ref="K26" r:id="rId38" xr:uid="{DDE33AFC-4021-4A13-A0ED-1400871B3E7D}"/>
    <hyperlink ref="K27" r:id="rId39" xr:uid="{D7868320-1BFC-4ABF-87DE-96531D925841}"/>
    <hyperlink ref="K28" r:id="rId40" xr:uid="{0980F49B-6D8A-4B8F-AF1C-4DA6446A6B73}"/>
    <hyperlink ref="K29" r:id="rId41" xr:uid="{77FC1380-DC1C-4369-98AD-C5821C101AC7}"/>
    <hyperlink ref="K30" r:id="rId42" xr:uid="{D4C78CD8-95F4-4557-BA53-5A3A43760D3C}"/>
    <hyperlink ref="K31" r:id="rId43" xr:uid="{5E3035DB-037A-4A79-B7A5-15A63D381AE4}"/>
    <hyperlink ref="K35" r:id="rId44" xr:uid="{AB37D426-352B-41B9-A12C-6528B5C414D3}"/>
    <hyperlink ref="L35" r:id="rId45" xr:uid="{99AD7BF2-E360-48F1-AF93-6BEBCD9FD206}"/>
    <hyperlink ref="K36" r:id="rId46" xr:uid="{A2FBFCFC-278B-431E-A359-04CF43DE0926}"/>
    <hyperlink ref="K2" r:id="rId47" xr:uid="{09EA411F-5828-4D71-8A9E-55D034CD4887}"/>
    <hyperlink ref="K21" r:id="rId48" xr:uid="{F7A31C62-E02B-4786-A609-B9183C4142BE}"/>
    <hyperlink ref="K25" r:id="rId49" xr:uid="{4AD73CAE-5BDA-4D64-A016-773248C8C2AD}"/>
    <hyperlink ref="K32" r:id="rId50" xr:uid="{ED79B849-D126-41CE-97ED-93F60F6A46D0}"/>
    <hyperlink ref="K34" r:id="rId51" xr:uid="{6B3C9699-74D8-473C-8EB9-B21B7C26467D}"/>
    <hyperlink ref="K37" r:id="rId52" xr:uid="{226E8E7E-9255-448F-9561-AFD311CF4B2C}"/>
    <hyperlink ref="L37" r:id="rId53" xr:uid="{641FAF6B-FEA1-4D91-BE57-E8D9804285CC}"/>
    <hyperlink ref="K38" r:id="rId54" xr:uid="{0753190E-5CAE-4ECB-94D7-DE9DAAF7C869}"/>
    <hyperlink ref="L39" r:id="rId55" xr:uid="{2EFE77B0-652C-442F-A460-7EBA3D3EF442}"/>
    <hyperlink ref="K39" r:id="rId56" xr:uid="{7D1ADA39-E32F-4B0F-9340-B7C750B429AF}"/>
    <hyperlink ref="K41" r:id="rId57" xr:uid="{6E9A6D14-4C4F-42C3-845D-17470793DF0B}"/>
    <hyperlink ref="L41" r:id="rId58" xr:uid="{38CAC641-C75A-4F44-B064-0240CA2D3483}"/>
    <hyperlink ref="K43" r:id="rId59" xr:uid="{55B01B74-5C70-4CDA-953F-3C8537D2802D}"/>
    <hyperlink ref="K44" r:id="rId60" xr:uid="{081DAD01-FD63-431D-8940-6DB9E1FAF3BE}"/>
    <hyperlink ref="K45" r:id="rId61" xr:uid="{19595B53-01AD-475A-A0CA-8ADB75B147AC}"/>
    <hyperlink ref="K46" r:id="rId62" xr:uid="{B3D0E86B-CA9D-4CAA-9C79-00767A70DB6D}"/>
    <hyperlink ref="K47" r:id="rId63" xr:uid="{24479EB2-861E-4192-9F95-8757FDD7B05A}"/>
    <hyperlink ref="K48" r:id="rId64" xr:uid="{BE21E6BA-7980-4AC8-8BC6-56D999D05D06}"/>
    <hyperlink ref="K49" r:id="rId65" xr:uid="{40980BBA-B778-445D-A27E-92C00458828A}"/>
    <hyperlink ref="K50" r:id="rId66" xr:uid="{D815BEAC-632F-46A5-AACC-A83897A27CD8}"/>
    <hyperlink ref="L51" r:id="rId67" xr:uid="{F665D9D6-D81B-4204-B0FC-F7B10FB0254A}"/>
  </hyperlinks>
  <pageMargins left="0.7" right="0.7" top="0.75" bottom="0.75" header="0.3" footer="0.3"/>
  <headerFooter>
    <oddFooter>&amp;C_x000D_&amp;1#&amp;"Aptos"&amp;12&amp;K000000 SBI Card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FCA9-1D6C-4BA5-9FF6-FC90E457D641}">
  <sheetPr filterMode="1"/>
  <dimension ref="A1:T200"/>
  <sheetViews>
    <sheetView topLeftCell="J1" workbookViewId="0">
      <pane ySplit="1" topLeftCell="O42" activePane="bottomLeft" state="frozen"/>
      <selection pane="bottomLeft" activeCell="I162" sqref="H162:I162"/>
    </sheetView>
  </sheetViews>
  <sheetFormatPr defaultColWidth="9.140625" defaultRowHeight="15"/>
  <cols>
    <col min="1" max="1" width="13.85546875" style="8" customWidth="1"/>
    <col min="2" max="2" width="15.85546875" style="8" customWidth="1"/>
    <col min="3" max="3" width="12.5703125" style="8" customWidth="1"/>
    <col min="4" max="4" width="21.5703125" style="8" customWidth="1"/>
    <col min="5" max="5" width="25.85546875" style="40" customWidth="1"/>
    <col min="6" max="7" width="14.42578125" style="8" customWidth="1"/>
    <col min="8" max="8" width="18" style="8" customWidth="1"/>
    <col min="9" max="9" width="52.5703125" style="15" customWidth="1"/>
    <col min="10" max="10" width="73.7109375" style="15" customWidth="1"/>
    <col min="11" max="12" width="39.7109375" style="15" customWidth="1"/>
    <col min="13" max="14" width="16" style="40" customWidth="1"/>
    <col min="15" max="15" width="17.85546875" style="8" customWidth="1"/>
    <col min="16" max="16" width="46.5703125" style="54" customWidth="1"/>
    <col min="17" max="18" width="15.85546875" style="8" customWidth="1"/>
    <col min="19" max="19" width="50.28515625" style="5" customWidth="1"/>
    <col min="20" max="20" width="18.42578125" style="129" customWidth="1"/>
  </cols>
  <sheetData>
    <row r="1" spans="1:20" ht="24.75" customHeight="1">
      <c r="A1" s="1" t="s">
        <v>889</v>
      </c>
      <c r="B1" s="1" t="s">
        <v>890</v>
      </c>
      <c r="C1" s="1" t="s">
        <v>739</v>
      </c>
      <c r="D1" s="1" t="s">
        <v>891</v>
      </c>
      <c r="E1" s="1" t="s">
        <v>740</v>
      </c>
      <c r="F1" s="1" t="s">
        <v>460</v>
      </c>
      <c r="G1" s="1" t="s">
        <v>892</v>
      </c>
      <c r="H1" s="1" t="s">
        <v>893</v>
      </c>
      <c r="I1" s="1" t="s">
        <v>894</v>
      </c>
      <c r="J1" s="6" t="s">
        <v>895</v>
      </c>
      <c r="K1" s="6" t="s">
        <v>896</v>
      </c>
      <c r="L1" s="6" t="s">
        <v>897</v>
      </c>
      <c r="M1" s="6" t="s">
        <v>898</v>
      </c>
      <c r="N1" s="6" t="s">
        <v>744</v>
      </c>
      <c r="O1" s="1" t="s">
        <v>899</v>
      </c>
      <c r="P1" s="3" t="s">
        <v>900</v>
      </c>
      <c r="Q1" s="1" t="s">
        <v>901</v>
      </c>
      <c r="R1" s="1" t="s">
        <v>902</v>
      </c>
      <c r="S1" s="1" t="s">
        <v>276</v>
      </c>
      <c r="T1" s="165" t="s">
        <v>1520</v>
      </c>
    </row>
    <row r="2" spans="1:20" hidden="1">
      <c r="A2" s="7" t="s">
        <v>1791</v>
      </c>
      <c r="B2" s="7" t="s">
        <v>1126</v>
      </c>
      <c r="C2" s="7" t="s">
        <v>769</v>
      </c>
      <c r="D2" s="7" t="s">
        <v>906</v>
      </c>
      <c r="E2" s="32" t="s">
        <v>828</v>
      </c>
      <c r="F2" s="7" t="s">
        <v>39</v>
      </c>
      <c r="G2" s="7" t="s">
        <v>12</v>
      </c>
      <c r="H2" s="7" t="s">
        <v>1085</v>
      </c>
      <c r="I2" s="14" t="s">
        <v>1792</v>
      </c>
      <c r="J2" s="14" t="s">
        <v>1793</v>
      </c>
      <c r="K2" s="28" t="s">
        <v>1794</v>
      </c>
      <c r="L2" s="28" t="s">
        <v>1795</v>
      </c>
      <c r="M2" s="32" t="s">
        <v>912</v>
      </c>
      <c r="N2" s="32"/>
      <c r="O2" s="7"/>
      <c r="P2" s="14"/>
      <c r="Q2" s="7" t="s">
        <v>5</v>
      </c>
      <c r="R2" s="47" t="s">
        <v>1796</v>
      </c>
      <c r="S2" s="4" t="s">
        <v>1797</v>
      </c>
      <c r="T2" s="178"/>
    </row>
    <row r="3" spans="1:20" hidden="1">
      <c r="A3" s="7" t="s">
        <v>1798</v>
      </c>
      <c r="B3" s="7" t="s">
        <v>1126</v>
      </c>
      <c r="C3" s="7" t="s">
        <v>769</v>
      </c>
      <c r="D3" s="7" t="s">
        <v>906</v>
      </c>
      <c r="E3" s="32" t="s">
        <v>828</v>
      </c>
      <c r="F3" s="7" t="s">
        <v>39</v>
      </c>
      <c r="G3" s="7" t="s">
        <v>12</v>
      </c>
      <c r="H3" s="7" t="s">
        <v>1799</v>
      </c>
      <c r="I3" s="14" t="s">
        <v>1800</v>
      </c>
      <c r="J3" s="14" t="s">
        <v>1801</v>
      </c>
      <c r="K3" s="28" t="s">
        <v>1802</v>
      </c>
      <c r="L3" s="28" t="s">
        <v>1803</v>
      </c>
      <c r="M3" s="32" t="s">
        <v>912</v>
      </c>
      <c r="N3" s="32"/>
      <c r="O3" s="7"/>
      <c r="P3" s="14"/>
      <c r="Q3" s="7" t="s">
        <v>5</v>
      </c>
      <c r="R3" s="7" t="s">
        <v>1796</v>
      </c>
      <c r="S3" s="4" t="s">
        <v>1804</v>
      </c>
      <c r="T3" s="178"/>
    </row>
    <row r="4" spans="1:20" hidden="1">
      <c r="A4" s="7" t="s">
        <v>1805</v>
      </c>
      <c r="B4" s="7" t="s">
        <v>1126</v>
      </c>
      <c r="C4" s="7" t="s">
        <v>769</v>
      </c>
      <c r="D4" s="7" t="s">
        <v>906</v>
      </c>
      <c r="E4" s="32" t="s">
        <v>828</v>
      </c>
      <c r="F4" s="7" t="s">
        <v>39</v>
      </c>
      <c r="G4" s="7" t="s">
        <v>12</v>
      </c>
      <c r="H4" s="7" t="s">
        <v>907</v>
      </c>
      <c r="I4" s="14" t="s">
        <v>1806</v>
      </c>
      <c r="J4" s="14" t="s">
        <v>1807</v>
      </c>
      <c r="K4" s="28" t="s">
        <v>1808</v>
      </c>
      <c r="L4" s="14" t="s">
        <v>39</v>
      </c>
      <c r="M4" s="32" t="s">
        <v>912</v>
      </c>
      <c r="N4" s="32"/>
      <c r="O4" s="7"/>
      <c r="P4" s="14" t="s">
        <v>1809</v>
      </c>
      <c r="Q4" s="7" t="s">
        <v>3</v>
      </c>
      <c r="R4" s="47">
        <v>46175</v>
      </c>
      <c r="S4" s="4" t="s">
        <v>1810</v>
      </c>
      <c r="T4" s="178"/>
    </row>
    <row r="5" spans="1:20" hidden="1">
      <c r="A5" s="7" t="s">
        <v>1811</v>
      </c>
      <c r="B5" s="7" t="s">
        <v>1796</v>
      </c>
      <c r="C5" s="7" t="s">
        <v>754</v>
      </c>
      <c r="D5" s="7" t="s">
        <v>906</v>
      </c>
      <c r="E5" s="32" t="s">
        <v>828</v>
      </c>
      <c r="F5" s="7" t="s">
        <v>1252</v>
      </c>
      <c r="G5" s="7" t="s">
        <v>12</v>
      </c>
      <c r="H5" s="7" t="s">
        <v>1030</v>
      </c>
      <c r="I5" s="14" t="s">
        <v>1812</v>
      </c>
      <c r="J5" s="14" t="s">
        <v>1813</v>
      </c>
      <c r="K5" s="28" t="s">
        <v>1814</v>
      </c>
      <c r="L5" s="28" t="s">
        <v>39</v>
      </c>
      <c r="M5" s="32" t="s">
        <v>912</v>
      </c>
      <c r="N5" s="32"/>
      <c r="O5" s="7"/>
      <c r="P5" s="62"/>
      <c r="Q5" s="7" t="s">
        <v>5</v>
      </c>
      <c r="R5" s="47" t="s">
        <v>1033</v>
      </c>
      <c r="S5" s="4" t="s">
        <v>1667</v>
      </c>
      <c r="T5" s="178"/>
    </row>
    <row r="6" spans="1:20" hidden="1">
      <c r="A6" s="7" t="s">
        <v>1815</v>
      </c>
      <c r="B6" s="7" t="s">
        <v>1796</v>
      </c>
      <c r="C6" s="7" t="s">
        <v>746</v>
      </c>
      <c r="D6" s="7" t="s">
        <v>906</v>
      </c>
      <c r="E6" s="32" t="s">
        <v>828</v>
      </c>
      <c r="F6" s="7" t="s">
        <v>39</v>
      </c>
      <c r="G6" s="7" t="s">
        <v>12</v>
      </c>
      <c r="H6" s="7" t="s">
        <v>1182</v>
      </c>
      <c r="I6" s="14" t="s">
        <v>1816</v>
      </c>
      <c r="J6" s="14" t="s">
        <v>1817</v>
      </c>
      <c r="K6" s="28" t="s">
        <v>1818</v>
      </c>
      <c r="L6" s="28" t="s">
        <v>1819</v>
      </c>
      <c r="M6" s="32" t="s">
        <v>912</v>
      </c>
      <c r="N6" s="32"/>
      <c r="O6" s="7"/>
      <c r="P6" s="62" t="s">
        <v>1820</v>
      </c>
      <c r="Q6" s="7" t="s">
        <v>5</v>
      </c>
      <c r="R6" s="47" t="s">
        <v>1139</v>
      </c>
      <c r="S6" s="4" t="s">
        <v>1821</v>
      </c>
      <c r="T6" s="178"/>
    </row>
    <row r="7" spans="1:20" hidden="1">
      <c r="A7" s="7" t="s">
        <v>1822</v>
      </c>
      <c r="B7" s="7" t="s">
        <v>1796</v>
      </c>
      <c r="C7" s="7" t="s">
        <v>754</v>
      </c>
      <c r="D7" s="7" t="s">
        <v>906</v>
      </c>
      <c r="E7" s="32" t="s">
        <v>828</v>
      </c>
      <c r="F7" s="7" t="s">
        <v>39</v>
      </c>
      <c r="G7" s="7" t="s">
        <v>12</v>
      </c>
      <c r="H7" s="7" t="s">
        <v>907</v>
      </c>
      <c r="I7" s="14" t="s">
        <v>1823</v>
      </c>
      <c r="J7" s="14" t="s">
        <v>1824</v>
      </c>
      <c r="K7" s="28" t="s">
        <v>1825</v>
      </c>
      <c r="L7" s="28" t="s">
        <v>39</v>
      </c>
      <c r="M7" s="32" t="s">
        <v>912</v>
      </c>
      <c r="N7" s="32"/>
      <c r="O7" s="7"/>
      <c r="P7" s="14" t="s">
        <v>1138</v>
      </c>
      <c r="Q7" s="7" t="s">
        <v>3</v>
      </c>
      <c r="R7" s="7" t="s">
        <v>1139</v>
      </c>
      <c r="S7" s="4" t="s">
        <v>1826</v>
      </c>
      <c r="T7" s="178"/>
    </row>
    <row r="8" spans="1:20" hidden="1">
      <c r="A8" s="7" t="s">
        <v>1827</v>
      </c>
      <c r="B8" s="7" t="s">
        <v>1796</v>
      </c>
      <c r="C8" s="7" t="s">
        <v>769</v>
      </c>
      <c r="D8" s="7" t="s">
        <v>906</v>
      </c>
      <c r="E8" s="32" t="s">
        <v>828</v>
      </c>
      <c r="F8" s="7" t="s">
        <v>39</v>
      </c>
      <c r="G8" s="7" t="s">
        <v>12</v>
      </c>
      <c r="H8" s="7" t="s">
        <v>1030</v>
      </c>
      <c r="I8" s="14" t="s">
        <v>1828</v>
      </c>
      <c r="J8" s="14" t="s">
        <v>1829</v>
      </c>
      <c r="K8" s="28" t="s">
        <v>1830</v>
      </c>
      <c r="L8" s="28" t="s">
        <v>39</v>
      </c>
      <c r="M8" s="32" t="s">
        <v>912</v>
      </c>
      <c r="N8" s="32" t="s">
        <v>752</v>
      </c>
      <c r="O8" s="7" t="s">
        <v>1028</v>
      </c>
      <c r="P8" s="62" t="s">
        <v>1831</v>
      </c>
      <c r="Q8" s="7" t="s">
        <v>3</v>
      </c>
      <c r="R8" s="47">
        <v>46145</v>
      </c>
      <c r="S8" s="4" t="s">
        <v>1832</v>
      </c>
      <c r="T8" s="178"/>
    </row>
    <row r="9" spans="1:20" hidden="1">
      <c r="A9" s="7" t="s">
        <v>1833</v>
      </c>
      <c r="B9" s="7" t="s">
        <v>1796</v>
      </c>
      <c r="C9" s="7" t="s">
        <v>769</v>
      </c>
      <c r="D9" s="7" t="s">
        <v>906</v>
      </c>
      <c r="E9" s="32" t="s">
        <v>828</v>
      </c>
      <c r="F9" s="7" t="s">
        <v>39</v>
      </c>
      <c r="G9" s="7" t="s">
        <v>12</v>
      </c>
      <c r="H9" s="7" t="s">
        <v>1182</v>
      </c>
      <c r="I9" s="14" t="s">
        <v>1834</v>
      </c>
      <c r="J9" s="14" t="s">
        <v>1835</v>
      </c>
      <c r="K9" s="28" t="s">
        <v>1836</v>
      </c>
      <c r="L9" s="28" t="s">
        <v>1837</v>
      </c>
      <c r="M9" s="32" t="s">
        <v>912</v>
      </c>
      <c r="N9" s="32"/>
      <c r="O9" s="7"/>
      <c r="P9" s="62" t="s">
        <v>1838</v>
      </c>
      <c r="Q9" s="7" t="s">
        <v>3</v>
      </c>
      <c r="R9" s="47" t="s">
        <v>1139</v>
      </c>
      <c r="S9" s="4" t="s">
        <v>1839</v>
      </c>
      <c r="T9" s="178"/>
    </row>
    <row r="10" spans="1:20" hidden="1">
      <c r="A10" s="7" t="s">
        <v>1840</v>
      </c>
      <c r="B10" s="7" t="s">
        <v>1796</v>
      </c>
      <c r="C10" s="7" t="s">
        <v>746</v>
      </c>
      <c r="D10" s="7" t="s">
        <v>906</v>
      </c>
      <c r="E10" s="32" t="s">
        <v>828</v>
      </c>
      <c r="F10" s="7" t="s">
        <v>39</v>
      </c>
      <c r="G10" s="7" t="s">
        <v>12</v>
      </c>
      <c r="H10" s="7" t="s">
        <v>1799</v>
      </c>
      <c r="I10" s="14" t="s">
        <v>1841</v>
      </c>
      <c r="J10" s="14" t="s">
        <v>1842</v>
      </c>
      <c r="K10" s="28" t="s">
        <v>1843</v>
      </c>
      <c r="L10" s="28" t="s">
        <v>1844</v>
      </c>
      <c r="M10" s="32" t="s">
        <v>912</v>
      </c>
      <c r="N10" s="32"/>
      <c r="O10" s="7" t="s">
        <v>1028</v>
      </c>
      <c r="P10" s="62"/>
      <c r="Q10" s="7" t="s">
        <v>3</v>
      </c>
      <c r="R10" s="7" t="s">
        <v>1139</v>
      </c>
      <c r="S10" s="4"/>
      <c r="T10" s="178"/>
    </row>
    <row r="11" spans="1:20" hidden="1">
      <c r="A11" s="7" t="s">
        <v>1845</v>
      </c>
      <c r="B11" s="7" t="s">
        <v>1796</v>
      </c>
      <c r="C11" s="7" t="s">
        <v>746</v>
      </c>
      <c r="D11" s="7" t="s">
        <v>906</v>
      </c>
      <c r="E11" s="32" t="s">
        <v>828</v>
      </c>
      <c r="F11" s="7" t="s">
        <v>39</v>
      </c>
      <c r="G11" s="7" t="s">
        <v>12</v>
      </c>
      <c r="H11" s="7" t="s">
        <v>1171</v>
      </c>
      <c r="I11" s="14" t="s">
        <v>1846</v>
      </c>
      <c r="J11" s="14" t="s">
        <v>1847</v>
      </c>
      <c r="K11" s="28" t="s">
        <v>1848</v>
      </c>
      <c r="L11" s="28" t="s">
        <v>1849</v>
      </c>
      <c r="M11" s="32" t="s">
        <v>912</v>
      </c>
      <c r="N11" s="32" t="s">
        <v>1190</v>
      </c>
      <c r="O11" s="116" t="s">
        <v>1850</v>
      </c>
      <c r="P11" s="62" t="s">
        <v>1851</v>
      </c>
      <c r="Q11" s="7" t="s">
        <v>3</v>
      </c>
      <c r="R11" s="47">
        <v>46267</v>
      </c>
      <c r="S11" s="4" t="s">
        <v>1852</v>
      </c>
      <c r="T11" s="178"/>
    </row>
    <row r="12" spans="1:20" hidden="1">
      <c r="A12" s="7" t="s">
        <v>1853</v>
      </c>
      <c r="B12" s="7" t="s">
        <v>1796</v>
      </c>
      <c r="C12" s="7" t="s">
        <v>746</v>
      </c>
      <c r="D12" s="7" t="s">
        <v>906</v>
      </c>
      <c r="E12" s="32" t="s">
        <v>828</v>
      </c>
      <c r="F12" s="7" t="s">
        <v>39</v>
      </c>
      <c r="G12" s="7" t="s">
        <v>12</v>
      </c>
      <c r="H12" s="7" t="s">
        <v>1799</v>
      </c>
      <c r="I12" s="14" t="s">
        <v>1854</v>
      </c>
      <c r="J12" s="14" t="s">
        <v>1842</v>
      </c>
      <c r="K12" s="28" t="s">
        <v>1855</v>
      </c>
      <c r="L12" s="28" t="s">
        <v>1856</v>
      </c>
      <c r="M12" s="32" t="s">
        <v>912</v>
      </c>
      <c r="N12" s="32"/>
      <c r="O12" s="7" t="s">
        <v>1028</v>
      </c>
      <c r="P12" s="14"/>
      <c r="Q12" s="7" t="s">
        <v>3</v>
      </c>
      <c r="R12" s="7" t="s">
        <v>1139</v>
      </c>
      <c r="S12" s="4"/>
      <c r="T12" s="178"/>
    </row>
    <row r="13" spans="1:20" hidden="1">
      <c r="A13" s="7" t="s">
        <v>1857</v>
      </c>
      <c r="B13" s="7" t="s">
        <v>1796</v>
      </c>
      <c r="C13" s="7" t="s">
        <v>746</v>
      </c>
      <c r="D13" s="7" t="s">
        <v>906</v>
      </c>
      <c r="E13" s="32" t="s">
        <v>755</v>
      </c>
      <c r="F13" s="7" t="s">
        <v>39</v>
      </c>
      <c r="G13" s="7" t="s">
        <v>12</v>
      </c>
      <c r="H13" s="7" t="s">
        <v>1030</v>
      </c>
      <c r="I13" s="14" t="s">
        <v>1858</v>
      </c>
      <c r="J13" s="14" t="s">
        <v>1859</v>
      </c>
      <c r="K13" s="28" t="s">
        <v>1860</v>
      </c>
      <c r="L13" s="28" t="s">
        <v>39</v>
      </c>
      <c r="M13" s="32" t="s">
        <v>912</v>
      </c>
      <c r="N13" s="32"/>
      <c r="O13" s="7"/>
      <c r="P13" s="62"/>
      <c r="Q13" s="7" t="s">
        <v>5</v>
      </c>
      <c r="R13" s="47" t="s">
        <v>1033</v>
      </c>
      <c r="S13" s="4" t="s">
        <v>1667</v>
      </c>
      <c r="T13" s="178"/>
    </row>
    <row r="14" spans="1:20" hidden="1">
      <c r="A14" s="7" t="s">
        <v>1861</v>
      </c>
      <c r="B14" s="7" t="s">
        <v>1796</v>
      </c>
      <c r="C14" s="7" t="s">
        <v>746</v>
      </c>
      <c r="D14" s="7" t="s">
        <v>906</v>
      </c>
      <c r="E14" s="32" t="s">
        <v>755</v>
      </c>
      <c r="F14" s="7" t="s">
        <v>39</v>
      </c>
      <c r="G14" s="7" t="s">
        <v>12</v>
      </c>
      <c r="H14" s="7" t="s">
        <v>1030</v>
      </c>
      <c r="I14" s="14" t="s">
        <v>1862</v>
      </c>
      <c r="J14" s="14" t="s">
        <v>1863</v>
      </c>
      <c r="K14" s="28" t="s">
        <v>1860</v>
      </c>
      <c r="L14" s="14" t="s">
        <v>39</v>
      </c>
      <c r="M14" s="32" t="s">
        <v>912</v>
      </c>
      <c r="N14" s="32"/>
      <c r="O14" s="7"/>
      <c r="P14" s="62"/>
      <c r="Q14" s="7" t="s">
        <v>5</v>
      </c>
      <c r="R14" s="47" t="s">
        <v>1033</v>
      </c>
      <c r="S14" s="4" t="s">
        <v>1667</v>
      </c>
      <c r="T14" s="178"/>
    </row>
    <row r="15" spans="1:20" hidden="1">
      <c r="A15" s="7" t="s">
        <v>1864</v>
      </c>
      <c r="B15" s="7" t="s">
        <v>1796</v>
      </c>
      <c r="C15" s="7" t="s">
        <v>754</v>
      </c>
      <c r="D15" s="7" t="s">
        <v>906</v>
      </c>
      <c r="E15" s="32" t="s">
        <v>755</v>
      </c>
      <c r="F15" s="7" t="s">
        <v>39</v>
      </c>
      <c r="G15" s="7" t="s">
        <v>12</v>
      </c>
      <c r="H15" s="7" t="s">
        <v>1030</v>
      </c>
      <c r="I15" s="14" t="s">
        <v>1865</v>
      </c>
      <c r="J15" s="14" t="s">
        <v>1866</v>
      </c>
      <c r="K15" s="28" t="s">
        <v>1867</v>
      </c>
      <c r="L15" s="28" t="s">
        <v>39</v>
      </c>
      <c r="M15" s="32" t="s">
        <v>912</v>
      </c>
      <c r="N15" s="32"/>
      <c r="O15" s="7"/>
      <c r="P15" s="62"/>
      <c r="Q15" s="7" t="s">
        <v>5</v>
      </c>
      <c r="R15" s="47" t="s">
        <v>1033</v>
      </c>
      <c r="S15" s="4" t="s">
        <v>1667</v>
      </c>
      <c r="T15" s="178"/>
    </row>
    <row r="16" spans="1:20" hidden="1">
      <c r="A16" s="7" t="s">
        <v>1868</v>
      </c>
      <c r="B16" s="7" t="s">
        <v>1796</v>
      </c>
      <c r="C16" s="7" t="s">
        <v>754</v>
      </c>
      <c r="D16" s="7" t="s">
        <v>906</v>
      </c>
      <c r="E16" s="32" t="s">
        <v>755</v>
      </c>
      <c r="F16" s="7" t="s">
        <v>39</v>
      </c>
      <c r="G16" s="7" t="s">
        <v>12</v>
      </c>
      <c r="H16" s="7" t="s">
        <v>1030</v>
      </c>
      <c r="I16" s="14" t="s">
        <v>1869</v>
      </c>
      <c r="J16" s="49" t="s">
        <v>1870</v>
      </c>
      <c r="K16" s="28" t="s">
        <v>1871</v>
      </c>
      <c r="L16" s="28" t="s">
        <v>39</v>
      </c>
      <c r="M16" s="32" t="s">
        <v>912</v>
      </c>
      <c r="N16" s="32"/>
      <c r="O16" s="7"/>
      <c r="P16" s="14"/>
      <c r="Q16" s="7" t="s">
        <v>5</v>
      </c>
      <c r="R16" s="47" t="s">
        <v>1033</v>
      </c>
      <c r="S16" s="4" t="s">
        <v>1667</v>
      </c>
      <c r="T16" s="178"/>
    </row>
    <row r="17" spans="1:20" hidden="1">
      <c r="A17" s="7" t="s">
        <v>1872</v>
      </c>
      <c r="B17" s="47" t="s">
        <v>1154</v>
      </c>
      <c r="C17" s="7" t="s">
        <v>769</v>
      </c>
      <c r="D17" s="7" t="s">
        <v>906</v>
      </c>
      <c r="E17" s="32" t="s">
        <v>1756</v>
      </c>
      <c r="F17" s="7" t="s">
        <v>39</v>
      </c>
      <c r="G17" s="7" t="s">
        <v>16</v>
      </c>
      <c r="H17" s="7" t="s">
        <v>1004</v>
      </c>
      <c r="I17" s="14" t="s">
        <v>1873</v>
      </c>
      <c r="J17" s="14" t="s">
        <v>1874</v>
      </c>
      <c r="K17" s="28" t="s">
        <v>1875</v>
      </c>
      <c r="L17" s="28" t="s">
        <v>1876</v>
      </c>
      <c r="M17" s="32" t="s">
        <v>912</v>
      </c>
      <c r="N17" s="32" t="s">
        <v>1877</v>
      </c>
      <c r="O17" s="7" t="s">
        <v>1028</v>
      </c>
      <c r="P17" s="14" t="s">
        <v>1878</v>
      </c>
      <c r="Q17" s="7" t="s">
        <v>3</v>
      </c>
      <c r="R17" s="47" t="s">
        <v>1879</v>
      </c>
      <c r="S17" s="4" t="s">
        <v>1880</v>
      </c>
      <c r="T17" s="160" t="s">
        <v>868</v>
      </c>
    </row>
    <row r="18" spans="1:20" hidden="1">
      <c r="A18" s="7" t="s">
        <v>1881</v>
      </c>
      <c r="B18" s="47" t="s">
        <v>1154</v>
      </c>
      <c r="C18" s="7" t="s">
        <v>769</v>
      </c>
      <c r="D18" s="7" t="s">
        <v>906</v>
      </c>
      <c r="E18" s="32" t="s">
        <v>767</v>
      </c>
      <c r="F18" s="7" t="s">
        <v>39</v>
      </c>
      <c r="G18" s="7" t="s">
        <v>16</v>
      </c>
      <c r="H18" s="7" t="s">
        <v>804</v>
      </c>
      <c r="I18" s="14" t="s">
        <v>1882</v>
      </c>
      <c r="J18" s="14" t="s">
        <v>1883</v>
      </c>
      <c r="K18" s="28" t="s">
        <v>1884</v>
      </c>
      <c r="L18" s="28" t="s">
        <v>39</v>
      </c>
      <c r="M18" s="32" t="s">
        <v>912</v>
      </c>
      <c r="N18" s="32" t="s">
        <v>1877</v>
      </c>
      <c r="O18" s="7" t="s">
        <v>1028</v>
      </c>
      <c r="P18" s="14" t="s">
        <v>1878</v>
      </c>
      <c r="Q18" s="7" t="s">
        <v>3</v>
      </c>
      <c r="R18" s="47" t="s">
        <v>1879</v>
      </c>
      <c r="S18" s="4" t="s">
        <v>1885</v>
      </c>
      <c r="T18" s="160" t="s">
        <v>868</v>
      </c>
    </row>
    <row r="19" spans="1:20" hidden="1">
      <c r="A19" s="7" t="s">
        <v>1886</v>
      </c>
      <c r="B19" s="47" t="s">
        <v>1154</v>
      </c>
      <c r="C19" s="7" t="s">
        <v>769</v>
      </c>
      <c r="D19" s="7" t="s">
        <v>906</v>
      </c>
      <c r="E19" s="32" t="s">
        <v>828</v>
      </c>
      <c r="F19" s="7" t="s">
        <v>39</v>
      </c>
      <c r="G19" s="7" t="s">
        <v>12</v>
      </c>
      <c r="H19" s="7" t="s">
        <v>1142</v>
      </c>
      <c r="I19" s="14" t="s">
        <v>1887</v>
      </c>
      <c r="J19" s="14" t="s">
        <v>1888</v>
      </c>
      <c r="K19" s="28" t="s">
        <v>1889</v>
      </c>
      <c r="L19" s="28" t="s">
        <v>1890</v>
      </c>
      <c r="M19" s="32" t="s">
        <v>912</v>
      </c>
      <c r="N19" s="32" t="s">
        <v>1877</v>
      </c>
      <c r="O19" s="7" t="s">
        <v>1850</v>
      </c>
      <c r="P19" s="14" t="s">
        <v>1891</v>
      </c>
      <c r="Q19" s="7" t="s">
        <v>3</v>
      </c>
      <c r="R19" s="47">
        <v>46175</v>
      </c>
      <c r="S19" s="4" t="s">
        <v>1892</v>
      </c>
      <c r="T19" s="178"/>
    </row>
    <row r="20" spans="1:20" hidden="1">
      <c r="A20" s="7" t="s">
        <v>1893</v>
      </c>
      <c r="B20" s="47" t="s">
        <v>1154</v>
      </c>
      <c r="C20" s="7" t="s">
        <v>769</v>
      </c>
      <c r="D20" s="7" t="s">
        <v>906</v>
      </c>
      <c r="E20" s="32" t="s">
        <v>1057</v>
      </c>
      <c r="F20" s="7" t="s">
        <v>39</v>
      </c>
      <c r="G20" s="7" t="s">
        <v>16</v>
      </c>
      <c r="H20" s="7" t="s">
        <v>1004</v>
      </c>
      <c r="I20" s="14" t="s">
        <v>1894</v>
      </c>
      <c r="J20" s="14" t="s">
        <v>1895</v>
      </c>
      <c r="K20" s="28" t="s">
        <v>1896</v>
      </c>
      <c r="L20" s="28" t="s">
        <v>39</v>
      </c>
      <c r="M20" s="32" t="s">
        <v>749</v>
      </c>
      <c r="N20" s="32" t="s">
        <v>1877</v>
      </c>
      <c r="O20" s="7" t="s">
        <v>1028</v>
      </c>
      <c r="P20" s="14"/>
      <c r="Q20" s="7" t="s">
        <v>3</v>
      </c>
      <c r="R20" s="47" t="s">
        <v>1879</v>
      </c>
      <c r="S20" s="4" t="s">
        <v>1897</v>
      </c>
      <c r="T20" s="160" t="s">
        <v>1028</v>
      </c>
    </row>
    <row r="21" spans="1:20" hidden="1">
      <c r="A21" s="7" t="s">
        <v>1898</v>
      </c>
      <c r="B21" s="47" t="s">
        <v>1154</v>
      </c>
      <c r="C21" s="7" t="s">
        <v>754</v>
      </c>
      <c r="D21" s="7" t="s">
        <v>906</v>
      </c>
      <c r="E21" s="32" t="s">
        <v>828</v>
      </c>
      <c r="F21" s="7" t="s">
        <v>39</v>
      </c>
      <c r="G21" s="7" t="s">
        <v>16</v>
      </c>
      <c r="H21" s="7" t="s">
        <v>1109</v>
      </c>
      <c r="I21" s="14" t="s">
        <v>1899</v>
      </c>
      <c r="J21" s="14" t="s">
        <v>1900</v>
      </c>
      <c r="K21" s="28" t="s">
        <v>1901</v>
      </c>
      <c r="L21" s="28" t="s">
        <v>1902</v>
      </c>
      <c r="M21" s="32" t="s">
        <v>912</v>
      </c>
      <c r="N21" s="32" t="s">
        <v>1877</v>
      </c>
      <c r="O21" s="7" t="s">
        <v>1028</v>
      </c>
      <c r="P21" s="14"/>
      <c r="Q21" s="7" t="s">
        <v>3</v>
      </c>
      <c r="R21" s="47" t="s">
        <v>1879</v>
      </c>
      <c r="S21" s="4" t="s">
        <v>1903</v>
      </c>
      <c r="T21" s="160" t="s">
        <v>868</v>
      </c>
    </row>
    <row r="22" spans="1:20" hidden="1">
      <c r="A22" s="7" t="s">
        <v>1904</v>
      </c>
      <c r="B22" s="47" t="s">
        <v>1154</v>
      </c>
      <c r="C22" s="7" t="s">
        <v>754</v>
      </c>
      <c r="D22" s="7" t="s">
        <v>906</v>
      </c>
      <c r="E22" s="32" t="s">
        <v>828</v>
      </c>
      <c r="F22" s="7" t="s">
        <v>466</v>
      </c>
      <c r="G22" s="7" t="s">
        <v>16</v>
      </c>
      <c r="H22" s="7" t="s">
        <v>1004</v>
      </c>
      <c r="I22" s="14" t="s">
        <v>1905</v>
      </c>
      <c r="J22" s="14" t="s">
        <v>1906</v>
      </c>
      <c r="K22" s="28" t="s">
        <v>1907</v>
      </c>
      <c r="L22" s="14" t="s">
        <v>39</v>
      </c>
      <c r="M22" s="32" t="s">
        <v>912</v>
      </c>
      <c r="N22" s="32" t="s">
        <v>1877</v>
      </c>
      <c r="O22" s="7" t="s">
        <v>1028</v>
      </c>
      <c r="P22" s="14" t="s">
        <v>13</v>
      </c>
      <c r="Q22" s="7" t="s">
        <v>3</v>
      </c>
      <c r="R22" s="47" t="s">
        <v>1879</v>
      </c>
      <c r="S22" s="4" t="s">
        <v>1908</v>
      </c>
      <c r="T22" s="160" t="s">
        <v>1028</v>
      </c>
    </row>
    <row r="23" spans="1:20" hidden="1">
      <c r="A23" s="7" t="s">
        <v>1909</v>
      </c>
      <c r="B23" s="47" t="s">
        <v>1154</v>
      </c>
      <c r="C23" s="7" t="s">
        <v>754</v>
      </c>
      <c r="D23" s="7" t="s">
        <v>906</v>
      </c>
      <c r="E23" s="32" t="s">
        <v>828</v>
      </c>
      <c r="F23" s="7" t="s">
        <v>39</v>
      </c>
      <c r="G23" s="7" t="s">
        <v>16</v>
      </c>
      <c r="H23" s="7" t="s">
        <v>1109</v>
      </c>
      <c r="I23" s="14" t="s">
        <v>1910</v>
      </c>
      <c r="J23" s="14" t="s">
        <v>1911</v>
      </c>
      <c r="K23" s="28" t="s">
        <v>1912</v>
      </c>
      <c r="L23" s="14" t="s">
        <v>39</v>
      </c>
      <c r="M23" s="32" t="s">
        <v>912</v>
      </c>
      <c r="N23" s="32" t="s">
        <v>1877</v>
      </c>
      <c r="O23" s="7" t="s">
        <v>1028</v>
      </c>
      <c r="P23" s="14" t="s">
        <v>13</v>
      </c>
      <c r="Q23" s="7" t="s">
        <v>3</v>
      </c>
      <c r="R23" s="47" t="s">
        <v>1879</v>
      </c>
      <c r="S23" s="4" t="s">
        <v>1913</v>
      </c>
      <c r="T23" s="160" t="s">
        <v>1028</v>
      </c>
    </row>
    <row r="24" spans="1:20">
      <c r="A24" s="7" t="s">
        <v>1914</v>
      </c>
      <c r="B24" s="47" t="s">
        <v>1154</v>
      </c>
      <c r="C24" s="7" t="s">
        <v>754</v>
      </c>
      <c r="D24" s="7" t="s">
        <v>906</v>
      </c>
      <c r="E24" s="32" t="s">
        <v>755</v>
      </c>
      <c r="F24" s="7" t="s">
        <v>39</v>
      </c>
      <c r="G24" s="7" t="s">
        <v>16</v>
      </c>
      <c r="H24" s="7" t="s">
        <v>1915</v>
      </c>
      <c r="I24" s="14" t="s">
        <v>1916</v>
      </c>
      <c r="J24" s="14" t="s">
        <v>1917</v>
      </c>
      <c r="K24" s="28" t="s">
        <v>1918</v>
      </c>
      <c r="L24" s="28" t="s">
        <v>1919</v>
      </c>
      <c r="M24" s="32" t="s">
        <v>749</v>
      </c>
      <c r="N24" s="32" t="s">
        <v>1877</v>
      </c>
      <c r="O24" s="7" t="s">
        <v>1028</v>
      </c>
      <c r="P24" s="14" t="s">
        <v>1920</v>
      </c>
      <c r="Q24" s="7" t="s">
        <v>4</v>
      </c>
      <c r="R24" s="47" t="s">
        <v>1921</v>
      </c>
      <c r="S24" s="4" t="s">
        <v>1922</v>
      </c>
      <c r="T24" s="160" t="s">
        <v>868</v>
      </c>
    </row>
    <row r="25" spans="1:20" hidden="1">
      <c r="A25" s="7" t="s">
        <v>1923</v>
      </c>
      <c r="B25" s="47" t="s">
        <v>1154</v>
      </c>
      <c r="C25" s="7" t="s">
        <v>754</v>
      </c>
      <c r="D25" s="7" t="s">
        <v>906</v>
      </c>
      <c r="E25" s="32" t="s">
        <v>828</v>
      </c>
      <c r="F25" s="7"/>
      <c r="G25" s="7" t="s">
        <v>12</v>
      </c>
      <c r="H25" s="7" t="s">
        <v>907</v>
      </c>
      <c r="I25" s="14" t="s">
        <v>1924</v>
      </c>
      <c r="J25" s="14" t="s">
        <v>1925</v>
      </c>
      <c r="K25" s="28" t="s">
        <v>1926</v>
      </c>
      <c r="L25" s="14" t="s">
        <v>39</v>
      </c>
      <c r="M25" s="32" t="s">
        <v>912</v>
      </c>
      <c r="N25" s="32"/>
      <c r="O25" s="7"/>
      <c r="P25" s="14" t="s">
        <v>1138</v>
      </c>
      <c r="Q25" s="7" t="s">
        <v>3</v>
      </c>
      <c r="R25" s="7" t="s">
        <v>1139</v>
      </c>
      <c r="S25" s="4" t="s">
        <v>1826</v>
      </c>
      <c r="T25" s="178"/>
    </row>
    <row r="26" spans="1:20" hidden="1">
      <c r="A26" s="7" t="s">
        <v>1927</v>
      </c>
      <c r="B26" s="47" t="s">
        <v>1154</v>
      </c>
      <c r="C26" s="7" t="s">
        <v>746</v>
      </c>
      <c r="D26" s="7" t="s">
        <v>906</v>
      </c>
      <c r="E26" s="32" t="s">
        <v>828</v>
      </c>
      <c r="F26" s="7" t="s">
        <v>39</v>
      </c>
      <c r="G26" s="7" t="s">
        <v>16</v>
      </c>
      <c r="H26" s="7" t="s">
        <v>1182</v>
      </c>
      <c r="I26" s="14" t="s">
        <v>1928</v>
      </c>
      <c r="J26" s="14" t="s">
        <v>1929</v>
      </c>
      <c r="K26" s="28" t="s">
        <v>1930</v>
      </c>
      <c r="L26" s="14" t="s">
        <v>39</v>
      </c>
      <c r="M26" s="32" t="s">
        <v>912</v>
      </c>
      <c r="N26" s="32" t="s">
        <v>1877</v>
      </c>
      <c r="O26" s="7" t="s">
        <v>1028</v>
      </c>
      <c r="P26" s="14" t="s">
        <v>13</v>
      </c>
      <c r="Q26" s="7" t="s">
        <v>3</v>
      </c>
      <c r="R26" s="47" t="s">
        <v>1564</v>
      </c>
      <c r="S26" s="4" t="s">
        <v>1931</v>
      </c>
      <c r="T26" s="160" t="s">
        <v>1028</v>
      </c>
    </row>
    <row r="27" spans="1:20" hidden="1">
      <c r="A27" s="7" t="s">
        <v>1932</v>
      </c>
      <c r="B27" s="47" t="s">
        <v>1154</v>
      </c>
      <c r="C27" s="7" t="s">
        <v>754</v>
      </c>
      <c r="D27" s="7" t="s">
        <v>906</v>
      </c>
      <c r="E27" s="32" t="s">
        <v>1933</v>
      </c>
      <c r="F27" s="7" t="s">
        <v>39</v>
      </c>
      <c r="G27" s="7" t="s">
        <v>16</v>
      </c>
      <c r="H27" s="7" t="s">
        <v>1004</v>
      </c>
      <c r="I27" s="14" t="s">
        <v>1934</v>
      </c>
      <c r="J27" s="14" t="s">
        <v>1935</v>
      </c>
      <c r="K27" s="28" t="s">
        <v>1936</v>
      </c>
      <c r="L27" s="14" t="s">
        <v>39</v>
      </c>
      <c r="M27" s="32" t="s">
        <v>912</v>
      </c>
      <c r="N27" s="32" t="s">
        <v>1877</v>
      </c>
      <c r="O27" s="7" t="s">
        <v>1028</v>
      </c>
      <c r="P27" s="14" t="s">
        <v>1937</v>
      </c>
      <c r="Q27" s="7" t="s">
        <v>3</v>
      </c>
      <c r="R27" s="47" t="s">
        <v>1879</v>
      </c>
      <c r="S27" s="4" t="s">
        <v>1938</v>
      </c>
      <c r="T27" s="160" t="s">
        <v>1028</v>
      </c>
    </row>
    <row r="28" spans="1:20" hidden="1">
      <c r="A28" s="7" t="s">
        <v>1939</v>
      </c>
      <c r="B28" s="47" t="s">
        <v>1154</v>
      </c>
      <c r="C28" s="7" t="s">
        <v>746</v>
      </c>
      <c r="D28" s="7" t="s">
        <v>906</v>
      </c>
      <c r="E28" s="32" t="s">
        <v>1756</v>
      </c>
      <c r="F28" s="7" t="s">
        <v>39</v>
      </c>
      <c r="G28" s="7" t="s">
        <v>12</v>
      </c>
      <c r="H28" s="7" t="s">
        <v>1050</v>
      </c>
      <c r="I28" s="14" t="s">
        <v>1940</v>
      </c>
      <c r="J28" s="14" t="s">
        <v>1941</v>
      </c>
      <c r="K28" s="28" t="s">
        <v>1942</v>
      </c>
      <c r="L28" s="14" t="s">
        <v>39</v>
      </c>
      <c r="M28" s="32" t="s">
        <v>912</v>
      </c>
      <c r="N28" s="32" t="s">
        <v>752</v>
      </c>
      <c r="O28" s="7" t="s">
        <v>1028</v>
      </c>
      <c r="P28" s="14" t="s">
        <v>1878</v>
      </c>
      <c r="Q28" s="7" t="s">
        <v>1264</v>
      </c>
      <c r="R28" s="47" t="s">
        <v>1278</v>
      </c>
      <c r="S28" s="4" t="s">
        <v>1943</v>
      </c>
      <c r="T28" s="160" t="s">
        <v>868</v>
      </c>
    </row>
    <row r="29" spans="1:20" hidden="1">
      <c r="A29" s="7" t="s">
        <v>1944</v>
      </c>
      <c r="B29" s="47" t="s">
        <v>1154</v>
      </c>
      <c r="C29" s="7" t="s">
        <v>746</v>
      </c>
      <c r="D29" s="7" t="s">
        <v>906</v>
      </c>
      <c r="E29" s="32" t="s">
        <v>1756</v>
      </c>
      <c r="F29" s="7" t="s">
        <v>39</v>
      </c>
      <c r="G29" s="7" t="s">
        <v>6</v>
      </c>
      <c r="H29" s="7" t="s">
        <v>1050</v>
      </c>
      <c r="I29" s="14" t="s">
        <v>1940</v>
      </c>
      <c r="J29" s="14" t="s">
        <v>1945</v>
      </c>
      <c r="K29" s="56" t="s">
        <v>1946</v>
      </c>
      <c r="L29" s="14" t="s">
        <v>39</v>
      </c>
      <c r="M29" s="32" t="s">
        <v>912</v>
      </c>
      <c r="N29" s="32" t="s">
        <v>752</v>
      </c>
      <c r="O29" s="7" t="s">
        <v>1028</v>
      </c>
      <c r="P29" s="14" t="s">
        <v>1947</v>
      </c>
      <c r="Q29" s="7" t="s">
        <v>1264</v>
      </c>
      <c r="R29" s="47" t="s">
        <v>1278</v>
      </c>
      <c r="S29" s="4" t="s">
        <v>1948</v>
      </c>
      <c r="T29" s="160" t="s">
        <v>868</v>
      </c>
    </row>
    <row r="30" spans="1:20" hidden="1">
      <c r="A30" s="7" t="s">
        <v>1949</v>
      </c>
      <c r="B30" s="47" t="s">
        <v>1154</v>
      </c>
      <c r="C30" s="7" t="s">
        <v>769</v>
      </c>
      <c r="D30" s="7" t="s">
        <v>906</v>
      </c>
      <c r="E30" s="32" t="s">
        <v>1756</v>
      </c>
      <c r="F30" s="7" t="s">
        <v>39</v>
      </c>
      <c r="G30" s="7" t="s">
        <v>16</v>
      </c>
      <c r="H30" s="7" t="s">
        <v>804</v>
      </c>
      <c r="I30" s="14" t="s">
        <v>1950</v>
      </c>
      <c r="J30" s="14" t="s">
        <v>1951</v>
      </c>
      <c r="K30" s="28" t="s">
        <v>1952</v>
      </c>
      <c r="L30" s="14" t="s">
        <v>39</v>
      </c>
      <c r="M30" s="32" t="s">
        <v>912</v>
      </c>
      <c r="N30" s="32" t="s">
        <v>1877</v>
      </c>
      <c r="O30" s="148" t="s">
        <v>1028</v>
      </c>
      <c r="P30" s="14" t="s">
        <v>1953</v>
      </c>
      <c r="Q30" s="7" t="s">
        <v>3</v>
      </c>
      <c r="R30" s="47" t="s">
        <v>1954</v>
      </c>
      <c r="S30" s="4" t="s">
        <v>1955</v>
      </c>
      <c r="T30" s="160" t="s">
        <v>868</v>
      </c>
    </row>
    <row r="31" spans="1:20" hidden="1">
      <c r="A31" s="7" t="s">
        <v>1956</v>
      </c>
      <c r="B31" s="47" t="s">
        <v>1154</v>
      </c>
      <c r="C31" s="7" t="s">
        <v>746</v>
      </c>
      <c r="D31" s="7" t="s">
        <v>906</v>
      </c>
      <c r="E31" s="32" t="s">
        <v>828</v>
      </c>
      <c r="F31" s="7" t="s">
        <v>39</v>
      </c>
      <c r="G31" s="7" t="s">
        <v>16</v>
      </c>
      <c r="H31" s="7" t="s">
        <v>1171</v>
      </c>
      <c r="I31" s="14" t="s">
        <v>1957</v>
      </c>
      <c r="J31" s="14" t="s">
        <v>1958</v>
      </c>
      <c r="K31" s="56" t="s">
        <v>1959</v>
      </c>
      <c r="L31" s="56" t="s">
        <v>1960</v>
      </c>
      <c r="M31" s="32" t="s">
        <v>912</v>
      </c>
      <c r="N31" s="32" t="s">
        <v>1877</v>
      </c>
      <c r="O31" s="7" t="s">
        <v>1028</v>
      </c>
      <c r="P31" s="14" t="s">
        <v>13</v>
      </c>
      <c r="Q31" s="7" t="s">
        <v>3</v>
      </c>
      <c r="R31" s="47" t="s">
        <v>1954</v>
      </c>
      <c r="S31" s="4" t="s">
        <v>1961</v>
      </c>
      <c r="T31" s="160" t="s">
        <v>1028</v>
      </c>
    </row>
    <row r="32" spans="1:20" hidden="1">
      <c r="A32" s="7" t="s">
        <v>1962</v>
      </c>
      <c r="B32" s="47" t="s">
        <v>1154</v>
      </c>
      <c r="C32" s="7" t="s">
        <v>754</v>
      </c>
      <c r="D32" s="7" t="s">
        <v>906</v>
      </c>
      <c r="E32" s="32" t="s">
        <v>1756</v>
      </c>
      <c r="F32" s="7" t="s">
        <v>39</v>
      </c>
      <c r="G32" s="7" t="s">
        <v>12</v>
      </c>
      <c r="H32" s="7" t="s">
        <v>1204</v>
      </c>
      <c r="I32" s="14" t="s">
        <v>1963</v>
      </c>
      <c r="J32" s="14" t="s">
        <v>1964</v>
      </c>
      <c r="K32" s="56" t="s">
        <v>1965</v>
      </c>
      <c r="L32" s="14" t="s">
        <v>39</v>
      </c>
      <c r="M32" s="32" t="s">
        <v>912</v>
      </c>
      <c r="N32" s="32" t="s">
        <v>1877</v>
      </c>
      <c r="O32" s="7" t="s">
        <v>1850</v>
      </c>
      <c r="P32" s="14" t="s">
        <v>1231</v>
      </c>
      <c r="Q32" s="7" t="s">
        <v>5</v>
      </c>
      <c r="R32" s="7" t="s">
        <v>1026</v>
      </c>
      <c r="S32" s="4" t="s">
        <v>1966</v>
      </c>
      <c r="T32" s="178"/>
    </row>
    <row r="33" spans="1:20">
      <c r="A33" s="7" t="s">
        <v>1967</v>
      </c>
      <c r="B33" s="47" t="s">
        <v>1154</v>
      </c>
      <c r="C33" s="7" t="s">
        <v>754</v>
      </c>
      <c r="D33" s="7" t="s">
        <v>906</v>
      </c>
      <c r="E33" s="32" t="s">
        <v>767</v>
      </c>
      <c r="F33" s="7" t="s">
        <v>39</v>
      </c>
      <c r="G33" s="7" t="s">
        <v>16</v>
      </c>
      <c r="H33" s="7" t="s">
        <v>804</v>
      </c>
      <c r="I33" s="14" t="s">
        <v>1968</v>
      </c>
      <c r="J33" s="14" t="s">
        <v>1969</v>
      </c>
      <c r="K33" s="28" t="s">
        <v>1970</v>
      </c>
      <c r="L33" s="14" t="s">
        <v>39</v>
      </c>
      <c r="M33" s="32" t="s">
        <v>912</v>
      </c>
      <c r="N33" s="32" t="s">
        <v>1877</v>
      </c>
      <c r="O33" s="7" t="s">
        <v>1028</v>
      </c>
      <c r="P33" s="14" t="s">
        <v>1971</v>
      </c>
      <c r="Q33" s="7" t="s">
        <v>4</v>
      </c>
      <c r="R33" s="47" t="s">
        <v>1278</v>
      </c>
      <c r="S33" s="4" t="s">
        <v>1972</v>
      </c>
      <c r="T33" s="160" t="s">
        <v>868</v>
      </c>
    </row>
    <row r="34" spans="1:20" hidden="1">
      <c r="A34" s="7" t="s">
        <v>1973</v>
      </c>
      <c r="B34" s="47" t="s">
        <v>1154</v>
      </c>
      <c r="C34" s="7" t="s">
        <v>769</v>
      </c>
      <c r="D34" s="7" t="s">
        <v>906</v>
      </c>
      <c r="E34" s="32" t="s">
        <v>828</v>
      </c>
      <c r="F34" s="7" t="s">
        <v>39</v>
      </c>
      <c r="G34" s="7" t="s">
        <v>16</v>
      </c>
      <c r="H34" s="7" t="s">
        <v>1050</v>
      </c>
      <c r="I34" s="14" t="s">
        <v>1974</v>
      </c>
      <c r="J34" s="14" t="s">
        <v>1975</v>
      </c>
      <c r="K34" s="28" t="s">
        <v>1976</v>
      </c>
      <c r="L34" s="14" t="s">
        <v>39</v>
      </c>
      <c r="M34" s="32" t="s">
        <v>912</v>
      </c>
      <c r="N34" s="32" t="s">
        <v>1877</v>
      </c>
      <c r="O34" s="7" t="s">
        <v>1028</v>
      </c>
      <c r="P34" s="14"/>
      <c r="Q34" s="7" t="s">
        <v>3</v>
      </c>
      <c r="R34" s="47" t="s">
        <v>1954</v>
      </c>
      <c r="S34" s="4" t="s">
        <v>1977</v>
      </c>
      <c r="T34" s="160" t="s">
        <v>1028</v>
      </c>
    </row>
    <row r="35" spans="1:20" hidden="1">
      <c r="A35" s="7" t="s">
        <v>1978</v>
      </c>
      <c r="B35" s="47" t="s">
        <v>1154</v>
      </c>
      <c r="C35" s="7" t="s">
        <v>754</v>
      </c>
      <c r="D35" s="7" t="s">
        <v>906</v>
      </c>
      <c r="E35" s="32" t="s">
        <v>755</v>
      </c>
      <c r="F35" s="7" t="s">
        <v>39</v>
      </c>
      <c r="G35" s="7" t="s">
        <v>16</v>
      </c>
      <c r="H35" s="7" t="s">
        <v>969</v>
      </c>
      <c r="I35" s="14" t="s">
        <v>1979</v>
      </c>
      <c r="J35" s="14" t="s">
        <v>1980</v>
      </c>
      <c r="K35" s="28" t="s">
        <v>1981</v>
      </c>
      <c r="L35" s="14" t="s">
        <v>39</v>
      </c>
      <c r="M35" s="32" t="s">
        <v>912</v>
      </c>
      <c r="N35" s="32" t="s">
        <v>1877</v>
      </c>
      <c r="O35" s="7" t="s">
        <v>1028</v>
      </c>
      <c r="P35" s="14" t="s">
        <v>13</v>
      </c>
      <c r="Q35" s="7" t="s">
        <v>3</v>
      </c>
      <c r="R35" s="47" t="s">
        <v>1954</v>
      </c>
      <c r="S35" s="4" t="s">
        <v>1982</v>
      </c>
      <c r="T35" s="160" t="s">
        <v>1028</v>
      </c>
    </row>
    <row r="36" spans="1:20" hidden="1">
      <c r="A36" s="7" t="s">
        <v>1983</v>
      </c>
      <c r="B36" s="47" t="s">
        <v>1154</v>
      </c>
      <c r="C36" s="7" t="s">
        <v>769</v>
      </c>
      <c r="D36" s="7" t="s">
        <v>906</v>
      </c>
      <c r="E36" s="32" t="s">
        <v>828</v>
      </c>
      <c r="F36" s="7" t="s">
        <v>39</v>
      </c>
      <c r="G36" s="7" t="s">
        <v>12</v>
      </c>
      <c r="H36" s="7" t="s">
        <v>1021</v>
      </c>
      <c r="I36" s="14" t="s">
        <v>1984</v>
      </c>
      <c r="J36" s="14" t="s">
        <v>1985</v>
      </c>
      <c r="K36" s="56" t="s">
        <v>1986</v>
      </c>
      <c r="L36" s="14" t="s">
        <v>39</v>
      </c>
      <c r="M36" s="32" t="s">
        <v>912</v>
      </c>
      <c r="N36" s="32"/>
      <c r="O36" s="7"/>
      <c r="P36" s="14" t="s">
        <v>1231</v>
      </c>
      <c r="Q36" s="7" t="s">
        <v>5</v>
      </c>
      <c r="R36" s="7" t="s">
        <v>1026</v>
      </c>
      <c r="S36" s="4" t="s">
        <v>1987</v>
      </c>
      <c r="T36" s="178"/>
    </row>
    <row r="37" spans="1:20" hidden="1">
      <c r="A37" s="7" t="s">
        <v>1988</v>
      </c>
      <c r="B37" s="7" t="s">
        <v>1154</v>
      </c>
      <c r="C37" s="7" t="s">
        <v>746</v>
      </c>
      <c r="D37" s="7" t="s">
        <v>906</v>
      </c>
      <c r="E37" s="32" t="s">
        <v>1756</v>
      </c>
      <c r="F37" s="7" t="s">
        <v>39</v>
      </c>
      <c r="G37" s="7" t="s">
        <v>12</v>
      </c>
      <c r="H37" s="7" t="s">
        <v>1204</v>
      </c>
      <c r="I37" s="14" t="s">
        <v>1989</v>
      </c>
      <c r="J37" s="14" t="s">
        <v>1990</v>
      </c>
      <c r="K37" s="28" t="s">
        <v>1991</v>
      </c>
      <c r="L37" s="14" t="s">
        <v>39</v>
      </c>
      <c r="M37" s="32" t="s">
        <v>912</v>
      </c>
      <c r="N37" s="32"/>
      <c r="O37" s="7" t="s">
        <v>1028</v>
      </c>
      <c r="P37" s="43"/>
      <c r="Q37" s="7" t="s">
        <v>3</v>
      </c>
      <c r="R37" s="7" t="s">
        <v>1139</v>
      </c>
      <c r="S37" s="4"/>
      <c r="T37" s="178"/>
    </row>
    <row r="38" spans="1:20" hidden="1">
      <c r="A38" s="7" t="s">
        <v>1992</v>
      </c>
      <c r="B38" s="7" t="s">
        <v>1010</v>
      </c>
      <c r="C38" s="7" t="s">
        <v>769</v>
      </c>
      <c r="D38" s="7" t="s">
        <v>906</v>
      </c>
      <c r="E38" s="32" t="s">
        <v>828</v>
      </c>
      <c r="F38" s="7" t="s">
        <v>39</v>
      </c>
      <c r="G38" s="7" t="s">
        <v>12</v>
      </c>
      <c r="H38" s="7" t="s">
        <v>1204</v>
      </c>
      <c r="I38" s="14" t="s">
        <v>1993</v>
      </c>
      <c r="J38" s="14" t="s">
        <v>1994</v>
      </c>
      <c r="K38" s="28" t="s">
        <v>1995</v>
      </c>
      <c r="L38" s="14" t="s">
        <v>39</v>
      </c>
      <c r="M38" s="32" t="s">
        <v>912</v>
      </c>
      <c r="N38" s="32"/>
      <c r="O38" s="7" t="s">
        <v>1028</v>
      </c>
      <c r="P38" s="43"/>
      <c r="Q38" s="7" t="s">
        <v>3</v>
      </c>
      <c r="R38" s="47">
        <v>46144</v>
      </c>
      <c r="S38" s="4" t="s">
        <v>1996</v>
      </c>
      <c r="T38" s="178"/>
    </row>
    <row r="39" spans="1:20" hidden="1">
      <c r="A39" s="292" t="s">
        <v>1997</v>
      </c>
      <c r="B39" s="292" t="s">
        <v>1139</v>
      </c>
      <c r="C39" s="292" t="s">
        <v>746</v>
      </c>
      <c r="D39" s="292" t="s">
        <v>906</v>
      </c>
      <c r="E39" s="294" t="s">
        <v>1057</v>
      </c>
      <c r="F39" s="292" t="s">
        <v>39</v>
      </c>
      <c r="G39" s="292" t="s">
        <v>6</v>
      </c>
      <c r="H39" s="292" t="s">
        <v>1171</v>
      </c>
      <c r="I39" s="295" t="s">
        <v>1998</v>
      </c>
      <c r="J39" s="295" t="s">
        <v>1999</v>
      </c>
      <c r="K39" s="296" t="s">
        <v>2000</v>
      </c>
      <c r="L39" s="296" t="s">
        <v>2001</v>
      </c>
      <c r="M39" s="294" t="s">
        <v>912</v>
      </c>
      <c r="N39" s="294" t="s">
        <v>1190</v>
      </c>
      <c r="O39" s="292" t="s">
        <v>1028</v>
      </c>
      <c r="P39" s="403" t="s">
        <v>2002</v>
      </c>
      <c r="Q39" s="292" t="s">
        <v>4</v>
      </c>
      <c r="R39" s="293">
        <v>46056</v>
      </c>
      <c r="S39" s="298" t="s">
        <v>2003</v>
      </c>
      <c r="T39" s="428"/>
    </row>
    <row r="40" spans="1:20" ht="15" hidden="1" customHeight="1">
      <c r="A40" s="292" t="s">
        <v>2004</v>
      </c>
      <c r="B40" s="292" t="s">
        <v>1139</v>
      </c>
      <c r="C40" s="292" t="s">
        <v>746</v>
      </c>
      <c r="D40" s="292" t="s">
        <v>906</v>
      </c>
      <c r="E40" s="294" t="s">
        <v>1057</v>
      </c>
      <c r="F40" s="292" t="s">
        <v>39</v>
      </c>
      <c r="G40" s="292" t="s">
        <v>6</v>
      </c>
      <c r="H40" s="292" t="s">
        <v>1171</v>
      </c>
      <c r="I40" s="295" t="s">
        <v>2005</v>
      </c>
      <c r="J40" s="295" t="s">
        <v>2006</v>
      </c>
      <c r="K40" s="296" t="s">
        <v>2007</v>
      </c>
      <c r="L40" s="296" t="s">
        <v>2008</v>
      </c>
      <c r="M40" s="294" t="s">
        <v>912</v>
      </c>
      <c r="N40" s="294" t="s">
        <v>1190</v>
      </c>
      <c r="O40" s="292" t="s">
        <v>1028</v>
      </c>
      <c r="P40" s="403" t="s">
        <v>2002</v>
      </c>
      <c r="Q40" s="292" t="s">
        <v>4</v>
      </c>
      <c r="R40" s="293">
        <v>46056</v>
      </c>
      <c r="S40" s="298" t="s">
        <v>2009</v>
      </c>
      <c r="T40" s="428"/>
    </row>
    <row r="41" spans="1:20" hidden="1">
      <c r="A41" s="292" t="s">
        <v>2010</v>
      </c>
      <c r="B41" s="292" t="s">
        <v>1139</v>
      </c>
      <c r="C41" s="292" t="s">
        <v>746</v>
      </c>
      <c r="D41" s="292" t="s">
        <v>906</v>
      </c>
      <c r="E41" s="294" t="s">
        <v>828</v>
      </c>
      <c r="F41" s="292" t="s">
        <v>39</v>
      </c>
      <c r="G41" s="292" t="s">
        <v>6</v>
      </c>
      <c r="H41" s="292" t="s">
        <v>1171</v>
      </c>
      <c r="I41" s="295" t="s">
        <v>2011</v>
      </c>
      <c r="J41" s="295" t="s">
        <v>2012</v>
      </c>
      <c r="K41" s="296" t="s">
        <v>2013</v>
      </c>
      <c r="L41" s="296" t="s">
        <v>2014</v>
      </c>
      <c r="M41" s="294" t="s">
        <v>912</v>
      </c>
      <c r="N41" s="294" t="s">
        <v>1190</v>
      </c>
      <c r="O41" s="292" t="s">
        <v>1028</v>
      </c>
      <c r="P41" s="401" t="s">
        <v>2002</v>
      </c>
      <c r="Q41" s="292" t="s">
        <v>4</v>
      </c>
      <c r="R41" s="293">
        <v>46056</v>
      </c>
      <c r="S41" s="404" t="s">
        <v>2015</v>
      </c>
      <c r="T41" s="428"/>
    </row>
    <row r="42" spans="1:20" hidden="1">
      <c r="A42" s="292" t="s">
        <v>2016</v>
      </c>
      <c r="B42" s="292" t="s">
        <v>1139</v>
      </c>
      <c r="C42" s="292" t="s">
        <v>746</v>
      </c>
      <c r="D42" s="292" t="s">
        <v>906</v>
      </c>
      <c r="E42" s="294" t="s">
        <v>1057</v>
      </c>
      <c r="F42" s="292" t="s">
        <v>39</v>
      </c>
      <c r="G42" s="292" t="s">
        <v>6</v>
      </c>
      <c r="H42" s="292" t="s">
        <v>1171</v>
      </c>
      <c r="I42" s="295" t="s">
        <v>2017</v>
      </c>
      <c r="J42" s="295" t="s">
        <v>2018</v>
      </c>
      <c r="K42" s="296" t="s">
        <v>2019</v>
      </c>
      <c r="L42" s="296" t="s">
        <v>2020</v>
      </c>
      <c r="M42" s="294" t="s">
        <v>912</v>
      </c>
      <c r="N42" s="294" t="s">
        <v>1190</v>
      </c>
      <c r="O42" s="292" t="s">
        <v>1028</v>
      </c>
      <c r="P42" s="401" t="s">
        <v>2002</v>
      </c>
      <c r="Q42" s="292" t="s">
        <v>4</v>
      </c>
      <c r="R42" s="293">
        <v>46056</v>
      </c>
      <c r="S42" s="298" t="s">
        <v>2021</v>
      </c>
      <c r="T42" s="428"/>
    </row>
    <row r="43" spans="1:20" hidden="1">
      <c r="A43" s="7" t="s">
        <v>2022</v>
      </c>
      <c r="B43" s="7" t="s">
        <v>1033</v>
      </c>
      <c r="C43" s="7" t="s">
        <v>769</v>
      </c>
      <c r="D43" s="7" t="s">
        <v>906</v>
      </c>
      <c r="E43" s="32" t="s">
        <v>828</v>
      </c>
      <c r="F43" s="7" t="s">
        <v>39</v>
      </c>
      <c r="G43" s="7" t="s">
        <v>16</v>
      </c>
      <c r="H43" s="7" t="s">
        <v>1204</v>
      </c>
      <c r="I43" s="14" t="s">
        <v>2023</v>
      </c>
      <c r="J43" s="14" t="s">
        <v>2024</v>
      </c>
      <c r="K43" s="28" t="s">
        <v>2025</v>
      </c>
      <c r="L43" s="14" t="s">
        <v>39</v>
      </c>
      <c r="M43" s="32" t="s">
        <v>912</v>
      </c>
      <c r="N43" s="32" t="s">
        <v>1877</v>
      </c>
      <c r="O43" s="7" t="s">
        <v>1850</v>
      </c>
      <c r="P43" s="43" t="s">
        <v>2026</v>
      </c>
      <c r="Q43" s="7" t="s">
        <v>3</v>
      </c>
      <c r="R43" s="47">
        <v>46175</v>
      </c>
      <c r="S43" s="4" t="s">
        <v>2027</v>
      </c>
      <c r="T43" s="160"/>
    </row>
    <row r="44" spans="1:20" hidden="1">
      <c r="A44" s="7" t="s">
        <v>2028</v>
      </c>
      <c r="B44" s="7" t="s">
        <v>1033</v>
      </c>
      <c r="C44" s="7" t="s">
        <v>754</v>
      </c>
      <c r="D44" s="7" t="s">
        <v>906</v>
      </c>
      <c r="E44" s="32" t="s">
        <v>755</v>
      </c>
      <c r="F44" s="7" t="s">
        <v>39</v>
      </c>
      <c r="G44" s="7" t="s">
        <v>12</v>
      </c>
      <c r="H44" s="7" t="s">
        <v>1204</v>
      </c>
      <c r="I44" s="14" t="s">
        <v>2029</v>
      </c>
      <c r="J44" s="14" t="s">
        <v>2030</v>
      </c>
      <c r="K44" s="28" t="s">
        <v>2031</v>
      </c>
      <c r="L44" s="28" t="s">
        <v>2032</v>
      </c>
      <c r="M44" s="32" t="s">
        <v>912</v>
      </c>
      <c r="N44" s="32" t="s">
        <v>912</v>
      </c>
      <c r="O44" s="7" t="s">
        <v>1028</v>
      </c>
      <c r="P44" s="43"/>
      <c r="Q44" s="7" t="s">
        <v>3</v>
      </c>
      <c r="R44" s="47">
        <v>46144</v>
      </c>
      <c r="S44" s="4"/>
      <c r="T44" s="178"/>
    </row>
    <row r="45" spans="1:20">
      <c r="A45" s="7" t="s">
        <v>2033</v>
      </c>
      <c r="B45" s="7" t="s">
        <v>1033</v>
      </c>
      <c r="C45" s="7" t="s">
        <v>754</v>
      </c>
      <c r="D45" s="7" t="s">
        <v>906</v>
      </c>
      <c r="E45" s="32" t="s">
        <v>755</v>
      </c>
      <c r="F45" s="7" t="s">
        <v>39</v>
      </c>
      <c r="G45" s="7" t="s">
        <v>16</v>
      </c>
      <c r="H45" s="7" t="s">
        <v>1050</v>
      </c>
      <c r="I45" s="14" t="s">
        <v>2034</v>
      </c>
      <c r="J45" s="14" t="s">
        <v>2035</v>
      </c>
      <c r="K45" s="28" t="s">
        <v>2036</v>
      </c>
      <c r="L45" s="14" t="s">
        <v>39</v>
      </c>
      <c r="M45" s="32" t="s">
        <v>912</v>
      </c>
      <c r="N45" s="32" t="s">
        <v>1877</v>
      </c>
      <c r="O45" s="162" t="s">
        <v>1028</v>
      </c>
      <c r="P45" s="14" t="s">
        <v>2037</v>
      </c>
      <c r="Q45" s="7" t="s">
        <v>4</v>
      </c>
      <c r="R45" s="47" t="s">
        <v>1026</v>
      </c>
      <c r="S45" s="4" t="s">
        <v>2038</v>
      </c>
      <c r="T45" s="160" t="s">
        <v>868</v>
      </c>
    </row>
    <row r="46" spans="1:20">
      <c r="A46" s="7" t="s">
        <v>2039</v>
      </c>
      <c r="B46" s="47">
        <v>46055</v>
      </c>
      <c r="C46" s="7" t="s">
        <v>754</v>
      </c>
      <c r="D46" s="7" t="s">
        <v>906</v>
      </c>
      <c r="E46" s="32" t="s">
        <v>828</v>
      </c>
      <c r="F46" s="7" t="s">
        <v>39</v>
      </c>
      <c r="G46" s="7" t="s">
        <v>16</v>
      </c>
      <c r="H46" s="7" t="s">
        <v>1050</v>
      </c>
      <c r="I46" s="14" t="s">
        <v>2040</v>
      </c>
      <c r="J46" s="14" t="s">
        <v>2041</v>
      </c>
      <c r="K46" s="28" t="s">
        <v>2042</v>
      </c>
      <c r="L46" s="14" t="s">
        <v>39</v>
      </c>
      <c r="M46" s="32" t="s">
        <v>912</v>
      </c>
      <c r="N46" s="32" t="s">
        <v>1877</v>
      </c>
      <c r="O46" s="7" t="s">
        <v>1028</v>
      </c>
      <c r="P46" s="14"/>
      <c r="Q46" s="7" t="s">
        <v>4</v>
      </c>
      <c r="R46" s="47">
        <v>46328</v>
      </c>
      <c r="S46" s="4" t="s">
        <v>2043</v>
      </c>
      <c r="T46" s="160" t="s">
        <v>868</v>
      </c>
    </row>
    <row r="47" spans="1:20" hidden="1">
      <c r="A47" s="7" t="s">
        <v>2044</v>
      </c>
      <c r="B47" s="47">
        <v>46055</v>
      </c>
      <c r="C47" s="7" t="s">
        <v>746</v>
      </c>
      <c r="D47" s="7" t="s">
        <v>906</v>
      </c>
      <c r="E47" s="32" t="s">
        <v>755</v>
      </c>
      <c r="F47" s="7" t="s">
        <v>39</v>
      </c>
      <c r="G47" s="7" t="s">
        <v>12</v>
      </c>
      <c r="H47" s="7" t="s">
        <v>1030</v>
      </c>
      <c r="I47" s="14" t="s">
        <v>2045</v>
      </c>
      <c r="J47" s="14" t="s">
        <v>2046</v>
      </c>
      <c r="K47" s="28" t="s">
        <v>2047</v>
      </c>
      <c r="L47" s="14" t="s">
        <v>39</v>
      </c>
      <c r="M47" s="32" t="s">
        <v>912</v>
      </c>
      <c r="N47" s="32"/>
      <c r="O47" s="7"/>
      <c r="P47" s="43"/>
      <c r="Q47" s="7" t="s">
        <v>5</v>
      </c>
      <c r="R47" s="47" t="s">
        <v>1033</v>
      </c>
      <c r="S47" s="4" t="s">
        <v>1667</v>
      </c>
      <c r="T47" s="178"/>
    </row>
    <row r="48" spans="1:20">
      <c r="A48" s="7" t="s">
        <v>2048</v>
      </c>
      <c r="B48" s="47">
        <v>46055</v>
      </c>
      <c r="C48" s="7" t="s">
        <v>754</v>
      </c>
      <c r="D48" s="7" t="s">
        <v>906</v>
      </c>
      <c r="E48" s="32" t="s">
        <v>755</v>
      </c>
      <c r="F48" s="7" t="s">
        <v>39</v>
      </c>
      <c r="G48" s="7" t="s">
        <v>16</v>
      </c>
      <c r="H48" s="7" t="s">
        <v>1030</v>
      </c>
      <c r="I48" s="14" t="s">
        <v>2049</v>
      </c>
      <c r="J48" s="14" t="s">
        <v>2050</v>
      </c>
      <c r="K48" s="14" t="s">
        <v>2051</v>
      </c>
      <c r="L48" s="14" t="s">
        <v>39</v>
      </c>
      <c r="M48" s="32" t="s">
        <v>912</v>
      </c>
      <c r="N48" s="32" t="s">
        <v>1877</v>
      </c>
      <c r="O48" s="7" t="s">
        <v>1028</v>
      </c>
      <c r="P48" s="43" t="s">
        <v>2052</v>
      </c>
      <c r="Q48" s="7" t="s">
        <v>4</v>
      </c>
      <c r="R48" s="47" t="s">
        <v>1382</v>
      </c>
      <c r="S48" s="4" t="s">
        <v>2053</v>
      </c>
      <c r="T48" s="160" t="s">
        <v>868</v>
      </c>
    </row>
    <row r="49" spans="1:20" hidden="1">
      <c r="A49" s="7" t="s">
        <v>2054</v>
      </c>
      <c r="B49" s="47">
        <v>46055</v>
      </c>
      <c r="C49" s="7" t="s">
        <v>746</v>
      </c>
      <c r="D49" s="7" t="s">
        <v>906</v>
      </c>
      <c r="E49" s="32" t="s">
        <v>755</v>
      </c>
      <c r="F49" s="7" t="s">
        <v>39</v>
      </c>
      <c r="G49" s="7" t="s">
        <v>12</v>
      </c>
      <c r="H49" s="7" t="s">
        <v>1030</v>
      </c>
      <c r="I49" s="14" t="s">
        <v>2055</v>
      </c>
      <c r="J49" s="14" t="s">
        <v>2056</v>
      </c>
      <c r="K49" s="28" t="s">
        <v>2057</v>
      </c>
      <c r="L49" s="14" t="s">
        <v>39</v>
      </c>
      <c r="M49" s="32" t="s">
        <v>912</v>
      </c>
      <c r="N49" s="32"/>
      <c r="O49" s="7"/>
      <c r="P49" s="43"/>
      <c r="Q49" s="7" t="s">
        <v>5</v>
      </c>
      <c r="R49" s="47" t="s">
        <v>1033</v>
      </c>
      <c r="S49" s="4" t="s">
        <v>1667</v>
      </c>
      <c r="T49" s="178"/>
    </row>
    <row r="50" spans="1:20" hidden="1">
      <c r="A50" s="7" t="s">
        <v>2058</v>
      </c>
      <c r="B50" s="47">
        <v>46055</v>
      </c>
      <c r="C50" s="7" t="s">
        <v>746</v>
      </c>
      <c r="D50" s="7" t="s">
        <v>906</v>
      </c>
      <c r="E50" s="32" t="s">
        <v>755</v>
      </c>
      <c r="F50" s="7" t="s">
        <v>39</v>
      </c>
      <c r="G50" s="7" t="s">
        <v>12</v>
      </c>
      <c r="H50" s="7" t="s">
        <v>1030</v>
      </c>
      <c r="I50" s="14" t="s">
        <v>2059</v>
      </c>
      <c r="J50" s="14" t="s">
        <v>2060</v>
      </c>
      <c r="K50" s="28" t="s">
        <v>2061</v>
      </c>
      <c r="L50" s="14" t="s">
        <v>39</v>
      </c>
      <c r="M50" s="32" t="s">
        <v>912</v>
      </c>
      <c r="N50" s="32"/>
      <c r="O50" s="7"/>
      <c r="P50" s="43"/>
      <c r="Q50" s="7" t="s">
        <v>5</v>
      </c>
      <c r="R50" s="47" t="s">
        <v>1033</v>
      </c>
      <c r="S50" s="4" t="s">
        <v>1667</v>
      </c>
      <c r="T50" s="178"/>
    </row>
    <row r="51" spans="1:20" hidden="1">
      <c r="A51" s="7" t="s">
        <v>2062</v>
      </c>
      <c r="B51" s="47">
        <v>46055</v>
      </c>
      <c r="C51" s="7" t="s">
        <v>746</v>
      </c>
      <c r="D51" s="7" t="s">
        <v>906</v>
      </c>
      <c r="E51" s="32" t="s">
        <v>755</v>
      </c>
      <c r="F51" s="7" t="s">
        <v>39</v>
      </c>
      <c r="G51" s="7" t="s">
        <v>12</v>
      </c>
      <c r="H51" s="7" t="s">
        <v>1030</v>
      </c>
      <c r="I51" s="14" t="s">
        <v>2063</v>
      </c>
      <c r="J51" s="14" t="s">
        <v>2064</v>
      </c>
      <c r="K51" s="28" t="s">
        <v>2065</v>
      </c>
      <c r="L51" s="14" t="s">
        <v>39</v>
      </c>
      <c r="M51" s="32" t="s">
        <v>912</v>
      </c>
      <c r="N51" s="32"/>
      <c r="O51" s="7"/>
      <c r="P51" s="43"/>
      <c r="Q51" s="7" t="s">
        <v>5</v>
      </c>
      <c r="R51" s="47" t="s">
        <v>1033</v>
      </c>
      <c r="S51" s="4" t="s">
        <v>1667</v>
      </c>
      <c r="T51" s="178"/>
    </row>
    <row r="52" spans="1:20">
      <c r="A52" s="7" t="s">
        <v>2066</v>
      </c>
      <c r="B52" s="47">
        <v>46055</v>
      </c>
      <c r="C52" s="7" t="s">
        <v>754</v>
      </c>
      <c r="D52" s="7" t="s">
        <v>906</v>
      </c>
      <c r="E52" s="32" t="s">
        <v>828</v>
      </c>
      <c r="F52" s="7" t="s">
        <v>39</v>
      </c>
      <c r="G52" s="7" t="s">
        <v>16</v>
      </c>
      <c r="H52" s="7" t="s">
        <v>1050</v>
      </c>
      <c r="I52" s="14" t="s">
        <v>2067</v>
      </c>
      <c r="J52" s="14" t="s">
        <v>2068</v>
      </c>
      <c r="K52" s="28" t="s">
        <v>2069</v>
      </c>
      <c r="L52" s="14" t="s">
        <v>39</v>
      </c>
      <c r="M52" s="32" t="s">
        <v>912</v>
      </c>
      <c r="N52" s="32" t="s">
        <v>1877</v>
      </c>
      <c r="O52" s="7" t="s">
        <v>1028</v>
      </c>
      <c r="P52" s="43"/>
      <c r="Q52" s="7" t="s">
        <v>4</v>
      </c>
      <c r="R52" s="47">
        <v>46328</v>
      </c>
      <c r="S52" s="4" t="s">
        <v>2070</v>
      </c>
      <c r="T52" s="160" t="s">
        <v>868</v>
      </c>
    </row>
    <row r="53" spans="1:20" hidden="1">
      <c r="A53" s="7" t="s">
        <v>2071</v>
      </c>
      <c r="B53" s="47">
        <v>46055</v>
      </c>
      <c r="C53" s="7" t="s">
        <v>754</v>
      </c>
      <c r="D53" s="7" t="s">
        <v>2072</v>
      </c>
      <c r="E53" s="32" t="s">
        <v>755</v>
      </c>
      <c r="F53" s="7" t="s">
        <v>39</v>
      </c>
      <c r="G53" s="7" t="s">
        <v>12</v>
      </c>
      <c r="H53" s="7" t="s">
        <v>1030</v>
      </c>
      <c r="I53" s="14" t="s">
        <v>2073</v>
      </c>
      <c r="J53" s="14" t="s">
        <v>2074</v>
      </c>
      <c r="K53" s="28" t="s">
        <v>2075</v>
      </c>
      <c r="L53" s="14" t="s">
        <v>39</v>
      </c>
      <c r="M53" s="32" t="s">
        <v>912</v>
      </c>
      <c r="N53" s="32"/>
      <c r="O53" s="7"/>
      <c r="P53" s="43"/>
      <c r="Q53" s="7" t="s">
        <v>5</v>
      </c>
      <c r="R53" s="47" t="s">
        <v>1033</v>
      </c>
      <c r="S53" s="4" t="s">
        <v>1667</v>
      </c>
      <c r="T53" s="178"/>
    </row>
    <row r="54" spans="1:20" hidden="1">
      <c r="A54" s="7" t="s">
        <v>2076</v>
      </c>
      <c r="B54" s="47">
        <v>46055</v>
      </c>
      <c r="C54" s="7" t="s">
        <v>746</v>
      </c>
      <c r="D54" s="7" t="s">
        <v>906</v>
      </c>
      <c r="E54" s="32" t="s">
        <v>755</v>
      </c>
      <c r="F54" s="7" t="s">
        <v>39</v>
      </c>
      <c r="G54" s="7" t="s">
        <v>12</v>
      </c>
      <c r="H54" s="7" t="s">
        <v>1030</v>
      </c>
      <c r="I54" s="14" t="s">
        <v>2077</v>
      </c>
      <c r="J54" s="14" t="s">
        <v>2078</v>
      </c>
      <c r="K54" s="28" t="s">
        <v>2079</v>
      </c>
      <c r="L54" s="14" t="s">
        <v>39</v>
      </c>
      <c r="M54" s="32" t="s">
        <v>912</v>
      </c>
      <c r="N54" s="32"/>
      <c r="O54" s="7"/>
      <c r="P54" s="43"/>
      <c r="Q54" s="7" t="s">
        <v>5</v>
      </c>
      <c r="R54" s="47" t="s">
        <v>1033</v>
      </c>
      <c r="S54" s="4" t="s">
        <v>1667</v>
      </c>
      <c r="T54" s="178"/>
    </row>
    <row r="55" spans="1:20" hidden="1">
      <c r="A55" s="7" t="s">
        <v>2080</v>
      </c>
      <c r="B55" s="47">
        <v>46055</v>
      </c>
      <c r="C55" s="7" t="s">
        <v>746</v>
      </c>
      <c r="D55" s="7" t="s">
        <v>2081</v>
      </c>
      <c r="E55" s="32" t="s">
        <v>755</v>
      </c>
      <c r="F55" s="7" t="s">
        <v>39</v>
      </c>
      <c r="G55" s="7" t="s">
        <v>16</v>
      </c>
      <c r="H55" s="7" t="s">
        <v>1050</v>
      </c>
      <c r="I55" s="14" t="s">
        <v>2082</v>
      </c>
      <c r="J55" s="14" t="s">
        <v>2083</v>
      </c>
      <c r="K55" s="28" t="s">
        <v>2084</v>
      </c>
      <c r="L55" s="14" t="s">
        <v>39</v>
      </c>
      <c r="M55" s="32" t="s">
        <v>912</v>
      </c>
      <c r="N55" s="32" t="s">
        <v>1877</v>
      </c>
      <c r="O55" s="117" t="s">
        <v>1028</v>
      </c>
      <c r="P55" s="429" t="s">
        <v>2085</v>
      </c>
      <c r="Q55" s="7" t="s">
        <v>3</v>
      </c>
      <c r="R55" s="47">
        <v>46297</v>
      </c>
      <c r="S55" s="4" t="s">
        <v>2086</v>
      </c>
      <c r="T55" s="160" t="s">
        <v>1028</v>
      </c>
    </row>
    <row r="56" spans="1:20" hidden="1">
      <c r="A56" s="7" t="s">
        <v>2087</v>
      </c>
      <c r="B56" s="47">
        <v>46055</v>
      </c>
      <c r="C56" s="7" t="s">
        <v>746</v>
      </c>
      <c r="D56" s="7" t="s">
        <v>906</v>
      </c>
      <c r="E56" s="32" t="s">
        <v>828</v>
      </c>
      <c r="F56" s="7" t="s">
        <v>39</v>
      </c>
      <c r="G56" s="7" t="s">
        <v>12</v>
      </c>
      <c r="H56" s="7" t="s">
        <v>1050</v>
      </c>
      <c r="I56" s="14" t="s">
        <v>2088</v>
      </c>
      <c r="J56" s="14" t="s">
        <v>2089</v>
      </c>
      <c r="K56" s="56" t="s">
        <v>2090</v>
      </c>
      <c r="L56" s="14" t="s">
        <v>39</v>
      </c>
      <c r="M56" s="32" t="s">
        <v>912</v>
      </c>
      <c r="N56" s="32" t="s">
        <v>752</v>
      </c>
      <c r="O56" s="7" t="s">
        <v>1028</v>
      </c>
      <c r="P56" s="43" t="s">
        <v>2091</v>
      </c>
      <c r="Q56" s="7" t="s">
        <v>3</v>
      </c>
      <c r="R56" s="47">
        <v>46267</v>
      </c>
      <c r="S56" s="4" t="s">
        <v>2092</v>
      </c>
      <c r="T56" s="178"/>
    </row>
    <row r="57" spans="1:20" hidden="1">
      <c r="A57" s="7" t="s">
        <v>2093</v>
      </c>
      <c r="B57" s="47">
        <v>46055</v>
      </c>
      <c r="C57" s="7" t="s">
        <v>746</v>
      </c>
      <c r="D57" s="7" t="s">
        <v>906</v>
      </c>
      <c r="E57" s="32" t="s">
        <v>828</v>
      </c>
      <c r="F57" s="7" t="s">
        <v>2094</v>
      </c>
      <c r="G57" s="7" t="s">
        <v>16</v>
      </c>
      <c r="H57" s="7" t="s">
        <v>460</v>
      </c>
      <c r="I57" s="14" t="s">
        <v>2095</v>
      </c>
      <c r="J57" s="14" t="s">
        <v>2096</v>
      </c>
      <c r="K57" s="56" t="s">
        <v>2097</v>
      </c>
      <c r="L57" s="14" t="s">
        <v>39</v>
      </c>
      <c r="M57" s="32" t="s">
        <v>912</v>
      </c>
      <c r="N57" s="32" t="s">
        <v>1877</v>
      </c>
      <c r="O57" s="7" t="s">
        <v>1028</v>
      </c>
      <c r="P57" s="43"/>
      <c r="Q57" s="7" t="s">
        <v>3</v>
      </c>
      <c r="R57" s="47" t="s">
        <v>1954</v>
      </c>
      <c r="S57" s="4" t="s">
        <v>2098</v>
      </c>
      <c r="T57" s="160" t="s">
        <v>1028</v>
      </c>
    </row>
    <row r="58" spans="1:20" hidden="1">
      <c r="A58" s="7" t="s">
        <v>2099</v>
      </c>
      <c r="B58" s="47">
        <v>46055</v>
      </c>
      <c r="C58" s="7" t="s">
        <v>746</v>
      </c>
      <c r="D58" s="7" t="s">
        <v>906</v>
      </c>
      <c r="E58" s="32" t="s">
        <v>828</v>
      </c>
      <c r="F58" s="7" t="s">
        <v>2094</v>
      </c>
      <c r="G58" s="7" t="s">
        <v>12</v>
      </c>
      <c r="H58" s="7" t="s">
        <v>804</v>
      </c>
      <c r="I58" s="14" t="s">
        <v>2100</v>
      </c>
      <c r="J58" s="14" t="s">
        <v>2101</v>
      </c>
      <c r="K58" s="56" t="s">
        <v>2102</v>
      </c>
      <c r="L58" s="14" t="s">
        <v>39</v>
      </c>
      <c r="M58" s="32" t="s">
        <v>912</v>
      </c>
      <c r="N58" s="32" t="s">
        <v>752</v>
      </c>
      <c r="O58" s="7"/>
      <c r="P58" s="14" t="s">
        <v>2103</v>
      </c>
      <c r="Q58" s="7" t="s">
        <v>4</v>
      </c>
      <c r="R58" s="7" t="s">
        <v>1026</v>
      </c>
      <c r="S58" s="4" t="s">
        <v>2104</v>
      </c>
      <c r="T58" s="178"/>
    </row>
    <row r="59" spans="1:20">
      <c r="A59" s="7" t="s">
        <v>2105</v>
      </c>
      <c r="B59" s="47">
        <v>46055</v>
      </c>
      <c r="C59" s="7" t="s">
        <v>754</v>
      </c>
      <c r="D59" s="7" t="s">
        <v>906</v>
      </c>
      <c r="E59" s="32" t="s">
        <v>1756</v>
      </c>
      <c r="F59" s="7" t="s">
        <v>2106</v>
      </c>
      <c r="G59" s="7" t="s">
        <v>16</v>
      </c>
      <c r="H59" s="7" t="s">
        <v>1004</v>
      </c>
      <c r="I59" s="14" t="s">
        <v>2107</v>
      </c>
      <c r="J59" s="14" t="s">
        <v>2108</v>
      </c>
      <c r="K59" s="28" t="s">
        <v>2109</v>
      </c>
      <c r="L59" s="28" t="s">
        <v>2110</v>
      </c>
      <c r="M59" s="32" t="s">
        <v>912</v>
      </c>
      <c r="N59" s="32" t="s">
        <v>1877</v>
      </c>
      <c r="O59" s="7" t="s">
        <v>1028</v>
      </c>
      <c r="P59" s="43"/>
      <c r="Q59" s="7" t="s">
        <v>4</v>
      </c>
      <c r="R59" s="47">
        <v>46328</v>
      </c>
      <c r="S59" s="4" t="s">
        <v>2111</v>
      </c>
      <c r="T59" s="160" t="s">
        <v>868</v>
      </c>
    </row>
    <row r="60" spans="1:20" hidden="1">
      <c r="A60" s="7" t="s">
        <v>2112</v>
      </c>
      <c r="B60" s="47">
        <v>46055</v>
      </c>
      <c r="C60" s="7" t="s">
        <v>754</v>
      </c>
      <c r="D60" s="7" t="s">
        <v>906</v>
      </c>
      <c r="E60" s="32" t="s">
        <v>1756</v>
      </c>
      <c r="F60" s="7" t="s">
        <v>39</v>
      </c>
      <c r="G60" s="7" t="s">
        <v>12</v>
      </c>
      <c r="H60" s="7" t="s">
        <v>1171</v>
      </c>
      <c r="I60" s="14" t="s">
        <v>2113</v>
      </c>
      <c r="J60" s="14" t="s">
        <v>2114</v>
      </c>
      <c r="K60" s="56" t="s">
        <v>2115</v>
      </c>
      <c r="L60" s="14" t="s">
        <v>39</v>
      </c>
      <c r="M60" s="32" t="s">
        <v>912</v>
      </c>
      <c r="N60" s="32" t="s">
        <v>752</v>
      </c>
      <c r="O60" s="7" t="s">
        <v>1028</v>
      </c>
      <c r="P60" s="43" t="s">
        <v>2091</v>
      </c>
      <c r="Q60" s="7" t="s">
        <v>3</v>
      </c>
      <c r="R60" s="47">
        <v>46267</v>
      </c>
      <c r="S60" s="4" t="s">
        <v>2116</v>
      </c>
      <c r="T60" s="178"/>
    </row>
    <row r="61" spans="1:20" hidden="1">
      <c r="A61" s="7" t="s">
        <v>2117</v>
      </c>
      <c r="B61" s="47">
        <v>46055</v>
      </c>
      <c r="C61" s="7" t="s">
        <v>746</v>
      </c>
      <c r="D61" s="7" t="s">
        <v>906</v>
      </c>
      <c r="E61" s="32" t="s">
        <v>828</v>
      </c>
      <c r="F61" s="7" t="s">
        <v>39</v>
      </c>
      <c r="G61" s="7" t="s">
        <v>12</v>
      </c>
      <c r="H61" s="7" t="s">
        <v>1204</v>
      </c>
      <c r="I61" s="14" t="s">
        <v>2118</v>
      </c>
      <c r="J61" s="14" t="s">
        <v>2119</v>
      </c>
      <c r="K61" s="28" t="s">
        <v>2120</v>
      </c>
      <c r="L61" s="14" t="s">
        <v>39</v>
      </c>
      <c r="M61" s="32" t="s">
        <v>912</v>
      </c>
      <c r="N61" s="32" t="s">
        <v>912</v>
      </c>
      <c r="O61" s="7" t="s">
        <v>1017</v>
      </c>
      <c r="P61" s="43" t="s">
        <v>2121</v>
      </c>
      <c r="Q61" s="7" t="s">
        <v>3</v>
      </c>
      <c r="R61" s="47">
        <v>46114</v>
      </c>
      <c r="S61" s="4" t="s">
        <v>2122</v>
      </c>
      <c r="T61" s="178"/>
    </row>
    <row r="62" spans="1:20" hidden="1">
      <c r="A62" s="7" t="s">
        <v>2123</v>
      </c>
      <c r="B62" s="47">
        <v>46055</v>
      </c>
      <c r="C62" s="7" t="s">
        <v>746</v>
      </c>
      <c r="D62" s="7" t="s">
        <v>906</v>
      </c>
      <c r="E62" s="32" t="s">
        <v>828</v>
      </c>
      <c r="F62" s="7" t="s">
        <v>39</v>
      </c>
      <c r="G62" s="7" t="s">
        <v>12</v>
      </c>
      <c r="H62" s="7" t="s">
        <v>1050</v>
      </c>
      <c r="I62" s="14" t="s">
        <v>2124</v>
      </c>
      <c r="J62" s="14" t="s">
        <v>2125</v>
      </c>
      <c r="K62" s="56" t="s">
        <v>2120</v>
      </c>
      <c r="L62" s="14" t="s">
        <v>39</v>
      </c>
      <c r="M62" s="32" t="s">
        <v>912</v>
      </c>
      <c r="N62" s="32" t="s">
        <v>912</v>
      </c>
      <c r="O62" s="7" t="s">
        <v>1017</v>
      </c>
      <c r="P62" s="43" t="s">
        <v>1138</v>
      </c>
      <c r="Q62" s="7" t="s">
        <v>3</v>
      </c>
      <c r="R62" s="47">
        <v>46267</v>
      </c>
      <c r="S62" s="4" t="s">
        <v>2126</v>
      </c>
      <c r="T62" s="178"/>
    </row>
    <row r="63" spans="1:20">
      <c r="A63" s="7" t="s">
        <v>2127</v>
      </c>
      <c r="B63" s="47">
        <v>46055</v>
      </c>
      <c r="C63" s="7" t="s">
        <v>754</v>
      </c>
      <c r="D63" s="7" t="s">
        <v>906</v>
      </c>
      <c r="E63" s="32" t="s">
        <v>828</v>
      </c>
      <c r="F63" s="7" t="s">
        <v>39</v>
      </c>
      <c r="G63" s="7" t="s">
        <v>16</v>
      </c>
      <c r="H63" s="7" t="s">
        <v>1204</v>
      </c>
      <c r="I63" s="14" t="s">
        <v>2128</v>
      </c>
      <c r="J63" s="14" t="s">
        <v>2129</v>
      </c>
      <c r="K63" s="28" t="s">
        <v>2130</v>
      </c>
      <c r="L63" s="14" t="s">
        <v>39</v>
      </c>
      <c r="M63" s="32" t="s">
        <v>912</v>
      </c>
      <c r="N63" s="32" t="s">
        <v>1877</v>
      </c>
      <c r="O63" s="7"/>
      <c r="P63" s="14" t="s">
        <v>2052</v>
      </c>
      <c r="Q63" s="7" t="s">
        <v>4</v>
      </c>
      <c r="R63" s="47">
        <v>46056</v>
      </c>
      <c r="S63" s="4" t="s">
        <v>2131</v>
      </c>
      <c r="T63" s="160" t="s">
        <v>868</v>
      </c>
    </row>
    <row r="64" spans="1:20" hidden="1">
      <c r="A64" s="7" t="s">
        <v>2132</v>
      </c>
      <c r="B64" s="47">
        <v>46055</v>
      </c>
      <c r="C64" s="7" t="s">
        <v>746</v>
      </c>
      <c r="D64" s="7" t="s">
        <v>906</v>
      </c>
      <c r="E64" s="32" t="s">
        <v>828</v>
      </c>
      <c r="F64" s="7" t="s">
        <v>39</v>
      </c>
      <c r="G64" s="7" t="s">
        <v>12</v>
      </c>
      <c r="H64" s="7" t="s">
        <v>1204</v>
      </c>
      <c r="I64" s="14" t="s">
        <v>2133</v>
      </c>
      <c r="J64" s="14" t="s">
        <v>2134</v>
      </c>
      <c r="K64" s="56" t="s">
        <v>2135</v>
      </c>
      <c r="L64" s="14" t="s">
        <v>39</v>
      </c>
      <c r="M64" s="32" t="s">
        <v>912</v>
      </c>
      <c r="N64" s="32" t="s">
        <v>752</v>
      </c>
      <c r="O64" s="7" t="s">
        <v>1017</v>
      </c>
      <c r="P64" s="14" t="s">
        <v>2136</v>
      </c>
      <c r="Q64" s="7" t="s">
        <v>4</v>
      </c>
      <c r="R64" s="47" t="s">
        <v>1026</v>
      </c>
      <c r="S64" s="4" t="s">
        <v>2137</v>
      </c>
      <c r="T64" s="178"/>
    </row>
    <row r="65" spans="1:20" hidden="1">
      <c r="A65" s="7" t="s">
        <v>2138</v>
      </c>
      <c r="B65" s="47">
        <v>46055</v>
      </c>
      <c r="C65" s="7" t="s">
        <v>746</v>
      </c>
      <c r="D65" s="7" t="s">
        <v>906</v>
      </c>
      <c r="E65" s="32" t="s">
        <v>755</v>
      </c>
      <c r="F65" s="7" t="s">
        <v>39</v>
      </c>
      <c r="G65" s="7" t="s">
        <v>12</v>
      </c>
      <c r="H65" s="7" t="s">
        <v>1030</v>
      </c>
      <c r="I65" s="14" t="s">
        <v>2139</v>
      </c>
      <c r="J65" s="14" t="s">
        <v>2140</v>
      </c>
      <c r="K65" s="28" t="s">
        <v>2141</v>
      </c>
      <c r="L65" s="14" t="s">
        <v>39</v>
      </c>
      <c r="M65" s="32" t="s">
        <v>912</v>
      </c>
      <c r="N65" s="32"/>
      <c r="O65" s="7"/>
      <c r="P65" s="43"/>
      <c r="Q65" s="7" t="s">
        <v>5</v>
      </c>
      <c r="R65" s="47" t="s">
        <v>1033</v>
      </c>
      <c r="S65" s="4" t="s">
        <v>1667</v>
      </c>
      <c r="T65" s="178"/>
    </row>
    <row r="66" spans="1:20" hidden="1">
      <c r="A66" s="7" t="s">
        <v>2142</v>
      </c>
      <c r="B66" s="47">
        <v>46055</v>
      </c>
      <c r="C66" s="7" t="s">
        <v>746</v>
      </c>
      <c r="D66" s="7" t="s">
        <v>906</v>
      </c>
      <c r="E66" s="32" t="s">
        <v>1003</v>
      </c>
      <c r="F66" s="7" t="s">
        <v>39</v>
      </c>
      <c r="G66" s="7" t="s">
        <v>16</v>
      </c>
      <c r="H66" s="7" t="s">
        <v>1171</v>
      </c>
      <c r="I66" s="14" t="s">
        <v>2143</v>
      </c>
      <c r="J66" s="14" t="s">
        <v>2144</v>
      </c>
      <c r="K66" s="28" t="s">
        <v>2145</v>
      </c>
      <c r="L66" s="14" t="s">
        <v>39</v>
      </c>
      <c r="M66" s="32" t="s">
        <v>912</v>
      </c>
      <c r="N66" s="32" t="s">
        <v>1877</v>
      </c>
      <c r="O66" s="7" t="s">
        <v>1028</v>
      </c>
      <c r="P66" s="43" t="s">
        <v>2146</v>
      </c>
      <c r="Q66" s="7" t="s">
        <v>3</v>
      </c>
      <c r="R66" s="47" t="s">
        <v>1879</v>
      </c>
      <c r="S66" s="4" t="s">
        <v>2147</v>
      </c>
      <c r="T66" s="160" t="s">
        <v>868</v>
      </c>
    </row>
    <row r="67" spans="1:20" hidden="1">
      <c r="A67" s="89" t="s">
        <v>2148</v>
      </c>
      <c r="B67" s="93">
        <v>46055</v>
      </c>
      <c r="C67" s="89" t="s">
        <v>769</v>
      </c>
      <c r="D67" s="89" t="s">
        <v>906</v>
      </c>
      <c r="E67" s="89" t="s">
        <v>1057</v>
      </c>
      <c r="F67" s="90" t="s">
        <v>39</v>
      </c>
      <c r="G67" s="7" t="s">
        <v>16</v>
      </c>
      <c r="H67" s="89" t="s">
        <v>756</v>
      </c>
      <c r="I67" s="49" t="s">
        <v>2149</v>
      </c>
      <c r="J67" s="14" t="s">
        <v>2150</v>
      </c>
      <c r="K67" s="56" t="s">
        <v>2151</v>
      </c>
      <c r="L67" s="91" t="s">
        <v>39</v>
      </c>
      <c r="M67" s="89" t="s">
        <v>912</v>
      </c>
      <c r="N67" s="32" t="s">
        <v>1877</v>
      </c>
      <c r="O67" s="89" t="s">
        <v>1028</v>
      </c>
      <c r="P67" s="430" t="s">
        <v>13</v>
      </c>
      <c r="Q67" s="7" t="s">
        <v>3</v>
      </c>
      <c r="R67" s="47" t="s">
        <v>1879</v>
      </c>
      <c r="S67" s="85" t="s">
        <v>2152</v>
      </c>
      <c r="T67" s="160" t="s">
        <v>1028</v>
      </c>
    </row>
    <row r="68" spans="1:20" hidden="1">
      <c r="A68" s="89" t="s">
        <v>2153</v>
      </c>
      <c r="B68" s="93">
        <v>46055</v>
      </c>
      <c r="C68" s="89" t="s">
        <v>769</v>
      </c>
      <c r="D68" s="89" t="s">
        <v>906</v>
      </c>
      <c r="E68" s="89" t="s">
        <v>828</v>
      </c>
      <c r="F68" s="90" t="s">
        <v>39</v>
      </c>
      <c r="G68" s="7" t="s">
        <v>16</v>
      </c>
      <c r="H68" s="89" t="s">
        <v>1182</v>
      </c>
      <c r="I68" s="49" t="s">
        <v>2154</v>
      </c>
      <c r="J68" s="14" t="s">
        <v>2155</v>
      </c>
      <c r="K68" s="56" t="s">
        <v>2156</v>
      </c>
      <c r="L68" s="91" t="s">
        <v>39</v>
      </c>
      <c r="M68" s="89" t="s">
        <v>912</v>
      </c>
      <c r="N68" s="32" t="s">
        <v>1877</v>
      </c>
      <c r="O68" s="89" t="s">
        <v>1028</v>
      </c>
      <c r="P68" s="430"/>
      <c r="Q68" s="7" t="s">
        <v>3</v>
      </c>
      <c r="R68" s="47" t="s">
        <v>1879</v>
      </c>
      <c r="S68" s="85" t="s">
        <v>2157</v>
      </c>
      <c r="T68" s="160" t="s">
        <v>1028</v>
      </c>
    </row>
    <row r="69" spans="1:20" hidden="1">
      <c r="A69" s="89" t="s">
        <v>2158</v>
      </c>
      <c r="B69" s="93">
        <v>46055</v>
      </c>
      <c r="C69" s="89" t="s">
        <v>754</v>
      </c>
      <c r="D69" s="89" t="s">
        <v>906</v>
      </c>
      <c r="E69" s="89" t="s">
        <v>828</v>
      </c>
      <c r="F69" s="90" t="s">
        <v>39</v>
      </c>
      <c r="G69" s="7" t="s">
        <v>16</v>
      </c>
      <c r="H69" s="89" t="s">
        <v>460</v>
      </c>
      <c r="I69" s="49" t="s">
        <v>2159</v>
      </c>
      <c r="J69" s="14" t="s">
        <v>2160</v>
      </c>
      <c r="K69" s="56" t="s">
        <v>2161</v>
      </c>
      <c r="L69" s="91" t="s">
        <v>39</v>
      </c>
      <c r="M69" s="89" t="s">
        <v>912</v>
      </c>
      <c r="N69" s="32" t="s">
        <v>1877</v>
      </c>
      <c r="O69" s="89" t="s">
        <v>1028</v>
      </c>
      <c r="P69" s="430"/>
      <c r="Q69" s="7" t="s">
        <v>3</v>
      </c>
      <c r="R69" s="47" t="s">
        <v>1879</v>
      </c>
      <c r="S69" s="139" t="s">
        <v>2162</v>
      </c>
      <c r="T69" s="160" t="s">
        <v>1028</v>
      </c>
    </row>
    <row r="70" spans="1:20">
      <c r="A70" s="89" t="s">
        <v>2163</v>
      </c>
      <c r="B70" s="93">
        <v>46055</v>
      </c>
      <c r="C70" s="89" t="s">
        <v>754</v>
      </c>
      <c r="D70" s="89" t="s">
        <v>906</v>
      </c>
      <c r="E70" s="89" t="s">
        <v>1003</v>
      </c>
      <c r="F70" s="90" t="s">
        <v>39</v>
      </c>
      <c r="G70" s="7" t="s">
        <v>16</v>
      </c>
      <c r="H70" s="89" t="s">
        <v>460</v>
      </c>
      <c r="I70" s="49" t="s">
        <v>2164</v>
      </c>
      <c r="J70" s="49" t="s">
        <v>2165</v>
      </c>
      <c r="K70" s="56" t="s">
        <v>2166</v>
      </c>
      <c r="L70" s="91" t="s">
        <v>39</v>
      </c>
      <c r="M70" s="89" t="s">
        <v>912</v>
      </c>
      <c r="N70" s="32" t="s">
        <v>1877</v>
      </c>
      <c r="O70" s="89" t="s">
        <v>1028</v>
      </c>
      <c r="P70" s="430" t="s">
        <v>13</v>
      </c>
      <c r="Q70" s="7" t="s">
        <v>4</v>
      </c>
      <c r="R70" s="47" t="s">
        <v>1564</v>
      </c>
      <c r="S70" s="49" t="s">
        <v>2167</v>
      </c>
      <c r="T70" s="166" t="s">
        <v>868</v>
      </c>
    </row>
    <row r="71" spans="1:20">
      <c r="A71" s="89" t="s">
        <v>2168</v>
      </c>
      <c r="B71" s="93">
        <v>46055</v>
      </c>
      <c r="C71" s="89" t="s">
        <v>754</v>
      </c>
      <c r="D71" s="89" t="s">
        <v>906</v>
      </c>
      <c r="E71" s="89" t="s">
        <v>767</v>
      </c>
      <c r="F71" s="90" t="s">
        <v>39</v>
      </c>
      <c r="G71" s="7" t="s">
        <v>16</v>
      </c>
      <c r="H71" s="89" t="s">
        <v>460</v>
      </c>
      <c r="I71" s="49" t="s">
        <v>2169</v>
      </c>
      <c r="J71" s="49" t="s">
        <v>2170</v>
      </c>
      <c r="K71" s="56" t="s">
        <v>2171</v>
      </c>
      <c r="L71" s="91" t="s">
        <v>39</v>
      </c>
      <c r="M71" s="89" t="s">
        <v>912</v>
      </c>
      <c r="N71" s="32" t="s">
        <v>1877</v>
      </c>
      <c r="O71" s="89" t="s">
        <v>1028</v>
      </c>
      <c r="P71" s="85" t="s">
        <v>13</v>
      </c>
      <c r="Q71" s="89" t="s">
        <v>4</v>
      </c>
      <c r="R71" s="202" t="s">
        <v>1564</v>
      </c>
      <c r="S71" s="85" t="s">
        <v>2172</v>
      </c>
      <c r="T71" s="166" t="s">
        <v>868</v>
      </c>
    </row>
    <row r="72" spans="1:20">
      <c r="A72" s="89" t="s">
        <v>2173</v>
      </c>
      <c r="B72" s="93">
        <v>46055</v>
      </c>
      <c r="C72" s="89" t="s">
        <v>754</v>
      </c>
      <c r="D72" s="89" t="s">
        <v>906</v>
      </c>
      <c r="E72" s="89" t="s">
        <v>1003</v>
      </c>
      <c r="F72" s="90" t="s">
        <v>39</v>
      </c>
      <c r="G72" s="7" t="s">
        <v>16</v>
      </c>
      <c r="H72" s="89" t="s">
        <v>460</v>
      </c>
      <c r="I72" s="49" t="s">
        <v>2174</v>
      </c>
      <c r="J72" s="49" t="s">
        <v>2175</v>
      </c>
      <c r="K72" s="56" t="s">
        <v>2176</v>
      </c>
      <c r="L72" s="91" t="s">
        <v>39</v>
      </c>
      <c r="M72" s="89" t="s">
        <v>912</v>
      </c>
      <c r="N72" s="32" t="s">
        <v>1877</v>
      </c>
      <c r="O72" s="89" t="s">
        <v>1028</v>
      </c>
      <c r="P72" s="85" t="s">
        <v>2177</v>
      </c>
      <c r="Q72" s="89" t="s">
        <v>4</v>
      </c>
      <c r="R72" s="203" t="s">
        <v>1026</v>
      </c>
      <c r="S72" s="204" t="s">
        <v>2178</v>
      </c>
      <c r="T72" s="160" t="s">
        <v>1028</v>
      </c>
    </row>
    <row r="73" spans="1:20" hidden="1">
      <c r="A73" s="89" t="s">
        <v>2179</v>
      </c>
      <c r="B73" s="93">
        <v>46055</v>
      </c>
      <c r="C73" s="89" t="s">
        <v>746</v>
      </c>
      <c r="D73" s="89" t="s">
        <v>906</v>
      </c>
      <c r="E73" s="89" t="s">
        <v>767</v>
      </c>
      <c r="F73" s="90" t="s">
        <v>39</v>
      </c>
      <c r="G73" s="7" t="s">
        <v>16</v>
      </c>
      <c r="H73" s="89" t="s">
        <v>460</v>
      </c>
      <c r="I73" s="49" t="s">
        <v>2180</v>
      </c>
      <c r="J73" s="49" t="s">
        <v>2181</v>
      </c>
      <c r="K73" s="56" t="s">
        <v>2182</v>
      </c>
      <c r="L73" s="91" t="s">
        <v>39</v>
      </c>
      <c r="M73" s="89" t="s">
        <v>912</v>
      </c>
      <c r="N73" s="32" t="s">
        <v>1877</v>
      </c>
      <c r="O73" s="89" t="s">
        <v>1028</v>
      </c>
      <c r="P73" s="85" t="s">
        <v>2177</v>
      </c>
      <c r="Q73" s="89" t="s">
        <v>3</v>
      </c>
      <c r="R73" s="203" t="s">
        <v>1026</v>
      </c>
      <c r="S73" s="85" t="s">
        <v>2183</v>
      </c>
      <c r="T73" s="160" t="s">
        <v>1028</v>
      </c>
    </row>
    <row r="74" spans="1:20">
      <c r="A74" s="89" t="s">
        <v>2184</v>
      </c>
      <c r="B74" s="93">
        <v>46055</v>
      </c>
      <c r="C74" s="89" t="s">
        <v>754</v>
      </c>
      <c r="D74" s="89" t="s">
        <v>906</v>
      </c>
      <c r="E74" s="89" t="s">
        <v>828</v>
      </c>
      <c r="F74" s="90" t="s">
        <v>39</v>
      </c>
      <c r="G74" s="7" t="s">
        <v>16</v>
      </c>
      <c r="H74" s="89" t="s">
        <v>460</v>
      </c>
      <c r="I74" s="49" t="s">
        <v>2185</v>
      </c>
      <c r="J74" s="49" t="s">
        <v>2186</v>
      </c>
      <c r="K74" s="56" t="s">
        <v>2187</v>
      </c>
      <c r="L74" s="91" t="s">
        <v>39</v>
      </c>
      <c r="M74" s="89" t="s">
        <v>912</v>
      </c>
      <c r="N74" s="32" t="s">
        <v>1877</v>
      </c>
      <c r="O74" s="89" t="s">
        <v>1028</v>
      </c>
      <c r="P74" s="14" t="s">
        <v>2052</v>
      </c>
      <c r="Q74" s="89" t="s">
        <v>4</v>
      </c>
      <c r="R74" s="203" t="s">
        <v>1026</v>
      </c>
      <c r="S74" s="85" t="s">
        <v>2188</v>
      </c>
      <c r="T74" s="160" t="s">
        <v>868</v>
      </c>
    </row>
    <row r="75" spans="1:20" hidden="1">
      <c r="A75" s="89" t="s">
        <v>2189</v>
      </c>
      <c r="B75" s="93">
        <v>46055</v>
      </c>
      <c r="C75" s="89" t="s">
        <v>746</v>
      </c>
      <c r="D75" s="89" t="s">
        <v>906</v>
      </c>
      <c r="E75" s="89" t="s">
        <v>1756</v>
      </c>
      <c r="F75" s="90" t="s">
        <v>39</v>
      </c>
      <c r="G75" s="7" t="s">
        <v>16</v>
      </c>
      <c r="H75" s="89" t="s">
        <v>460</v>
      </c>
      <c r="I75" s="49" t="s">
        <v>2190</v>
      </c>
      <c r="J75" s="49" t="s">
        <v>2191</v>
      </c>
      <c r="K75" s="56" t="s">
        <v>2192</v>
      </c>
      <c r="L75" s="91" t="s">
        <v>39</v>
      </c>
      <c r="M75" s="89" t="s">
        <v>912</v>
      </c>
      <c r="N75" s="32" t="s">
        <v>1877</v>
      </c>
      <c r="O75" s="89" t="s">
        <v>1028</v>
      </c>
      <c r="P75" s="430"/>
      <c r="Q75" s="7" t="s">
        <v>3</v>
      </c>
      <c r="R75" s="47" t="s">
        <v>1879</v>
      </c>
      <c r="S75" s="85" t="s">
        <v>2193</v>
      </c>
      <c r="T75" s="160" t="s">
        <v>1028</v>
      </c>
    </row>
    <row r="76" spans="1:20" hidden="1">
      <c r="A76" s="89" t="s">
        <v>2194</v>
      </c>
      <c r="B76" s="93">
        <v>46055</v>
      </c>
      <c r="C76" s="89" t="s">
        <v>746</v>
      </c>
      <c r="D76" s="89" t="s">
        <v>906</v>
      </c>
      <c r="E76" s="89" t="s">
        <v>1003</v>
      </c>
      <c r="F76" s="90" t="s">
        <v>39</v>
      </c>
      <c r="G76" s="7" t="s">
        <v>16</v>
      </c>
      <c r="H76" s="89" t="s">
        <v>460</v>
      </c>
      <c r="I76" s="49" t="s">
        <v>2195</v>
      </c>
      <c r="J76" s="49" t="s">
        <v>2196</v>
      </c>
      <c r="K76" s="56" t="s">
        <v>2197</v>
      </c>
      <c r="L76" s="91" t="s">
        <v>39</v>
      </c>
      <c r="M76" s="89" t="s">
        <v>912</v>
      </c>
      <c r="N76" s="32" t="s">
        <v>1877</v>
      </c>
      <c r="O76" s="89" t="s">
        <v>1028</v>
      </c>
      <c r="P76" s="430"/>
      <c r="Q76" s="7" t="s">
        <v>3</v>
      </c>
      <c r="R76" s="47" t="s">
        <v>1879</v>
      </c>
      <c r="S76" s="85" t="s">
        <v>2198</v>
      </c>
      <c r="T76" s="160" t="s">
        <v>1028</v>
      </c>
    </row>
    <row r="77" spans="1:20" hidden="1">
      <c r="A77" s="89" t="s">
        <v>2199</v>
      </c>
      <c r="B77" s="93">
        <v>46055</v>
      </c>
      <c r="C77" s="89" t="s">
        <v>769</v>
      </c>
      <c r="D77" s="89" t="s">
        <v>906</v>
      </c>
      <c r="E77" s="89" t="s">
        <v>1003</v>
      </c>
      <c r="F77" s="90" t="s">
        <v>39</v>
      </c>
      <c r="G77" s="7" t="s">
        <v>16</v>
      </c>
      <c r="H77" s="89" t="s">
        <v>460</v>
      </c>
      <c r="I77" s="49" t="s">
        <v>2200</v>
      </c>
      <c r="J77" s="49" t="s">
        <v>2201</v>
      </c>
      <c r="K77" s="56" t="s">
        <v>2202</v>
      </c>
      <c r="L77" s="91" t="s">
        <v>39</v>
      </c>
      <c r="M77" s="89" t="s">
        <v>912</v>
      </c>
      <c r="N77" s="32" t="s">
        <v>1877</v>
      </c>
      <c r="O77" s="89" t="s">
        <v>1028</v>
      </c>
      <c r="P77" s="430"/>
      <c r="Q77" s="7" t="s">
        <v>3</v>
      </c>
      <c r="R77" s="47" t="s">
        <v>1879</v>
      </c>
      <c r="S77" s="85" t="s">
        <v>2203</v>
      </c>
      <c r="T77" s="160" t="s">
        <v>1028</v>
      </c>
    </row>
    <row r="78" spans="1:20">
      <c r="A78" s="89" t="s">
        <v>2204</v>
      </c>
      <c r="B78" s="93">
        <v>46055</v>
      </c>
      <c r="C78" s="89" t="s">
        <v>754</v>
      </c>
      <c r="D78" s="89" t="s">
        <v>906</v>
      </c>
      <c r="E78" s="89" t="s">
        <v>1003</v>
      </c>
      <c r="F78" s="90" t="s">
        <v>39</v>
      </c>
      <c r="G78" s="7" t="s">
        <v>16</v>
      </c>
      <c r="H78" s="89" t="s">
        <v>460</v>
      </c>
      <c r="I78" s="49" t="s">
        <v>2205</v>
      </c>
      <c r="J78" s="49" t="s">
        <v>2201</v>
      </c>
      <c r="K78" s="56" t="s">
        <v>2206</v>
      </c>
      <c r="L78" s="91" t="s">
        <v>39</v>
      </c>
      <c r="M78" s="89" t="s">
        <v>912</v>
      </c>
      <c r="N78" s="32" t="s">
        <v>1877</v>
      </c>
      <c r="O78" s="89" t="s">
        <v>1028</v>
      </c>
      <c r="P78" s="430"/>
      <c r="Q78" s="89" t="s">
        <v>4</v>
      </c>
      <c r="R78" s="203" t="s">
        <v>1026</v>
      </c>
      <c r="S78" s="85" t="s">
        <v>2207</v>
      </c>
      <c r="T78" s="160" t="s">
        <v>1028</v>
      </c>
    </row>
    <row r="79" spans="1:20">
      <c r="A79" s="89" t="s">
        <v>2208</v>
      </c>
      <c r="B79" s="93">
        <v>46055</v>
      </c>
      <c r="C79" s="89" t="s">
        <v>754</v>
      </c>
      <c r="D79" s="89" t="s">
        <v>906</v>
      </c>
      <c r="E79" s="89" t="s">
        <v>1756</v>
      </c>
      <c r="F79" s="90" t="s">
        <v>39</v>
      </c>
      <c r="G79" s="7" t="s">
        <v>16</v>
      </c>
      <c r="H79" s="89" t="s">
        <v>1109</v>
      </c>
      <c r="I79" s="49" t="s">
        <v>2209</v>
      </c>
      <c r="J79" s="14" t="s">
        <v>2210</v>
      </c>
      <c r="K79" s="56" t="s">
        <v>2211</v>
      </c>
      <c r="L79" s="91" t="s">
        <v>39</v>
      </c>
      <c r="M79" s="89" t="s">
        <v>912</v>
      </c>
      <c r="N79" s="32" t="s">
        <v>1877</v>
      </c>
      <c r="O79" s="89" t="s">
        <v>1028</v>
      </c>
      <c r="P79" s="430"/>
      <c r="Q79" s="7" t="s">
        <v>1264</v>
      </c>
      <c r="R79" s="47" t="s">
        <v>2212</v>
      </c>
      <c r="S79" s="85" t="s">
        <v>2213</v>
      </c>
      <c r="T79" s="160" t="s">
        <v>868</v>
      </c>
    </row>
    <row r="80" spans="1:20" hidden="1">
      <c r="A80" s="7" t="s">
        <v>2214</v>
      </c>
      <c r="B80" s="47">
        <v>46114</v>
      </c>
      <c r="C80" s="7" t="s">
        <v>754</v>
      </c>
      <c r="D80" s="7" t="s">
        <v>906</v>
      </c>
      <c r="E80" s="32" t="s">
        <v>828</v>
      </c>
      <c r="F80" s="7" t="s">
        <v>39</v>
      </c>
      <c r="G80" s="7" t="s">
        <v>12</v>
      </c>
      <c r="H80" s="7" t="s">
        <v>1204</v>
      </c>
      <c r="I80" s="14" t="s">
        <v>2215</v>
      </c>
      <c r="J80" s="14" t="s">
        <v>2216</v>
      </c>
      <c r="K80" s="56" t="s">
        <v>2217</v>
      </c>
      <c r="L80" s="14" t="s">
        <v>39</v>
      </c>
      <c r="M80" s="32" t="s">
        <v>912</v>
      </c>
      <c r="N80" s="32" t="s">
        <v>912</v>
      </c>
      <c r="O80" s="7" t="s">
        <v>1017</v>
      </c>
      <c r="P80" s="43" t="s">
        <v>2218</v>
      </c>
      <c r="Q80" s="7" t="s">
        <v>3</v>
      </c>
      <c r="R80" s="47">
        <v>46175</v>
      </c>
      <c r="S80" s="4" t="s">
        <v>2219</v>
      </c>
      <c r="T80" s="178"/>
    </row>
    <row r="81" spans="1:20" hidden="1">
      <c r="A81" s="7" t="s">
        <v>2220</v>
      </c>
      <c r="B81" s="47">
        <v>46144</v>
      </c>
      <c r="C81" s="7" t="s">
        <v>746</v>
      </c>
      <c r="D81" s="7" t="s">
        <v>906</v>
      </c>
      <c r="E81" s="32" t="s">
        <v>755</v>
      </c>
      <c r="F81" s="7" t="s">
        <v>39</v>
      </c>
      <c r="G81" s="7" t="s">
        <v>12</v>
      </c>
      <c r="H81" s="7" t="s">
        <v>969</v>
      </c>
      <c r="I81" s="14" t="s">
        <v>2221</v>
      </c>
      <c r="J81" s="14" t="s">
        <v>2222</v>
      </c>
      <c r="K81" s="56" t="s">
        <v>2223</v>
      </c>
      <c r="L81" s="56" t="s">
        <v>2224</v>
      </c>
      <c r="M81" s="32" t="s">
        <v>912</v>
      </c>
      <c r="N81" s="32" t="s">
        <v>912</v>
      </c>
      <c r="O81" s="7" t="s">
        <v>1028</v>
      </c>
      <c r="P81" s="43" t="s">
        <v>2225</v>
      </c>
      <c r="Q81" s="7" t="s">
        <v>3</v>
      </c>
      <c r="R81" s="47">
        <v>46267</v>
      </c>
      <c r="S81" s="4" t="s">
        <v>2226</v>
      </c>
      <c r="T81" s="178"/>
    </row>
    <row r="82" spans="1:20" hidden="1">
      <c r="A82" s="7" t="s">
        <v>2227</v>
      </c>
      <c r="B82" s="47">
        <v>46144</v>
      </c>
      <c r="C82" s="7" t="s">
        <v>746</v>
      </c>
      <c r="D82" s="7" t="s">
        <v>906</v>
      </c>
      <c r="E82" s="32" t="s">
        <v>828</v>
      </c>
      <c r="F82" s="7" t="s">
        <v>39</v>
      </c>
      <c r="G82" s="7" t="s">
        <v>12</v>
      </c>
      <c r="H82" s="7" t="s">
        <v>1204</v>
      </c>
      <c r="I82" s="14" t="s">
        <v>2228</v>
      </c>
      <c r="J82" s="14" t="s">
        <v>2229</v>
      </c>
      <c r="K82" s="56" t="s">
        <v>2230</v>
      </c>
      <c r="L82" s="14" t="s">
        <v>39</v>
      </c>
      <c r="M82" s="32" t="s">
        <v>912</v>
      </c>
      <c r="N82" s="32" t="s">
        <v>912</v>
      </c>
      <c r="O82" s="7" t="s">
        <v>1017</v>
      </c>
      <c r="P82" s="43" t="s">
        <v>2231</v>
      </c>
      <c r="Q82" s="7" t="s">
        <v>3</v>
      </c>
      <c r="R82" s="47">
        <v>46175</v>
      </c>
      <c r="S82" s="4" t="s">
        <v>2232</v>
      </c>
      <c r="T82" s="178"/>
    </row>
    <row r="83" spans="1:20" hidden="1">
      <c r="A83" s="7" t="s">
        <v>2233</v>
      </c>
      <c r="B83" s="47">
        <v>46358</v>
      </c>
      <c r="C83" s="7" t="s">
        <v>754</v>
      </c>
      <c r="D83" s="7" t="s">
        <v>906</v>
      </c>
      <c r="E83" s="32" t="s">
        <v>828</v>
      </c>
      <c r="F83" s="7" t="s">
        <v>39</v>
      </c>
      <c r="G83" s="7" t="s">
        <v>12</v>
      </c>
      <c r="H83" s="7" t="s">
        <v>2234</v>
      </c>
      <c r="I83" s="14" t="s">
        <v>2235</v>
      </c>
      <c r="J83" s="14" t="s">
        <v>2236</v>
      </c>
      <c r="K83" s="56" t="s">
        <v>2237</v>
      </c>
      <c r="L83" s="14" t="s">
        <v>39</v>
      </c>
      <c r="M83" s="32" t="s">
        <v>912</v>
      </c>
      <c r="N83" s="32" t="s">
        <v>752</v>
      </c>
      <c r="O83" s="7"/>
      <c r="P83" s="14" t="s">
        <v>2238</v>
      </c>
      <c r="Q83" s="7" t="s">
        <v>5</v>
      </c>
      <c r="R83" s="7" t="s">
        <v>1026</v>
      </c>
      <c r="S83" s="4" t="s">
        <v>2239</v>
      </c>
      <c r="T83" s="178"/>
    </row>
    <row r="84" spans="1:20" hidden="1">
      <c r="A84" s="7" t="s">
        <v>2240</v>
      </c>
      <c r="B84" s="47">
        <v>46358</v>
      </c>
      <c r="C84" s="7" t="s">
        <v>746</v>
      </c>
      <c r="D84" s="7" t="s">
        <v>906</v>
      </c>
      <c r="E84" s="32" t="s">
        <v>1003</v>
      </c>
      <c r="F84" s="7" t="s">
        <v>39</v>
      </c>
      <c r="G84" s="7" t="s">
        <v>16</v>
      </c>
      <c r="H84" s="7" t="s">
        <v>756</v>
      </c>
      <c r="I84" s="14" t="s">
        <v>2241</v>
      </c>
      <c r="J84" s="14" t="s">
        <v>2242</v>
      </c>
      <c r="K84" s="28" t="s">
        <v>2243</v>
      </c>
      <c r="L84" s="14" t="s">
        <v>39</v>
      </c>
      <c r="M84" s="32" t="s">
        <v>912</v>
      </c>
      <c r="N84" s="32" t="s">
        <v>1877</v>
      </c>
      <c r="O84" s="148"/>
      <c r="P84" s="43"/>
      <c r="Q84" s="7" t="s">
        <v>3</v>
      </c>
      <c r="R84" s="7" t="s">
        <v>1879</v>
      </c>
      <c r="S84" s="4" t="s">
        <v>2244</v>
      </c>
      <c r="T84" s="160" t="s">
        <v>975</v>
      </c>
    </row>
    <row r="85" spans="1:20" hidden="1">
      <c r="A85" s="7" t="s">
        <v>2245</v>
      </c>
      <c r="B85" s="47">
        <v>46358</v>
      </c>
      <c r="C85" s="7" t="s">
        <v>746</v>
      </c>
      <c r="D85" s="7" t="s">
        <v>906</v>
      </c>
      <c r="E85" s="32" t="s">
        <v>1003</v>
      </c>
      <c r="F85" s="7" t="s">
        <v>39</v>
      </c>
      <c r="G85" s="7" t="s">
        <v>16</v>
      </c>
      <c r="H85" s="7" t="s">
        <v>756</v>
      </c>
      <c r="I85" s="14" t="s">
        <v>2246</v>
      </c>
      <c r="J85" s="14" t="s">
        <v>2247</v>
      </c>
      <c r="K85" s="28" t="s">
        <v>2248</v>
      </c>
      <c r="L85" s="14" t="s">
        <v>39</v>
      </c>
      <c r="M85" s="32" t="s">
        <v>912</v>
      </c>
      <c r="N85" s="32" t="s">
        <v>1877</v>
      </c>
      <c r="O85" s="148"/>
      <c r="P85" s="43"/>
      <c r="Q85" s="7" t="s">
        <v>3</v>
      </c>
      <c r="R85" s="7" t="s">
        <v>1879</v>
      </c>
      <c r="S85" s="4" t="s">
        <v>2249</v>
      </c>
      <c r="T85" s="160" t="s">
        <v>975</v>
      </c>
    </row>
    <row r="86" spans="1:20" hidden="1">
      <c r="A86" s="7" t="s">
        <v>2250</v>
      </c>
      <c r="B86" s="47" t="s">
        <v>2251</v>
      </c>
      <c r="C86" s="7" t="s">
        <v>769</v>
      </c>
      <c r="D86" s="7" t="s">
        <v>906</v>
      </c>
      <c r="E86" s="32" t="s">
        <v>828</v>
      </c>
      <c r="F86" s="7" t="s">
        <v>39</v>
      </c>
      <c r="G86" s="7" t="s">
        <v>6</v>
      </c>
      <c r="H86" s="7" t="s">
        <v>2252</v>
      </c>
      <c r="I86" s="14" t="s">
        <v>2253</v>
      </c>
      <c r="J86" s="14" t="s">
        <v>2254</v>
      </c>
      <c r="K86" s="56" t="s">
        <v>2255</v>
      </c>
      <c r="L86" s="14" t="s">
        <v>39</v>
      </c>
      <c r="M86" s="32" t="s">
        <v>749</v>
      </c>
      <c r="N86" s="32" t="s">
        <v>912</v>
      </c>
      <c r="O86" s="7" t="s">
        <v>1028</v>
      </c>
      <c r="P86" s="14" t="s">
        <v>1831</v>
      </c>
      <c r="Q86" s="7" t="s">
        <v>3</v>
      </c>
      <c r="R86" s="7" t="s">
        <v>1278</v>
      </c>
      <c r="S86" s="4" t="s">
        <v>2256</v>
      </c>
      <c r="T86" s="178"/>
    </row>
    <row r="87" spans="1:20">
      <c r="A87" s="7" t="s">
        <v>2257</v>
      </c>
      <c r="B87" s="47" t="s">
        <v>2251</v>
      </c>
      <c r="C87" s="7" t="s">
        <v>754</v>
      </c>
      <c r="D87" s="7" t="s">
        <v>906</v>
      </c>
      <c r="E87" s="32" t="s">
        <v>828</v>
      </c>
      <c r="F87" s="7" t="s">
        <v>39</v>
      </c>
      <c r="G87" s="7" t="s">
        <v>16</v>
      </c>
      <c r="H87" s="7" t="s">
        <v>2258</v>
      </c>
      <c r="I87" s="14" t="s">
        <v>2259</v>
      </c>
      <c r="J87" s="14" t="s">
        <v>2260</v>
      </c>
      <c r="K87" s="56" t="s">
        <v>2261</v>
      </c>
      <c r="L87" s="14" t="s">
        <v>39</v>
      </c>
      <c r="M87" s="32" t="s">
        <v>749</v>
      </c>
      <c r="N87" s="32" t="s">
        <v>1877</v>
      </c>
      <c r="O87" s="7"/>
      <c r="P87" s="14" t="s">
        <v>2262</v>
      </c>
      <c r="Q87" s="7" t="s">
        <v>4</v>
      </c>
      <c r="R87" s="47">
        <v>46056</v>
      </c>
      <c r="S87" s="4" t="s">
        <v>2263</v>
      </c>
      <c r="T87" s="178"/>
    </row>
    <row r="88" spans="1:20" hidden="1">
      <c r="A88" s="7" t="s">
        <v>2264</v>
      </c>
      <c r="B88" s="7" t="s">
        <v>1271</v>
      </c>
      <c r="C88" s="7" t="s">
        <v>746</v>
      </c>
      <c r="D88" s="7" t="s">
        <v>906</v>
      </c>
      <c r="E88" s="32" t="s">
        <v>1756</v>
      </c>
      <c r="F88" s="7" t="s">
        <v>39</v>
      </c>
      <c r="G88" s="7" t="s">
        <v>6</v>
      </c>
      <c r="H88" s="7" t="s">
        <v>907</v>
      </c>
      <c r="I88" s="14" t="s">
        <v>2265</v>
      </c>
      <c r="J88" s="14" t="s">
        <v>2266</v>
      </c>
      <c r="K88" s="56" t="s">
        <v>2267</v>
      </c>
      <c r="L88" s="14" t="s">
        <v>39</v>
      </c>
      <c r="M88" s="32" t="s">
        <v>749</v>
      </c>
      <c r="N88" s="32" t="s">
        <v>752</v>
      </c>
      <c r="O88" s="7"/>
      <c r="P88" s="14" t="s">
        <v>1716</v>
      </c>
      <c r="Q88" s="7" t="s">
        <v>4</v>
      </c>
      <c r="R88" s="47">
        <v>46056</v>
      </c>
      <c r="S88" s="4" t="s">
        <v>2268</v>
      </c>
      <c r="T88" s="178"/>
    </row>
    <row r="89" spans="1:20" hidden="1">
      <c r="A89" s="7" t="s">
        <v>2269</v>
      </c>
      <c r="B89" s="7" t="s">
        <v>1271</v>
      </c>
      <c r="C89" s="7" t="s">
        <v>746</v>
      </c>
      <c r="D89" s="7" t="s">
        <v>906</v>
      </c>
      <c r="E89" s="32" t="s">
        <v>828</v>
      </c>
      <c r="F89" s="7" t="s">
        <v>39</v>
      </c>
      <c r="G89" s="7" t="s">
        <v>6</v>
      </c>
      <c r="H89" s="7" t="s">
        <v>907</v>
      </c>
      <c r="I89" s="14" t="s">
        <v>2270</v>
      </c>
      <c r="J89" s="14" t="s">
        <v>2271</v>
      </c>
      <c r="K89" s="56" t="s">
        <v>2272</v>
      </c>
      <c r="L89" s="14" t="s">
        <v>39</v>
      </c>
      <c r="M89" s="32" t="s">
        <v>749</v>
      </c>
      <c r="N89" s="32" t="s">
        <v>752</v>
      </c>
      <c r="O89" s="7"/>
      <c r="P89" s="14" t="s">
        <v>2103</v>
      </c>
      <c r="Q89" s="7" t="s">
        <v>3</v>
      </c>
      <c r="R89" s="7" t="s">
        <v>1026</v>
      </c>
      <c r="S89" s="4" t="s">
        <v>2273</v>
      </c>
      <c r="T89" s="178"/>
    </row>
    <row r="90" spans="1:20">
      <c r="A90" s="7" t="s">
        <v>2274</v>
      </c>
      <c r="B90" s="7" t="s">
        <v>2275</v>
      </c>
      <c r="C90" s="7" t="s">
        <v>754</v>
      </c>
      <c r="D90" s="7" t="s">
        <v>906</v>
      </c>
      <c r="E90" s="32" t="s">
        <v>828</v>
      </c>
      <c r="F90" s="7" t="s">
        <v>39</v>
      </c>
      <c r="G90" s="7" t="s">
        <v>16</v>
      </c>
      <c r="H90" s="7" t="s">
        <v>2276</v>
      </c>
      <c r="I90" s="14" t="s">
        <v>2277</v>
      </c>
      <c r="J90" s="14" t="s">
        <v>2278</v>
      </c>
      <c r="K90" s="28" t="s">
        <v>2279</v>
      </c>
      <c r="L90" s="14" t="s">
        <v>39</v>
      </c>
      <c r="M90" s="32" t="s">
        <v>912</v>
      </c>
      <c r="N90" s="32" t="s">
        <v>1877</v>
      </c>
      <c r="O90" s="7"/>
      <c r="P90" s="43"/>
      <c r="Q90" s="7" t="s">
        <v>4</v>
      </c>
      <c r="R90" s="7"/>
      <c r="S90" s="4"/>
      <c r="T90" s="178"/>
    </row>
    <row r="91" spans="1:20">
      <c r="A91" s="7" t="s">
        <v>2280</v>
      </c>
      <c r="B91" s="7" t="s">
        <v>1879</v>
      </c>
      <c r="C91" s="7" t="s">
        <v>754</v>
      </c>
      <c r="D91" s="7" t="s">
        <v>906</v>
      </c>
      <c r="E91" s="32" t="s">
        <v>755</v>
      </c>
      <c r="F91" s="7" t="s">
        <v>466</v>
      </c>
      <c r="G91" s="7" t="s">
        <v>16</v>
      </c>
      <c r="H91" s="7" t="s">
        <v>2281</v>
      </c>
      <c r="I91" s="61" t="s">
        <v>2282</v>
      </c>
      <c r="J91" s="14" t="s">
        <v>2283</v>
      </c>
      <c r="K91" s="28" t="s">
        <v>2284</v>
      </c>
      <c r="L91" s="14" t="s">
        <v>39</v>
      </c>
      <c r="M91" s="32" t="s">
        <v>912</v>
      </c>
      <c r="N91" s="32" t="s">
        <v>1877</v>
      </c>
      <c r="O91" s="7"/>
      <c r="P91" s="43"/>
      <c r="Q91" s="7" t="s">
        <v>4</v>
      </c>
      <c r="R91" s="7"/>
      <c r="S91" s="4"/>
      <c r="T91" s="178"/>
    </row>
    <row r="92" spans="1:20">
      <c r="A92" s="7" t="s">
        <v>2285</v>
      </c>
      <c r="B92" s="7" t="s">
        <v>1879</v>
      </c>
      <c r="C92" s="7" t="s">
        <v>754</v>
      </c>
      <c r="D92" s="7" t="s">
        <v>906</v>
      </c>
      <c r="E92" s="32" t="s">
        <v>1003</v>
      </c>
      <c r="F92" s="7" t="s">
        <v>39</v>
      </c>
      <c r="G92" s="7" t="s">
        <v>16</v>
      </c>
      <c r="H92" s="7" t="s">
        <v>1171</v>
      </c>
      <c r="I92" s="61" t="s">
        <v>2286</v>
      </c>
      <c r="J92" s="14" t="s">
        <v>2287</v>
      </c>
      <c r="K92" s="28" t="s">
        <v>2288</v>
      </c>
      <c r="L92" s="14" t="s">
        <v>39</v>
      </c>
      <c r="M92" s="32" t="s">
        <v>912</v>
      </c>
      <c r="N92" s="32" t="s">
        <v>1877</v>
      </c>
      <c r="O92" s="7"/>
      <c r="P92" s="43"/>
      <c r="Q92" s="7" t="s">
        <v>4</v>
      </c>
      <c r="R92" s="7" t="s">
        <v>1382</v>
      </c>
      <c r="S92" s="4" t="s">
        <v>2289</v>
      </c>
      <c r="T92" s="178"/>
    </row>
    <row r="93" spans="1:20">
      <c r="A93" s="7" t="s">
        <v>2290</v>
      </c>
      <c r="B93" s="7" t="s">
        <v>1879</v>
      </c>
      <c r="C93" s="7" t="s">
        <v>754</v>
      </c>
      <c r="D93" s="7" t="s">
        <v>906</v>
      </c>
      <c r="E93" s="32" t="s">
        <v>2291</v>
      </c>
      <c r="F93" s="7" t="s">
        <v>466</v>
      </c>
      <c r="G93" s="7" t="s">
        <v>16</v>
      </c>
      <c r="H93" s="7" t="s">
        <v>2292</v>
      </c>
      <c r="I93" s="14" t="s">
        <v>2293</v>
      </c>
      <c r="J93" s="14" t="s">
        <v>2294</v>
      </c>
      <c r="K93" s="28" t="s">
        <v>2295</v>
      </c>
      <c r="L93" s="14" t="s">
        <v>39</v>
      </c>
      <c r="M93" s="32" t="s">
        <v>912</v>
      </c>
      <c r="N93" s="32" t="s">
        <v>1877</v>
      </c>
      <c r="O93" s="7"/>
      <c r="P93" s="43"/>
      <c r="Q93" s="7" t="s">
        <v>4</v>
      </c>
      <c r="R93" s="7" t="s">
        <v>1564</v>
      </c>
      <c r="S93" s="4" t="s">
        <v>2296</v>
      </c>
      <c r="T93" s="178"/>
    </row>
    <row r="94" spans="1:20">
      <c r="A94" s="7" t="s">
        <v>2297</v>
      </c>
      <c r="B94" s="7" t="s">
        <v>1879</v>
      </c>
      <c r="C94" s="7" t="s">
        <v>754</v>
      </c>
      <c r="D94" s="7" t="s">
        <v>906</v>
      </c>
      <c r="E94" s="32" t="s">
        <v>767</v>
      </c>
      <c r="F94" s="7" t="s">
        <v>466</v>
      </c>
      <c r="G94" s="7" t="s">
        <v>16</v>
      </c>
      <c r="H94" s="7" t="s">
        <v>2292</v>
      </c>
      <c r="I94" s="14" t="s">
        <v>2298</v>
      </c>
      <c r="J94" s="14" t="s">
        <v>2299</v>
      </c>
      <c r="K94" s="28" t="s">
        <v>2300</v>
      </c>
      <c r="L94" s="14" t="s">
        <v>39</v>
      </c>
      <c r="M94" s="32" t="s">
        <v>912</v>
      </c>
      <c r="N94" s="32" t="s">
        <v>1877</v>
      </c>
      <c r="O94" s="7"/>
      <c r="P94" s="43"/>
      <c r="Q94" s="7" t="s">
        <v>4</v>
      </c>
      <c r="R94" s="7" t="s">
        <v>1564</v>
      </c>
      <c r="S94" s="4" t="s">
        <v>2296</v>
      </c>
      <c r="T94" s="178"/>
    </row>
    <row r="95" spans="1:20">
      <c r="A95" s="151" t="s">
        <v>2301</v>
      </c>
      <c r="B95" s="151" t="s">
        <v>1879</v>
      </c>
      <c r="C95" s="151" t="s">
        <v>746</v>
      </c>
      <c r="D95" s="151" t="s">
        <v>906</v>
      </c>
      <c r="E95" s="152" t="s">
        <v>828</v>
      </c>
      <c r="F95" s="151" t="s">
        <v>39</v>
      </c>
      <c r="G95" s="151" t="s">
        <v>16</v>
      </c>
      <c r="H95" s="151" t="s">
        <v>2302</v>
      </c>
      <c r="I95" s="154" t="s">
        <v>2303</v>
      </c>
      <c r="J95" s="154" t="s">
        <v>2304</v>
      </c>
      <c r="K95" s="155" t="s">
        <v>2305</v>
      </c>
      <c r="L95" s="154" t="s">
        <v>39</v>
      </c>
      <c r="M95" s="152" t="s">
        <v>1009</v>
      </c>
      <c r="N95" s="152" t="s">
        <v>752</v>
      </c>
      <c r="O95" s="151"/>
      <c r="P95" s="164"/>
      <c r="Q95" s="151" t="s">
        <v>3</v>
      </c>
      <c r="R95" s="151" t="s">
        <v>490</v>
      </c>
      <c r="S95" s="156" t="s">
        <v>2306</v>
      </c>
      <c r="T95" s="291"/>
    </row>
    <row r="96" spans="1:20" hidden="1">
      <c r="A96" s="7" t="s">
        <v>2307</v>
      </c>
      <c r="B96" s="7" t="s">
        <v>1278</v>
      </c>
      <c r="C96" s="7" t="s">
        <v>746</v>
      </c>
      <c r="D96" s="7" t="s">
        <v>906</v>
      </c>
      <c r="E96" s="32" t="s">
        <v>828</v>
      </c>
      <c r="F96" s="7" t="s">
        <v>39</v>
      </c>
      <c r="G96" s="7" t="s">
        <v>6</v>
      </c>
      <c r="H96" s="7" t="s">
        <v>907</v>
      </c>
      <c r="I96" s="14" t="s">
        <v>2308</v>
      </c>
      <c r="J96" s="14" t="s">
        <v>2309</v>
      </c>
      <c r="K96" s="28" t="s">
        <v>2310</v>
      </c>
      <c r="L96" s="14" t="s">
        <v>39</v>
      </c>
      <c r="M96" s="32" t="s">
        <v>912</v>
      </c>
      <c r="N96" s="32" t="s">
        <v>912</v>
      </c>
      <c r="O96" s="7"/>
      <c r="P96" s="43"/>
      <c r="Q96" s="7" t="s">
        <v>3</v>
      </c>
      <c r="R96" s="47">
        <v>46145</v>
      </c>
      <c r="S96" s="4" t="s">
        <v>2311</v>
      </c>
      <c r="T96" s="178"/>
    </row>
    <row r="97" spans="1:20" hidden="1">
      <c r="A97" s="7" t="s">
        <v>2312</v>
      </c>
      <c r="B97" s="7" t="s">
        <v>1278</v>
      </c>
      <c r="C97" s="7" t="s">
        <v>746</v>
      </c>
      <c r="D97" s="7" t="s">
        <v>906</v>
      </c>
      <c r="E97" s="32" t="s">
        <v>828</v>
      </c>
      <c r="F97" s="7" t="s">
        <v>39</v>
      </c>
      <c r="G97" s="7" t="s">
        <v>6</v>
      </c>
      <c r="H97" s="7" t="s">
        <v>907</v>
      </c>
      <c r="I97" s="14" t="s">
        <v>2313</v>
      </c>
      <c r="J97" s="14" t="s">
        <v>2314</v>
      </c>
      <c r="K97" s="28" t="s">
        <v>2315</v>
      </c>
      <c r="L97" s="14" t="s">
        <v>39</v>
      </c>
      <c r="M97" s="32" t="s">
        <v>912</v>
      </c>
      <c r="N97" s="32" t="s">
        <v>752</v>
      </c>
      <c r="O97" s="7"/>
      <c r="P97" s="43"/>
      <c r="Q97" s="7" t="s">
        <v>1264</v>
      </c>
      <c r="R97" s="47">
        <v>46145</v>
      </c>
      <c r="S97" s="4" t="s">
        <v>2316</v>
      </c>
      <c r="T97" s="178"/>
    </row>
    <row r="98" spans="1:20" hidden="1">
      <c r="A98" s="7" t="s">
        <v>2317</v>
      </c>
      <c r="B98" s="7" t="s">
        <v>1278</v>
      </c>
      <c r="C98" s="7" t="s">
        <v>746</v>
      </c>
      <c r="D98" s="7" t="s">
        <v>906</v>
      </c>
      <c r="E98" s="32" t="s">
        <v>828</v>
      </c>
      <c r="F98" s="7" t="s">
        <v>39</v>
      </c>
      <c r="G98" s="7" t="s">
        <v>6</v>
      </c>
      <c r="H98" s="7" t="s">
        <v>907</v>
      </c>
      <c r="I98" s="14" t="s">
        <v>2318</v>
      </c>
      <c r="J98" s="14" t="s">
        <v>2319</v>
      </c>
      <c r="K98" s="28" t="s">
        <v>2320</v>
      </c>
      <c r="L98" s="14" t="s">
        <v>39</v>
      </c>
      <c r="M98" s="32" t="s">
        <v>912</v>
      </c>
      <c r="N98" s="32" t="s">
        <v>752</v>
      </c>
      <c r="O98" s="7"/>
      <c r="P98" s="43"/>
      <c r="Q98" s="7" t="s">
        <v>1264</v>
      </c>
      <c r="R98" s="47">
        <v>46145</v>
      </c>
      <c r="S98" s="4" t="s">
        <v>2321</v>
      </c>
      <c r="T98" s="178"/>
    </row>
    <row r="99" spans="1:20" hidden="1">
      <c r="A99" s="7" t="s">
        <v>2322</v>
      </c>
      <c r="B99" s="7" t="s">
        <v>1278</v>
      </c>
      <c r="C99" s="7" t="s">
        <v>746</v>
      </c>
      <c r="D99" s="7" t="s">
        <v>906</v>
      </c>
      <c r="E99" s="32" t="s">
        <v>828</v>
      </c>
      <c r="F99" s="7" t="s">
        <v>39</v>
      </c>
      <c r="G99" s="7" t="s">
        <v>6</v>
      </c>
      <c r="H99" s="7" t="s">
        <v>907</v>
      </c>
      <c r="I99" s="14" t="s">
        <v>2323</v>
      </c>
      <c r="J99" s="14" t="s">
        <v>2324</v>
      </c>
      <c r="K99" s="28" t="s">
        <v>2325</v>
      </c>
      <c r="L99" s="14" t="s">
        <v>39</v>
      </c>
      <c r="M99" s="32" t="s">
        <v>912</v>
      </c>
      <c r="N99" s="32" t="s">
        <v>752</v>
      </c>
      <c r="O99" s="7"/>
      <c r="P99" s="43"/>
      <c r="Q99" s="7" t="s">
        <v>1264</v>
      </c>
      <c r="R99" s="47">
        <v>46145</v>
      </c>
      <c r="S99" s="4" t="s">
        <v>2326</v>
      </c>
      <c r="T99" s="178"/>
    </row>
    <row r="100" spans="1:20" hidden="1">
      <c r="A100" s="7" t="s">
        <v>2327</v>
      </c>
      <c r="B100" s="7" t="s">
        <v>1278</v>
      </c>
      <c r="C100" s="7" t="s">
        <v>746</v>
      </c>
      <c r="D100" s="7" t="s">
        <v>906</v>
      </c>
      <c r="E100" s="32" t="s">
        <v>828</v>
      </c>
      <c r="F100" s="7" t="s">
        <v>1252</v>
      </c>
      <c r="G100" s="7" t="s">
        <v>6</v>
      </c>
      <c r="H100" s="7" t="s">
        <v>907</v>
      </c>
      <c r="I100" s="14" t="s">
        <v>2328</v>
      </c>
      <c r="J100" s="14" t="s">
        <v>2329</v>
      </c>
      <c r="K100" s="28" t="s">
        <v>2330</v>
      </c>
      <c r="L100" s="14" t="s">
        <v>39</v>
      </c>
      <c r="M100" s="32" t="s">
        <v>912</v>
      </c>
      <c r="N100" s="32" t="s">
        <v>752</v>
      </c>
      <c r="O100" s="7"/>
      <c r="P100" s="43"/>
      <c r="Q100" s="7" t="s">
        <v>3</v>
      </c>
      <c r="R100" s="7" t="s">
        <v>1382</v>
      </c>
      <c r="S100" s="4" t="s">
        <v>2331</v>
      </c>
      <c r="T100" s="178"/>
    </row>
    <row r="101" spans="1:20" hidden="1">
      <c r="A101" s="7" t="s">
        <v>2332</v>
      </c>
      <c r="B101" s="7" t="s">
        <v>1278</v>
      </c>
      <c r="C101" s="7" t="s">
        <v>746</v>
      </c>
      <c r="D101" s="7" t="s">
        <v>906</v>
      </c>
      <c r="E101" s="32" t="s">
        <v>828</v>
      </c>
      <c r="F101" s="7" t="s">
        <v>39</v>
      </c>
      <c r="G101" s="7" t="s">
        <v>6</v>
      </c>
      <c r="H101" s="7" t="s">
        <v>907</v>
      </c>
      <c r="I101" s="14" t="s">
        <v>2333</v>
      </c>
      <c r="J101" s="14" t="s">
        <v>2334</v>
      </c>
      <c r="K101" s="28" t="s">
        <v>2335</v>
      </c>
      <c r="L101" s="14" t="s">
        <v>39</v>
      </c>
      <c r="M101" s="32" t="s">
        <v>912</v>
      </c>
      <c r="N101" s="32" t="s">
        <v>752</v>
      </c>
      <c r="O101" s="7"/>
      <c r="P101" s="43"/>
      <c r="Q101" s="7" t="s">
        <v>3</v>
      </c>
      <c r="R101" s="7" t="s">
        <v>1382</v>
      </c>
      <c r="S101" s="4" t="s">
        <v>2336</v>
      </c>
      <c r="T101" s="178"/>
    </row>
    <row r="102" spans="1:20" hidden="1">
      <c r="A102" s="7" t="s">
        <v>2337</v>
      </c>
      <c r="B102" s="7" t="s">
        <v>1382</v>
      </c>
      <c r="C102" s="7" t="s">
        <v>746</v>
      </c>
      <c r="D102" s="7" t="s">
        <v>906</v>
      </c>
      <c r="E102" s="32" t="s">
        <v>828</v>
      </c>
      <c r="F102" s="7" t="s">
        <v>39</v>
      </c>
      <c r="G102" s="7" t="s">
        <v>6</v>
      </c>
      <c r="H102" s="7" t="s">
        <v>907</v>
      </c>
      <c r="I102" s="14" t="s">
        <v>2338</v>
      </c>
      <c r="J102" s="14" t="s">
        <v>2339</v>
      </c>
      <c r="K102" s="28" t="s">
        <v>2340</v>
      </c>
      <c r="L102" s="14" t="s">
        <v>39</v>
      </c>
      <c r="M102" s="32" t="s">
        <v>912</v>
      </c>
      <c r="N102" s="32" t="s">
        <v>752</v>
      </c>
      <c r="O102" s="7"/>
      <c r="P102" s="43"/>
      <c r="Q102" s="7" t="s">
        <v>3</v>
      </c>
      <c r="R102" s="47">
        <v>46145</v>
      </c>
      <c r="S102" s="4" t="s">
        <v>2341</v>
      </c>
      <c r="T102" s="178"/>
    </row>
    <row r="103" spans="1:20" hidden="1">
      <c r="A103" s="151" t="s">
        <v>2342</v>
      </c>
      <c r="B103" s="151" t="s">
        <v>1382</v>
      </c>
      <c r="C103" s="151" t="s">
        <v>746</v>
      </c>
      <c r="D103" s="151" t="s">
        <v>906</v>
      </c>
      <c r="E103" s="152" t="s">
        <v>828</v>
      </c>
      <c r="F103" s="151" t="s">
        <v>39</v>
      </c>
      <c r="G103" s="151" t="s">
        <v>6</v>
      </c>
      <c r="H103" s="151" t="s">
        <v>2302</v>
      </c>
      <c r="I103" s="154" t="s">
        <v>2343</v>
      </c>
      <c r="J103" s="154" t="s">
        <v>2344</v>
      </c>
      <c r="K103" s="155" t="s">
        <v>2345</v>
      </c>
      <c r="L103" s="154" t="s">
        <v>39</v>
      </c>
      <c r="M103" s="152" t="s">
        <v>912</v>
      </c>
      <c r="N103" s="152" t="s">
        <v>752</v>
      </c>
      <c r="O103" s="151"/>
      <c r="P103" s="164"/>
      <c r="Q103" s="151" t="s">
        <v>1264</v>
      </c>
      <c r="R103" s="157">
        <v>46145</v>
      </c>
      <c r="S103" s="156" t="s">
        <v>2346</v>
      </c>
      <c r="T103" s="291"/>
    </row>
    <row r="104" spans="1:20" hidden="1">
      <c r="A104" s="151" t="s">
        <v>2347</v>
      </c>
      <c r="B104" s="151" t="s">
        <v>1382</v>
      </c>
      <c r="C104" s="151" t="s">
        <v>746</v>
      </c>
      <c r="D104" s="151" t="s">
        <v>906</v>
      </c>
      <c r="E104" s="152" t="s">
        <v>828</v>
      </c>
      <c r="F104" s="151" t="s">
        <v>39</v>
      </c>
      <c r="G104" s="151" t="s">
        <v>6</v>
      </c>
      <c r="H104" s="151" t="s">
        <v>2302</v>
      </c>
      <c r="I104" s="154" t="s">
        <v>2348</v>
      </c>
      <c r="J104" s="154" t="s">
        <v>2349</v>
      </c>
      <c r="K104" s="155" t="s">
        <v>2350</v>
      </c>
      <c r="L104" s="154" t="s">
        <v>39</v>
      </c>
      <c r="M104" s="152" t="s">
        <v>912</v>
      </c>
      <c r="N104" s="152" t="s">
        <v>752</v>
      </c>
      <c r="O104" s="151"/>
      <c r="P104" s="164"/>
      <c r="Q104" s="151" t="s">
        <v>1264</v>
      </c>
      <c r="R104" s="157">
        <v>46145</v>
      </c>
      <c r="S104" s="156" t="s">
        <v>2346</v>
      </c>
      <c r="T104" s="291"/>
    </row>
    <row r="105" spans="1:20" hidden="1">
      <c r="A105" s="7" t="s">
        <v>2351</v>
      </c>
      <c r="B105" s="7" t="s">
        <v>1382</v>
      </c>
      <c r="C105" s="7" t="s">
        <v>746</v>
      </c>
      <c r="D105" s="7" t="s">
        <v>906</v>
      </c>
      <c r="E105" s="32" t="s">
        <v>828</v>
      </c>
      <c r="F105" s="7" t="s">
        <v>39</v>
      </c>
      <c r="G105" s="7" t="s">
        <v>6</v>
      </c>
      <c r="H105" s="7" t="s">
        <v>907</v>
      </c>
      <c r="I105" s="14" t="s">
        <v>2352</v>
      </c>
      <c r="J105" s="14" t="s">
        <v>2353</v>
      </c>
      <c r="K105" s="28" t="s">
        <v>2354</v>
      </c>
      <c r="L105" s="14" t="s">
        <v>39</v>
      </c>
      <c r="M105" s="32" t="s">
        <v>912</v>
      </c>
      <c r="N105" s="32" t="s">
        <v>912</v>
      </c>
      <c r="O105" s="7"/>
      <c r="P105" s="43"/>
      <c r="Q105" s="7" t="s">
        <v>3</v>
      </c>
      <c r="R105" s="47">
        <v>46145</v>
      </c>
      <c r="S105" s="4" t="s">
        <v>2355</v>
      </c>
      <c r="T105" s="178"/>
    </row>
    <row r="106" spans="1:20" hidden="1">
      <c r="A106" s="7" t="s">
        <v>2356</v>
      </c>
      <c r="B106" s="7" t="s">
        <v>1382</v>
      </c>
      <c r="C106" s="7" t="s">
        <v>746</v>
      </c>
      <c r="D106" s="7" t="s">
        <v>906</v>
      </c>
      <c r="E106" s="32" t="s">
        <v>1003</v>
      </c>
      <c r="F106" s="7" t="s">
        <v>39</v>
      </c>
      <c r="G106" s="7" t="s">
        <v>6</v>
      </c>
      <c r="H106" s="7" t="s">
        <v>1004</v>
      </c>
      <c r="I106" s="14" t="s">
        <v>2357</v>
      </c>
      <c r="J106" s="14" t="s">
        <v>2358</v>
      </c>
      <c r="K106" s="28" t="s">
        <v>2359</v>
      </c>
      <c r="L106" s="14" t="s">
        <v>39</v>
      </c>
      <c r="M106" s="32" t="s">
        <v>912</v>
      </c>
      <c r="N106" s="32" t="s">
        <v>752</v>
      </c>
      <c r="O106" s="7"/>
      <c r="P106" s="43"/>
      <c r="Q106" s="7" t="s">
        <v>1264</v>
      </c>
      <c r="R106" s="47">
        <v>46145</v>
      </c>
      <c r="S106" s="4" t="s">
        <v>2360</v>
      </c>
      <c r="T106" s="178"/>
    </row>
    <row r="107" spans="1:20" hidden="1">
      <c r="A107" s="7" t="s">
        <v>2361</v>
      </c>
      <c r="B107" s="7" t="s">
        <v>1382</v>
      </c>
      <c r="C107" s="7" t="s">
        <v>746</v>
      </c>
      <c r="D107" s="7" t="s">
        <v>906</v>
      </c>
      <c r="E107" s="32" t="s">
        <v>1574</v>
      </c>
      <c r="F107" s="7" t="s">
        <v>39</v>
      </c>
      <c r="G107" s="7" t="s">
        <v>6</v>
      </c>
      <c r="H107" s="7" t="s">
        <v>1004</v>
      </c>
      <c r="I107" s="14" t="s">
        <v>2362</v>
      </c>
      <c r="J107" s="14" t="s">
        <v>2363</v>
      </c>
      <c r="K107" s="28" t="s">
        <v>2364</v>
      </c>
      <c r="L107" s="14" t="s">
        <v>39</v>
      </c>
      <c r="M107" s="32" t="s">
        <v>912</v>
      </c>
      <c r="N107" s="32" t="s">
        <v>752</v>
      </c>
      <c r="O107" s="7"/>
      <c r="P107" s="43"/>
      <c r="Q107" s="7" t="s">
        <v>4</v>
      </c>
      <c r="R107" s="7"/>
      <c r="S107" s="4"/>
      <c r="T107" s="178"/>
    </row>
    <row r="108" spans="1:20" hidden="1">
      <c r="A108" s="7" t="s">
        <v>2365</v>
      </c>
      <c r="B108" s="7" t="s">
        <v>1382</v>
      </c>
      <c r="C108" s="7" t="s">
        <v>746</v>
      </c>
      <c r="D108" s="7" t="s">
        <v>906</v>
      </c>
      <c r="E108" s="32" t="s">
        <v>828</v>
      </c>
      <c r="F108" s="7" t="s">
        <v>39</v>
      </c>
      <c r="G108" s="7" t="s">
        <v>6</v>
      </c>
      <c r="H108" s="7" t="s">
        <v>1109</v>
      </c>
      <c r="I108" s="14" t="s">
        <v>2366</v>
      </c>
      <c r="J108" s="14" t="s">
        <v>2367</v>
      </c>
      <c r="K108" s="28" t="s">
        <v>2368</v>
      </c>
      <c r="L108" s="14" t="s">
        <v>39</v>
      </c>
      <c r="M108" s="32" t="s">
        <v>912</v>
      </c>
      <c r="N108" s="32" t="s">
        <v>752</v>
      </c>
      <c r="O108" s="7"/>
      <c r="P108" s="43"/>
      <c r="Q108" s="7" t="s">
        <v>4</v>
      </c>
      <c r="R108" s="7"/>
      <c r="S108" s="4"/>
      <c r="T108" s="178"/>
    </row>
    <row r="109" spans="1:20" hidden="1">
      <c r="A109" s="7" t="s">
        <v>2369</v>
      </c>
      <c r="B109" s="7" t="s">
        <v>1382</v>
      </c>
      <c r="C109" s="7" t="s">
        <v>754</v>
      </c>
      <c r="D109" s="7" t="s">
        <v>906</v>
      </c>
      <c r="E109" s="32" t="s">
        <v>828</v>
      </c>
      <c r="F109" s="7" t="s">
        <v>39</v>
      </c>
      <c r="G109" s="7" t="s">
        <v>6</v>
      </c>
      <c r="H109" s="7" t="s">
        <v>907</v>
      </c>
      <c r="I109" s="14" t="s">
        <v>2370</v>
      </c>
      <c r="J109" s="14" t="s">
        <v>2371</v>
      </c>
      <c r="K109" s="28" t="s">
        <v>2372</v>
      </c>
      <c r="L109" s="14" t="s">
        <v>39</v>
      </c>
      <c r="M109" s="32" t="s">
        <v>912</v>
      </c>
      <c r="N109" s="32" t="s">
        <v>912</v>
      </c>
      <c r="O109" s="7"/>
      <c r="P109" s="43"/>
      <c r="Q109" s="7" t="s">
        <v>3</v>
      </c>
      <c r="R109" s="47">
        <v>46145</v>
      </c>
      <c r="S109" s="4" t="s">
        <v>2373</v>
      </c>
      <c r="T109" s="178"/>
    </row>
    <row r="110" spans="1:20" hidden="1">
      <c r="A110" s="7" t="s">
        <v>2374</v>
      </c>
      <c r="B110" s="7" t="s">
        <v>1382</v>
      </c>
      <c r="C110" s="7" t="s">
        <v>754</v>
      </c>
      <c r="D110" s="7" t="s">
        <v>906</v>
      </c>
      <c r="E110" s="32" t="s">
        <v>828</v>
      </c>
      <c r="F110" s="7" t="s">
        <v>39</v>
      </c>
      <c r="G110" s="7" t="s">
        <v>6</v>
      </c>
      <c r="H110" s="7" t="s">
        <v>907</v>
      </c>
      <c r="I110" s="14" t="s">
        <v>2375</v>
      </c>
      <c r="J110" s="14" t="s">
        <v>2376</v>
      </c>
      <c r="K110" s="28" t="s">
        <v>2377</v>
      </c>
      <c r="L110" s="14" t="s">
        <v>39</v>
      </c>
      <c r="M110" s="32" t="s">
        <v>912</v>
      </c>
      <c r="N110" s="32" t="s">
        <v>912</v>
      </c>
      <c r="O110" s="7"/>
      <c r="P110" s="43"/>
      <c r="Q110" s="7" t="s">
        <v>3</v>
      </c>
      <c r="R110" s="47">
        <v>46145</v>
      </c>
      <c r="S110" s="4" t="s">
        <v>2355</v>
      </c>
      <c r="T110" s="178"/>
    </row>
    <row r="111" spans="1:20" hidden="1">
      <c r="A111" s="7" t="s">
        <v>2378</v>
      </c>
      <c r="B111" s="7" t="s">
        <v>1382</v>
      </c>
      <c r="C111" s="7" t="s">
        <v>754</v>
      </c>
      <c r="D111" s="7" t="s">
        <v>906</v>
      </c>
      <c r="E111" s="32" t="s">
        <v>828</v>
      </c>
      <c r="F111" s="7" t="s">
        <v>39</v>
      </c>
      <c r="G111" s="7" t="s">
        <v>6</v>
      </c>
      <c r="H111" s="7" t="s">
        <v>907</v>
      </c>
      <c r="I111" s="14" t="s">
        <v>2379</v>
      </c>
      <c r="J111" s="14" t="s">
        <v>2380</v>
      </c>
      <c r="K111" s="28" t="s">
        <v>2381</v>
      </c>
      <c r="L111" s="14" t="s">
        <v>39</v>
      </c>
      <c r="M111" s="32" t="s">
        <v>912</v>
      </c>
      <c r="N111" s="32" t="s">
        <v>912</v>
      </c>
      <c r="O111" s="7"/>
      <c r="P111" s="43"/>
      <c r="Q111" s="7" t="s">
        <v>3</v>
      </c>
      <c r="R111" s="47">
        <v>46145</v>
      </c>
      <c r="S111" s="4" t="s">
        <v>2355</v>
      </c>
      <c r="T111" s="178"/>
    </row>
    <row r="112" spans="1:20" hidden="1">
      <c r="A112" s="7" t="s">
        <v>2382</v>
      </c>
      <c r="B112" s="7" t="s">
        <v>1382</v>
      </c>
      <c r="C112" s="7" t="s">
        <v>754</v>
      </c>
      <c r="D112" s="7" t="s">
        <v>906</v>
      </c>
      <c r="E112" s="32" t="s">
        <v>828</v>
      </c>
      <c r="F112" s="7" t="s">
        <v>39</v>
      </c>
      <c r="G112" s="7" t="s">
        <v>6</v>
      </c>
      <c r="H112" s="7" t="s">
        <v>907</v>
      </c>
      <c r="I112" s="14" t="s">
        <v>2383</v>
      </c>
      <c r="J112" s="14" t="s">
        <v>2384</v>
      </c>
      <c r="K112" s="28" t="s">
        <v>2385</v>
      </c>
      <c r="L112" s="14" t="s">
        <v>39</v>
      </c>
      <c r="M112" s="32" t="s">
        <v>912</v>
      </c>
      <c r="N112" s="32" t="s">
        <v>912</v>
      </c>
      <c r="O112" s="7"/>
      <c r="P112" s="43"/>
      <c r="Q112" s="7" t="s">
        <v>3</v>
      </c>
      <c r="R112" s="47">
        <v>46145</v>
      </c>
      <c r="S112" s="4" t="s">
        <v>2355</v>
      </c>
      <c r="T112" s="178"/>
    </row>
    <row r="113" spans="1:20" hidden="1">
      <c r="A113" s="7" t="s">
        <v>2386</v>
      </c>
      <c r="B113" s="7" t="s">
        <v>1382</v>
      </c>
      <c r="C113" s="7" t="s">
        <v>754</v>
      </c>
      <c r="D113" s="7" t="s">
        <v>906</v>
      </c>
      <c r="E113" s="32" t="s">
        <v>828</v>
      </c>
      <c r="F113" s="7" t="s">
        <v>39</v>
      </c>
      <c r="G113" s="7" t="s">
        <v>6</v>
      </c>
      <c r="H113" s="7" t="s">
        <v>907</v>
      </c>
      <c r="I113" s="14" t="s">
        <v>2387</v>
      </c>
      <c r="J113" s="14" t="s">
        <v>2388</v>
      </c>
      <c r="K113" s="28" t="s">
        <v>2389</v>
      </c>
      <c r="L113" s="14" t="s">
        <v>39</v>
      </c>
      <c r="M113" s="32" t="s">
        <v>912</v>
      </c>
      <c r="N113" s="32" t="s">
        <v>912</v>
      </c>
      <c r="O113" s="7"/>
      <c r="P113" s="43"/>
      <c r="Q113" s="7" t="s">
        <v>3</v>
      </c>
      <c r="R113" s="47">
        <v>46145</v>
      </c>
      <c r="S113" s="4" t="s">
        <v>2355</v>
      </c>
      <c r="T113" s="178"/>
    </row>
    <row r="114" spans="1:20" hidden="1">
      <c r="A114" s="7" t="s">
        <v>2390</v>
      </c>
      <c r="B114" s="7" t="s">
        <v>1382</v>
      </c>
      <c r="C114" s="7" t="s">
        <v>754</v>
      </c>
      <c r="D114" s="7" t="s">
        <v>906</v>
      </c>
      <c r="E114" s="32" t="s">
        <v>828</v>
      </c>
      <c r="F114" s="7" t="s">
        <v>39</v>
      </c>
      <c r="G114" s="7" t="s">
        <v>6</v>
      </c>
      <c r="H114" s="7" t="s">
        <v>907</v>
      </c>
      <c r="I114" s="14" t="s">
        <v>2391</v>
      </c>
      <c r="J114" s="14" t="s">
        <v>2392</v>
      </c>
      <c r="K114" s="28" t="s">
        <v>2393</v>
      </c>
      <c r="L114" s="14" t="s">
        <v>39</v>
      </c>
      <c r="M114" s="32" t="s">
        <v>912</v>
      </c>
      <c r="N114" s="32" t="s">
        <v>752</v>
      </c>
      <c r="O114" s="7" t="s">
        <v>1850</v>
      </c>
      <c r="P114" s="43" t="s">
        <v>2394</v>
      </c>
      <c r="Q114" s="7" t="s">
        <v>4</v>
      </c>
      <c r="R114" s="47">
        <v>46145</v>
      </c>
      <c r="S114" s="4" t="s">
        <v>2395</v>
      </c>
      <c r="T114" s="178"/>
    </row>
    <row r="115" spans="1:20" hidden="1">
      <c r="A115" s="7" t="s">
        <v>2396</v>
      </c>
      <c r="B115" s="7" t="s">
        <v>1382</v>
      </c>
      <c r="C115" s="7" t="s">
        <v>754</v>
      </c>
      <c r="D115" s="7" t="s">
        <v>906</v>
      </c>
      <c r="E115" s="32" t="s">
        <v>828</v>
      </c>
      <c r="F115" s="7" t="s">
        <v>39</v>
      </c>
      <c r="G115" s="7" t="s">
        <v>6</v>
      </c>
      <c r="H115" s="7" t="s">
        <v>907</v>
      </c>
      <c r="I115" s="14" t="s">
        <v>2397</v>
      </c>
      <c r="J115" s="14" t="s">
        <v>2398</v>
      </c>
      <c r="K115" s="28" t="s">
        <v>2399</v>
      </c>
      <c r="L115" s="14" t="s">
        <v>39</v>
      </c>
      <c r="M115" s="32" t="s">
        <v>912</v>
      </c>
      <c r="N115" s="32" t="s">
        <v>912</v>
      </c>
      <c r="O115" s="7"/>
      <c r="P115" s="43"/>
      <c r="Q115" s="7" t="s">
        <v>3</v>
      </c>
      <c r="R115" s="47">
        <v>46145</v>
      </c>
      <c r="S115" s="4" t="s">
        <v>2355</v>
      </c>
      <c r="T115" s="178"/>
    </row>
    <row r="116" spans="1:20" hidden="1">
      <c r="A116" s="7" t="s">
        <v>2400</v>
      </c>
      <c r="B116" s="7" t="s">
        <v>1382</v>
      </c>
      <c r="C116" s="7" t="s">
        <v>754</v>
      </c>
      <c r="D116" s="7" t="s">
        <v>906</v>
      </c>
      <c r="E116" s="32" t="s">
        <v>828</v>
      </c>
      <c r="F116" s="7" t="s">
        <v>39</v>
      </c>
      <c r="G116" s="7" t="s">
        <v>6</v>
      </c>
      <c r="H116" s="7" t="s">
        <v>907</v>
      </c>
      <c r="I116" s="14" t="s">
        <v>2401</v>
      </c>
      <c r="J116" s="14" t="s">
        <v>2402</v>
      </c>
      <c r="K116" s="28" t="s">
        <v>2403</v>
      </c>
      <c r="L116" s="14" t="s">
        <v>39</v>
      </c>
      <c r="M116" s="32" t="s">
        <v>912</v>
      </c>
      <c r="N116" s="32" t="s">
        <v>912</v>
      </c>
      <c r="O116" s="7"/>
      <c r="P116" s="43"/>
      <c r="Q116" s="7" t="s">
        <v>3</v>
      </c>
      <c r="R116" s="47">
        <v>46145</v>
      </c>
      <c r="S116" s="4" t="s">
        <v>2355</v>
      </c>
      <c r="T116" s="178"/>
    </row>
    <row r="117" spans="1:20" hidden="1">
      <c r="A117" s="7" t="s">
        <v>2404</v>
      </c>
      <c r="B117" s="7" t="s">
        <v>1382</v>
      </c>
      <c r="C117" s="7" t="s">
        <v>754</v>
      </c>
      <c r="D117" s="7" t="s">
        <v>906</v>
      </c>
      <c r="E117" s="32" t="s">
        <v>828</v>
      </c>
      <c r="F117" s="7" t="s">
        <v>39</v>
      </c>
      <c r="G117" s="7" t="s">
        <v>6</v>
      </c>
      <c r="H117" s="7" t="s">
        <v>907</v>
      </c>
      <c r="I117" s="14" t="s">
        <v>2405</v>
      </c>
      <c r="J117" s="14" t="s">
        <v>2406</v>
      </c>
      <c r="K117" s="28" t="s">
        <v>2407</v>
      </c>
      <c r="L117" s="14" t="s">
        <v>39</v>
      </c>
      <c r="M117" s="32" t="s">
        <v>912</v>
      </c>
      <c r="N117" s="32" t="s">
        <v>912</v>
      </c>
      <c r="O117" s="7"/>
      <c r="P117" s="43"/>
      <c r="Q117" s="7" t="s">
        <v>3</v>
      </c>
      <c r="R117" s="47">
        <v>46145</v>
      </c>
      <c r="S117" s="4" t="s">
        <v>2355</v>
      </c>
      <c r="T117" s="178"/>
    </row>
    <row r="118" spans="1:20" hidden="1">
      <c r="A118" s="7" t="s">
        <v>2408</v>
      </c>
      <c r="B118" s="7" t="s">
        <v>1382</v>
      </c>
      <c r="C118" s="7" t="s">
        <v>754</v>
      </c>
      <c r="D118" s="7" t="s">
        <v>906</v>
      </c>
      <c r="E118" s="32" t="s">
        <v>828</v>
      </c>
      <c r="F118" s="7" t="s">
        <v>39</v>
      </c>
      <c r="G118" s="7" t="s">
        <v>6</v>
      </c>
      <c r="H118" s="7" t="s">
        <v>907</v>
      </c>
      <c r="I118" s="14" t="s">
        <v>2409</v>
      </c>
      <c r="J118" s="14" t="s">
        <v>2410</v>
      </c>
      <c r="K118" s="28" t="s">
        <v>2411</v>
      </c>
      <c r="L118" s="14" t="s">
        <v>39</v>
      </c>
      <c r="M118" s="32" t="s">
        <v>912</v>
      </c>
      <c r="N118" s="32" t="s">
        <v>912</v>
      </c>
      <c r="O118" s="7"/>
      <c r="P118" s="43"/>
      <c r="Q118" s="7" t="s">
        <v>3</v>
      </c>
      <c r="R118" s="47">
        <v>46145</v>
      </c>
      <c r="S118" s="4" t="s">
        <v>2355</v>
      </c>
      <c r="T118" s="178"/>
    </row>
    <row r="119" spans="1:20" hidden="1">
      <c r="A119" s="7" t="s">
        <v>2412</v>
      </c>
      <c r="B119" s="7" t="s">
        <v>1382</v>
      </c>
      <c r="C119" s="7" t="s">
        <v>754</v>
      </c>
      <c r="D119" s="7" t="s">
        <v>906</v>
      </c>
      <c r="E119" s="32" t="s">
        <v>828</v>
      </c>
      <c r="F119" s="7" t="s">
        <v>39</v>
      </c>
      <c r="G119" s="7" t="s">
        <v>6</v>
      </c>
      <c r="H119" s="7" t="s">
        <v>907</v>
      </c>
      <c r="I119" s="14" t="s">
        <v>2413</v>
      </c>
      <c r="J119" s="14" t="s">
        <v>2414</v>
      </c>
      <c r="K119" s="28" t="s">
        <v>2415</v>
      </c>
      <c r="L119" s="14" t="s">
        <v>39</v>
      </c>
      <c r="M119" s="32" t="s">
        <v>912</v>
      </c>
      <c r="N119" s="32" t="s">
        <v>912</v>
      </c>
      <c r="O119" s="7"/>
      <c r="P119" s="43"/>
      <c r="Q119" s="7" t="s">
        <v>3</v>
      </c>
      <c r="R119" s="47">
        <v>46145</v>
      </c>
      <c r="S119" s="4" t="s">
        <v>2355</v>
      </c>
      <c r="T119" s="178"/>
    </row>
    <row r="120" spans="1:20" hidden="1">
      <c r="A120" s="7" t="s">
        <v>2416</v>
      </c>
      <c r="B120" s="7" t="s">
        <v>1382</v>
      </c>
      <c r="C120" s="7" t="s">
        <v>746</v>
      </c>
      <c r="D120" s="7" t="s">
        <v>906</v>
      </c>
      <c r="E120" s="32" t="s">
        <v>828</v>
      </c>
      <c r="F120" s="7" t="s">
        <v>39</v>
      </c>
      <c r="G120" s="7" t="s">
        <v>6</v>
      </c>
      <c r="H120" s="7" t="s">
        <v>907</v>
      </c>
      <c r="I120" s="14" t="s">
        <v>2417</v>
      </c>
      <c r="J120" s="14" t="s">
        <v>2418</v>
      </c>
      <c r="K120" s="28" t="s">
        <v>2419</v>
      </c>
      <c r="L120" s="14" t="s">
        <v>39</v>
      </c>
      <c r="M120" s="32" t="s">
        <v>912</v>
      </c>
      <c r="N120" s="32" t="s">
        <v>912</v>
      </c>
      <c r="O120" s="7"/>
      <c r="P120" s="43"/>
      <c r="Q120" s="7" t="s">
        <v>3</v>
      </c>
      <c r="R120" s="47">
        <v>46145</v>
      </c>
      <c r="S120" s="4" t="s">
        <v>2355</v>
      </c>
      <c r="T120" s="178"/>
    </row>
    <row r="121" spans="1:20" hidden="1">
      <c r="A121" s="7" t="s">
        <v>2420</v>
      </c>
      <c r="B121" s="7" t="s">
        <v>1382</v>
      </c>
      <c r="C121" s="7" t="s">
        <v>746</v>
      </c>
      <c r="D121" s="7" t="s">
        <v>906</v>
      </c>
      <c r="E121" s="32" t="s">
        <v>828</v>
      </c>
      <c r="F121" s="7" t="s">
        <v>39</v>
      </c>
      <c r="G121" s="7" t="s">
        <v>6</v>
      </c>
      <c r="H121" s="7" t="s">
        <v>907</v>
      </c>
      <c r="I121" s="14" t="s">
        <v>2421</v>
      </c>
      <c r="J121" s="14" t="s">
        <v>2422</v>
      </c>
      <c r="K121" s="28" t="s">
        <v>2423</v>
      </c>
      <c r="L121" s="14" t="s">
        <v>39</v>
      </c>
      <c r="M121" s="32" t="s">
        <v>912</v>
      </c>
      <c r="N121" s="32" t="s">
        <v>912</v>
      </c>
      <c r="O121" s="7"/>
      <c r="P121" s="43"/>
      <c r="Q121" s="7" t="s">
        <v>3</v>
      </c>
      <c r="R121" s="47">
        <v>46145</v>
      </c>
      <c r="S121" s="4" t="s">
        <v>2355</v>
      </c>
      <c r="T121" s="178"/>
    </row>
    <row r="122" spans="1:20" hidden="1">
      <c r="A122" s="7" t="s">
        <v>2424</v>
      </c>
      <c r="B122" s="7" t="s">
        <v>1382</v>
      </c>
      <c r="C122" s="7" t="s">
        <v>746</v>
      </c>
      <c r="D122" s="7" t="s">
        <v>906</v>
      </c>
      <c r="E122" s="32" t="s">
        <v>828</v>
      </c>
      <c r="F122" s="7" t="s">
        <v>39</v>
      </c>
      <c r="G122" s="7" t="s">
        <v>6</v>
      </c>
      <c r="H122" s="7" t="s">
        <v>907</v>
      </c>
      <c r="I122" s="14" t="s">
        <v>2425</v>
      </c>
      <c r="J122" s="14" t="s">
        <v>2426</v>
      </c>
      <c r="K122" s="28" t="s">
        <v>2427</v>
      </c>
      <c r="L122" s="14" t="s">
        <v>39</v>
      </c>
      <c r="M122" s="32" t="s">
        <v>912</v>
      </c>
      <c r="N122" s="32" t="s">
        <v>752</v>
      </c>
      <c r="O122" s="7"/>
      <c r="P122" s="43"/>
      <c r="Q122" s="7" t="s">
        <v>3</v>
      </c>
      <c r="R122" s="47">
        <v>46145</v>
      </c>
      <c r="S122" s="4" t="s">
        <v>2355</v>
      </c>
      <c r="T122" s="178"/>
    </row>
    <row r="123" spans="1:20" s="300" customFormat="1" hidden="1">
      <c r="A123" s="292" t="s">
        <v>2428</v>
      </c>
      <c r="B123" s="292" t="s">
        <v>1382</v>
      </c>
      <c r="C123" s="292" t="s">
        <v>746</v>
      </c>
      <c r="D123" s="292" t="s">
        <v>906</v>
      </c>
      <c r="E123" s="294" t="s">
        <v>828</v>
      </c>
      <c r="F123" s="292" t="s">
        <v>39</v>
      </c>
      <c r="G123" s="292" t="s">
        <v>6</v>
      </c>
      <c r="H123" s="292" t="s">
        <v>907</v>
      </c>
      <c r="I123" s="295" t="s">
        <v>2429</v>
      </c>
      <c r="J123" s="295" t="s">
        <v>2430</v>
      </c>
      <c r="K123" s="296" t="s">
        <v>2431</v>
      </c>
      <c r="L123" s="295" t="s">
        <v>39</v>
      </c>
      <c r="M123" s="294" t="s">
        <v>912</v>
      </c>
      <c r="N123" s="294" t="s">
        <v>752</v>
      </c>
      <c r="O123" s="292"/>
      <c r="P123" s="297"/>
      <c r="Q123" s="292" t="s">
        <v>4</v>
      </c>
      <c r="R123" s="293">
        <v>46145</v>
      </c>
      <c r="S123" s="298" t="s">
        <v>2432</v>
      </c>
      <c r="T123" s="428"/>
    </row>
    <row r="124" spans="1:20" hidden="1">
      <c r="A124" s="7" t="s">
        <v>2433</v>
      </c>
      <c r="B124" s="7" t="s">
        <v>1382</v>
      </c>
      <c r="C124" s="7" t="s">
        <v>746</v>
      </c>
      <c r="D124" s="7" t="s">
        <v>906</v>
      </c>
      <c r="E124" s="32" t="s">
        <v>1108</v>
      </c>
      <c r="F124" s="7" t="s">
        <v>39</v>
      </c>
      <c r="G124" s="7" t="s">
        <v>6</v>
      </c>
      <c r="H124" s="7" t="s">
        <v>2434</v>
      </c>
      <c r="I124" s="14" t="s">
        <v>2435</v>
      </c>
      <c r="J124" s="14" t="s">
        <v>2436</v>
      </c>
      <c r="K124" s="28" t="s">
        <v>2437</v>
      </c>
      <c r="L124" s="14" t="s">
        <v>39</v>
      </c>
      <c r="M124" s="32" t="s">
        <v>912</v>
      </c>
      <c r="N124" s="32" t="s">
        <v>752</v>
      </c>
      <c r="O124" s="7"/>
      <c r="P124" s="43"/>
      <c r="Q124" s="7" t="s">
        <v>4</v>
      </c>
      <c r="R124" s="7"/>
      <c r="S124" s="4"/>
      <c r="T124" s="178"/>
    </row>
    <row r="125" spans="1:20" hidden="1">
      <c r="A125" s="151" t="s">
        <v>2438</v>
      </c>
      <c r="B125" s="151" t="s">
        <v>1382</v>
      </c>
      <c r="C125" s="151" t="s">
        <v>746</v>
      </c>
      <c r="D125" s="151" t="s">
        <v>906</v>
      </c>
      <c r="E125" s="152" t="s">
        <v>828</v>
      </c>
      <c r="F125" s="151" t="s">
        <v>39</v>
      </c>
      <c r="G125" s="151" t="s">
        <v>6</v>
      </c>
      <c r="H125" s="151" t="s">
        <v>2302</v>
      </c>
      <c r="I125" s="154" t="s">
        <v>2439</v>
      </c>
      <c r="J125" s="154" t="s">
        <v>2440</v>
      </c>
      <c r="K125" s="155" t="s">
        <v>2441</v>
      </c>
      <c r="L125" s="154" t="s">
        <v>39</v>
      </c>
      <c r="M125" s="152" t="s">
        <v>912</v>
      </c>
      <c r="N125" s="152" t="s">
        <v>752</v>
      </c>
      <c r="O125" s="151"/>
      <c r="P125" s="164"/>
      <c r="Q125" s="151" t="s">
        <v>3</v>
      </c>
      <c r="R125" s="151" t="s">
        <v>490</v>
      </c>
      <c r="S125" s="156" t="s">
        <v>2442</v>
      </c>
      <c r="T125" s="291"/>
    </row>
    <row r="126" spans="1:20" hidden="1">
      <c r="A126" s="7" t="s">
        <v>2443</v>
      </c>
      <c r="B126" s="7" t="s">
        <v>1382</v>
      </c>
      <c r="C126" s="7" t="s">
        <v>746</v>
      </c>
      <c r="D126" s="7" t="s">
        <v>906</v>
      </c>
      <c r="E126" s="32" t="s">
        <v>828</v>
      </c>
      <c r="F126" s="7" t="s">
        <v>39</v>
      </c>
      <c r="G126" s="7" t="s">
        <v>6</v>
      </c>
      <c r="H126" s="7" t="s">
        <v>1013</v>
      </c>
      <c r="I126" s="14" t="s">
        <v>2444</v>
      </c>
      <c r="J126" s="14" t="s">
        <v>2445</v>
      </c>
      <c r="K126" s="28" t="s">
        <v>2446</v>
      </c>
      <c r="L126" s="14" t="s">
        <v>39</v>
      </c>
      <c r="M126" s="32" t="s">
        <v>912</v>
      </c>
      <c r="N126" s="32" t="s">
        <v>752</v>
      </c>
      <c r="O126" s="7"/>
      <c r="P126" s="43"/>
      <c r="Q126" s="7" t="s">
        <v>4</v>
      </c>
      <c r="R126" s="7"/>
      <c r="S126" s="4"/>
      <c r="T126" s="178"/>
    </row>
    <row r="127" spans="1:20" hidden="1">
      <c r="A127" s="7" t="s">
        <v>2447</v>
      </c>
      <c r="B127" s="7" t="s">
        <v>1382</v>
      </c>
      <c r="C127" s="7" t="s">
        <v>746</v>
      </c>
      <c r="D127" s="7" t="s">
        <v>906</v>
      </c>
      <c r="E127" s="32" t="s">
        <v>828</v>
      </c>
      <c r="F127" s="7" t="s">
        <v>39</v>
      </c>
      <c r="G127" s="7" t="s">
        <v>6</v>
      </c>
      <c r="H127" s="7" t="s">
        <v>1013</v>
      </c>
      <c r="I127" s="14" t="s">
        <v>2448</v>
      </c>
      <c r="J127" s="14" t="s">
        <v>2449</v>
      </c>
      <c r="K127" s="28" t="s">
        <v>2450</v>
      </c>
      <c r="L127" s="14" t="s">
        <v>39</v>
      </c>
      <c r="M127" s="32" t="s">
        <v>912</v>
      </c>
      <c r="N127" s="32" t="s">
        <v>752</v>
      </c>
      <c r="O127" s="7"/>
      <c r="P127" s="43"/>
      <c r="Q127" s="7" t="s">
        <v>4</v>
      </c>
      <c r="R127" s="7"/>
      <c r="S127" s="4"/>
      <c r="T127" s="178"/>
    </row>
    <row r="128" spans="1:20" hidden="1">
      <c r="A128" s="7" t="s">
        <v>2451</v>
      </c>
      <c r="B128" s="7" t="s">
        <v>1382</v>
      </c>
      <c r="C128" s="7" t="s">
        <v>746</v>
      </c>
      <c r="D128" s="7" t="s">
        <v>906</v>
      </c>
      <c r="E128" s="32" t="s">
        <v>828</v>
      </c>
      <c r="F128" s="7" t="s">
        <v>39</v>
      </c>
      <c r="G128" s="7" t="s">
        <v>6</v>
      </c>
      <c r="H128" s="7" t="s">
        <v>1013</v>
      </c>
      <c r="I128" s="14" t="s">
        <v>2452</v>
      </c>
      <c r="J128" s="14" t="s">
        <v>2449</v>
      </c>
      <c r="K128" s="28" t="s">
        <v>2453</v>
      </c>
      <c r="L128" s="14" t="s">
        <v>39</v>
      </c>
      <c r="M128" s="32" t="s">
        <v>912</v>
      </c>
      <c r="N128" s="32" t="s">
        <v>752</v>
      </c>
      <c r="O128" s="7"/>
      <c r="P128" s="43"/>
      <c r="Q128" s="7" t="s">
        <v>4</v>
      </c>
      <c r="R128" s="7"/>
      <c r="S128" s="4"/>
      <c r="T128" s="178"/>
    </row>
    <row r="129" spans="1:20" hidden="1">
      <c r="A129" s="7" t="s">
        <v>2454</v>
      </c>
      <c r="B129" s="7" t="s">
        <v>1382</v>
      </c>
      <c r="C129" s="7" t="s">
        <v>746</v>
      </c>
      <c r="D129" s="7" t="s">
        <v>906</v>
      </c>
      <c r="E129" s="32" t="s">
        <v>828</v>
      </c>
      <c r="F129" s="7" t="s">
        <v>39</v>
      </c>
      <c r="G129" s="7" t="s">
        <v>6</v>
      </c>
      <c r="H129" s="7" t="s">
        <v>1013</v>
      </c>
      <c r="I129" s="14" t="s">
        <v>2455</v>
      </c>
      <c r="J129" s="14" t="s">
        <v>2449</v>
      </c>
      <c r="K129" s="28" t="s">
        <v>2456</v>
      </c>
      <c r="L129" s="14" t="s">
        <v>39</v>
      </c>
      <c r="M129" s="32" t="s">
        <v>912</v>
      </c>
      <c r="N129" s="32" t="s">
        <v>752</v>
      </c>
      <c r="O129" s="7"/>
      <c r="P129" s="43"/>
      <c r="Q129" s="7" t="s">
        <v>4</v>
      </c>
      <c r="R129" s="7"/>
      <c r="S129" s="4"/>
      <c r="T129" s="178"/>
    </row>
    <row r="130" spans="1:20" hidden="1">
      <c r="A130" s="7" t="s">
        <v>2457</v>
      </c>
      <c r="B130" s="7" t="s">
        <v>1382</v>
      </c>
      <c r="C130" s="7" t="s">
        <v>746</v>
      </c>
      <c r="D130" s="7" t="s">
        <v>906</v>
      </c>
      <c r="E130" s="32" t="s">
        <v>828</v>
      </c>
      <c r="F130" s="7" t="s">
        <v>39</v>
      </c>
      <c r="G130" s="7" t="s">
        <v>6</v>
      </c>
      <c r="H130" s="7" t="s">
        <v>1013</v>
      </c>
      <c r="I130" s="14" t="s">
        <v>2458</v>
      </c>
      <c r="J130" s="14" t="s">
        <v>2459</v>
      </c>
      <c r="K130" s="28" t="s">
        <v>2460</v>
      </c>
      <c r="L130" s="14" t="s">
        <v>39</v>
      </c>
      <c r="M130" s="32" t="s">
        <v>912</v>
      </c>
      <c r="N130" s="32" t="s">
        <v>752</v>
      </c>
      <c r="O130" s="7"/>
      <c r="P130" s="43"/>
      <c r="Q130" s="7" t="s">
        <v>4</v>
      </c>
      <c r="R130" s="7"/>
      <c r="S130" s="4"/>
      <c r="T130" s="178"/>
    </row>
    <row r="131" spans="1:20" hidden="1">
      <c r="A131" s="7" t="s">
        <v>2461</v>
      </c>
      <c r="B131" s="7" t="s">
        <v>1382</v>
      </c>
      <c r="C131" s="7" t="s">
        <v>754</v>
      </c>
      <c r="D131" s="7" t="s">
        <v>906</v>
      </c>
      <c r="E131" s="32" t="s">
        <v>1108</v>
      </c>
      <c r="F131" s="7" t="s">
        <v>39</v>
      </c>
      <c r="G131" s="7" t="s">
        <v>6</v>
      </c>
      <c r="H131" s="7" t="s">
        <v>907</v>
      </c>
      <c r="I131" s="14" t="s">
        <v>2462</v>
      </c>
      <c r="J131" s="14" t="s">
        <v>2463</v>
      </c>
      <c r="K131" s="28" t="s">
        <v>2464</v>
      </c>
      <c r="L131" s="28" t="s">
        <v>2465</v>
      </c>
      <c r="M131" s="32" t="s">
        <v>912</v>
      </c>
      <c r="N131" s="32" t="s">
        <v>752</v>
      </c>
      <c r="O131" s="7"/>
      <c r="P131" s="43"/>
      <c r="Q131" s="7" t="s">
        <v>4</v>
      </c>
      <c r="R131" s="47">
        <v>46359</v>
      </c>
      <c r="S131" s="4" t="s">
        <v>2466</v>
      </c>
      <c r="T131" s="178"/>
    </row>
    <row r="132" spans="1:20" hidden="1">
      <c r="A132" s="7" t="s">
        <v>2467</v>
      </c>
      <c r="B132" s="7" t="s">
        <v>1382</v>
      </c>
      <c r="C132" s="7" t="s">
        <v>746</v>
      </c>
      <c r="D132" s="7" t="s">
        <v>906</v>
      </c>
      <c r="E132" s="32" t="s">
        <v>1108</v>
      </c>
      <c r="F132" s="7" t="s">
        <v>39</v>
      </c>
      <c r="G132" s="7" t="s">
        <v>6</v>
      </c>
      <c r="H132" s="7" t="s">
        <v>804</v>
      </c>
      <c r="I132" s="14" t="s">
        <v>2468</v>
      </c>
      <c r="J132" s="14" t="s">
        <v>2469</v>
      </c>
      <c r="K132" s="28" t="s">
        <v>2470</v>
      </c>
      <c r="L132" s="14" t="s">
        <v>39</v>
      </c>
      <c r="M132" s="32" t="s">
        <v>912</v>
      </c>
      <c r="N132" s="32" t="s">
        <v>1009</v>
      </c>
      <c r="O132" s="7"/>
      <c r="P132" s="43"/>
      <c r="Q132" s="7" t="s">
        <v>4</v>
      </c>
      <c r="R132" s="7"/>
      <c r="S132" s="4"/>
      <c r="T132" s="178"/>
    </row>
    <row r="133" spans="1:20">
      <c r="A133" s="7" t="s">
        <v>2471</v>
      </c>
      <c r="B133" s="7" t="s">
        <v>1382</v>
      </c>
      <c r="C133" s="7" t="s">
        <v>754</v>
      </c>
      <c r="D133" s="7" t="s">
        <v>906</v>
      </c>
      <c r="E133" s="32" t="s">
        <v>828</v>
      </c>
      <c r="F133" s="7" t="s">
        <v>39</v>
      </c>
      <c r="G133" s="7" t="s">
        <v>16</v>
      </c>
      <c r="H133" s="7" t="s">
        <v>2472</v>
      </c>
      <c r="I133" s="14" t="s">
        <v>2473</v>
      </c>
      <c r="J133" s="14" t="s">
        <v>2474</v>
      </c>
      <c r="K133" s="28" t="s">
        <v>2475</v>
      </c>
      <c r="L133" s="14" t="s">
        <v>39</v>
      </c>
      <c r="M133" s="32" t="s">
        <v>912</v>
      </c>
      <c r="N133" s="32" t="s">
        <v>1877</v>
      </c>
      <c r="O133" s="7"/>
      <c r="P133" s="43"/>
      <c r="Q133" s="7" t="s">
        <v>4</v>
      </c>
      <c r="R133" s="7"/>
      <c r="S133" s="4"/>
      <c r="T133" s="178"/>
    </row>
    <row r="134" spans="1:20" hidden="1">
      <c r="A134" s="7" t="s">
        <v>2476</v>
      </c>
      <c r="B134" s="16" t="s">
        <v>1382</v>
      </c>
      <c r="C134" s="16" t="s">
        <v>754</v>
      </c>
      <c r="D134" s="16" t="s">
        <v>906</v>
      </c>
      <c r="E134" s="57" t="s">
        <v>828</v>
      </c>
      <c r="F134" s="16" t="s">
        <v>39</v>
      </c>
      <c r="G134" s="16" t="s">
        <v>6</v>
      </c>
      <c r="H134" s="16" t="s">
        <v>1013</v>
      </c>
      <c r="I134" s="12" t="s">
        <v>2477</v>
      </c>
      <c r="J134" s="12" t="s">
        <v>2478</v>
      </c>
      <c r="K134" s="63" t="s">
        <v>2479</v>
      </c>
      <c r="L134" s="12" t="s">
        <v>39</v>
      </c>
      <c r="M134" s="57" t="s">
        <v>912</v>
      </c>
      <c r="N134" s="57" t="s">
        <v>752</v>
      </c>
      <c r="O134" s="16"/>
      <c r="P134" s="48"/>
      <c r="Q134" s="16" t="s">
        <v>4</v>
      </c>
      <c r="R134" s="16"/>
      <c r="S134" s="207"/>
      <c r="T134" s="431"/>
    </row>
    <row r="135" spans="1:20" s="300" customFormat="1" hidden="1">
      <c r="A135" s="292" t="s">
        <v>2480</v>
      </c>
      <c r="B135" s="293">
        <v>46056</v>
      </c>
      <c r="C135" s="292" t="s">
        <v>746</v>
      </c>
      <c r="D135" s="292" t="s">
        <v>906</v>
      </c>
      <c r="E135" s="294" t="s">
        <v>828</v>
      </c>
      <c r="F135" s="292" t="s">
        <v>39</v>
      </c>
      <c r="G135" s="292" t="s">
        <v>6</v>
      </c>
      <c r="H135" s="292" t="s">
        <v>1050</v>
      </c>
      <c r="I135" s="295" t="s">
        <v>2481</v>
      </c>
      <c r="J135" s="295" t="s">
        <v>2482</v>
      </c>
      <c r="K135" s="296" t="s">
        <v>2483</v>
      </c>
      <c r="L135" s="295" t="s">
        <v>39</v>
      </c>
      <c r="M135" s="294" t="s">
        <v>749</v>
      </c>
      <c r="N135" s="294" t="s">
        <v>752</v>
      </c>
      <c r="O135" s="292"/>
      <c r="P135" s="297"/>
      <c r="Q135" s="292" t="s">
        <v>4</v>
      </c>
      <c r="R135" s="293">
        <v>46145</v>
      </c>
      <c r="S135" s="298" t="s">
        <v>2484</v>
      </c>
      <c r="T135" s="299"/>
    </row>
    <row r="136" spans="1:20">
      <c r="A136" s="7" t="s">
        <v>2485</v>
      </c>
      <c r="B136" s="47">
        <v>46084</v>
      </c>
      <c r="C136" s="7" t="s">
        <v>754</v>
      </c>
      <c r="D136" s="7" t="s">
        <v>906</v>
      </c>
      <c r="E136" s="32" t="s">
        <v>755</v>
      </c>
      <c r="F136" s="7" t="s">
        <v>39</v>
      </c>
      <c r="G136" s="7" t="s">
        <v>16</v>
      </c>
      <c r="H136" s="7" t="s">
        <v>1050</v>
      </c>
      <c r="I136" s="14" t="s">
        <v>2486</v>
      </c>
      <c r="J136" s="14" t="s">
        <v>2487</v>
      </c>
      <c r="K136" s="28" t="s">
        <v>2488</v>
      </c>
      <c r="L136" s="14" t="s">
        <v>39</v>
      </c>
      <c r="M136" s="32" t="s">
        <v>912</v>
      </c>
      <c r="N136" s="32" t="s">
        <v>973</v>
      </c>
      <c r="O136" s="7"/>
      <c r="P136" s="43"/>
      <c r="Q136" s="7" t="s">
        <v>4</v>
      </c>
      <c r="R136" s="7"/>
      <c r="S136" s="4"/>
      <c r="T136" s="128"/>
    </row>
    <row r="137" spans="1:20" hidden="1">
      <c r="A137" s="7" t="s">
        <v>2489</v>
      </c>
      <c r="B137" s="47">
        <v>46145</v>
      </c>
      <c r="C137" s="7" t="s">
        <v>746</v>
      </c>
      <c r="D137" s="7" t="s">
        <v>906</v>
      </c>
      <c r="E137" s="32" t="s">
        <v>828</v>
      </c>
      <c r="F137" s="7" t="s">
        <v>39</v>
      </c>
      <c r="G137" s="7" t="s">
        <v>6</v>
      </c>
      <c r="H137" s="7" t="s">
        <v>907</v>
      </c>
      <c r="I137" s="14" t="s">
        <v>2490</v>
      </c>
      <c r="J137" s="163" t="s">
        <v>2491</v>
      </c>
      <c r="K137" s="28" t="s">
        <v>2492</v>
      </c>
      <c r="L137" s="14" t="s">
        <v>39</v>
      </c>
      <c r="M137" s="32" t="s">
        <v>912</v>
      </c>
      <c r="N137" s="32" t="s">
        <v>752</v>
      </c>
      <c r="O137" s="7"/>
      <c r="P137" s="43"/>
      <c r="Q137" s="7" t="s">
        <v>4</v>
      </c>
      <c r="R137" s="7"/>
      <c r="S137" s="4"/>
      <c r="T137" s="128"/>
    </row>
    <row r="138" spans="1:20" hidden="1">
      <c r="A138" s="7" t="s">
        <v>2493</v>
      </c>
      <c r="B138" s="47">
        <v>46145</v>
      </c>
      <c r="C138" s="7" t="s">
        <v>746</v>
      </c>
      <c r="D138" s="7" t="s">
        <v>906</v>
      </c>
      <c r="E138" s="32" t="s">
        <v>828</v>
      </c>
      <c r="F138" s="7" t="s">
        <v>39</v>
      </c>
      <c r="G138" s="7" t="s">
        <v>6</v>
      </c>
      <c r="H138" s="7" t="s">
        <v>907</v>
      </c>
      <c r="I138" s="14" t="s">
        <v>2494</v>
      </c>
      <c r="J138" s="14" t="s">
        <v>2495</v>
      </c>
      <c r="K138" s="28" t="s">
        <v>2496</v>
      </c>
      <c r="L138" s="14" t="s">
        <v>39</v>
      </c>
      <c r="M138" s="32" t="s">
        <v>912</v>
      </c>
      <c r="N138" s="32" t="s">
        <v>752</v>
      </c>
      <c r="O138" s="7"/>
      <c r="P138" s="43"/>
      <c r="Q138" s="7" t="s">
        <v>4</v>
      </c>
      <c r="R138" s="7"/>
      <c r="S138" s="4"/>
      <c r="T138" s="128"/>
    </row>
    <row r="139" spans="1:20" hidden="1">
      <c r="A139" s="7" t="s">
        <v>2497</v>
      </c>
      <c r="B139" s="47">
        <v>46145</v>
      </c>
      <c r="C139" s="7" t="s">
        <v>746</v>
      </c>
      <c r="D139" s="7" t="s">
        <v>906</v>
      </c>
      <c r="E139" s="32" t="s">
        <v>828</v>
      </c>
      <c r="F139" s="7" t="s">
        <v>39</v>
      </c>
      <c r="G139" s="7" t="s">
        <v>6</v>
      </c>
      <c r="H139" s="7" t="s">
        <v>907</v>
      </c>
      <c r="I139" s="14" t="s">
        <v>2498</v>
      </c>
      <c r="J139" s="14" t="s">
        <v>2499</v>
      </c>
      <c r="K139" s="28" t="s">
        <v>2500</v>
      </c>
      <c r="L139" s="14" t="s">
        <v>39</v>
      </c>
      <c r="M139" s="32" t="s">
        <v>912</v>
      </c>
      <c r="N139" s="32" t="s">
        <v>752</v>
      </c>
      <c r="O139" s="7"/>
      <c r="P139" s="43"/>
      <c r="Q139" s="7" t="s">
        <v>3</v>
      </c>
      <c r="R139" s="7" t="s">
        <v>490</v>
      </c>
      <c r="S139" s="4" t="s">
        <v>2501</v>
      </c>
      <c r="T139" s="128"/>
    </row>
    <row r="140" spans="1:20" hidden="1">
      <c r="A140" s="7" t="s">
        <v>2502</v>
      </c>
      <c r="B140" s="47">
        <v>46268</v>
      </c>
      <c r="C140" s="7" t="s">
        <v>746</v>
      </c>
      <c r="D140" s="7" t="s">
        <v>906</v>
      </c>
      <c r="E140" s="32" t="s">
        <v>828</v>
      </c>
      <c r="F140" s="7" t="s">
        <v>39</v>
      </c>
      <c r="G140" s="7" t="s">
        <v>6</v>
      </c>
      <c r="H140" s="7" t="s">
        <v>907</v>
      </c>
      <c r="I140" s="14" t="s">
        <v>2503</v>
      </c>
      <c r="J140" s="14" t="s">
        <v>2504</v>
      </c>
      <c r="K140" s="28" t="s">
        <v>2505</v>
      </c>
      <c r="L140" s="14" t="s">
        <v>39</v>
      </c>
      <c r="M140" s="32" t="s">
        <v>912</v>
      </c>
      <c r="N140" s="32" t="s">
        <v>752</v>
      </c>
      <c r="O140" s="7"/>
      <c r="P140" s="43"/>
      <c r="Q140" s="7" t="s">
        <v>4</v>
      </c>
      <c r="R140" s="7"/>
      <c r="S140" s="4"/>
      <c r="T140" s="128"/>
    </row>
    <row r="141" spans="1:20" hidden="1">
      <c r="A141" s="7" t="s">
        <v>2506</v>
      </c>
      <c r="B141" s="47">
        <v>46268</v>
      </c>
      <c r="C141" s="7" t="s">
        <v>746</v>
      </c>
      <c r="D141" s="7" t="s">
        <v>906</v>
      </c>
      <c r="E141" s="32" t="s">
        <v>828</v>
      </c>
      <c r="F141" s="7" t="s">
        <v>39</v>
      </c>
      <c r="G141" s="7" t="s">
        <v>6</v>
      </c>
      <c r="H141" s="7" t="s">
        <v>907</v>
      </c>
      <c r="I141" s="14" t="s">
        <v>2507</v>
      </c>
      <c r="J141" s="14" t="s">
        <v>2508</v>
      </c>
      <c r="K141" s="28" t="s">
        <v>2509</v>
      </c>
      <c r="L141" s="14" t="s">
        <v>39</v>
      </c>
      <c r="M141" s="32" t="s">
        <v>912</v>
      </c>
      <c r="N141" s="32" t="s">
        <v>752</v>
      </c>
      <c r="O141" s="7"/>
      <c r="P141" s="43"/>
      <c r="Q141" s="7" t="s">
        <v>4</v>
      </c>
      <c r="R141" s="7"/>
      <c r="S141" s="4"/>
      <c r="T141" s="128"/>
    </row>
    <row r="142" spans="1:20" hidden="1">
      <c r="A142" s="7" t="s">
        <v>2510</v>
      </c>
      <c r="B142" s="47">
        <v>46268</v>
      </c>
      <c r="C142" s="7" t="s">
        <v>746</v>
      </c>
      <c r="D142" s="7" t="s">
        <v>906</v>
      </c>
      <c r="E142" s="32" t="s">
        <v>828</v>
      </c>
      <c r="F142" s="7" t="s">
        <v>39</v>
      </c>
      <c r="G142" s="7" t="s">
        <v>6</v>
      </c>
      <c r="H142" s="7" t="s">
        <v>907</v>
      </c>
      <c r="I142" s="14" t="s">
        <v>2511</v>
      </c>
      <c r="J142" s="14" t="s">
        <v>2512</v>
      </c>
      <c r="K142" s="28" t="s">
        <v>2513</v>
      </c>
      <c r="L142" s="14" t="s">
        <v>39</v>
      </c>
      <c r="M142" s="32" t="s">
        <v>912</v>
      </c>
      <c r="N142" s="32" t="s">
        <v>752</v>
      </c>
      <c r="O142" s="7"/>
      <c r="P142" s="43"/>
      <c r="Q142" s="7" t="s">
        <v>4</v>
      </c>
      <c r="R142" s="7"/>
      <c r="S142" s="4"/>
      <c r="T142" s="128"/>
    </row>
    <row r="143" spans="1:20" hidden="1">
      <c r="A143" s="7" t="s">
        <v>2514</v>
      </c>
      <c r="B143" s="47">
        <v>46268</v>
      </c>
      <c r="C143" s="7" t="s">
        <v>746</v>
      </c>
      <c r="D143" s="7" t="s">
        <v>906</v>
      </c>
      <c r="E143" s="32" t="s">
        <v>828</v>
      </c>
      <c r="F143" s="7" t="s">
        <v>39</v>
      </c>
      <c r="G143" s="7" t="s">
        <v>6</v>
      </c>
      <c r="H143" s="7" t="s">
        <v>907</v>
      </c>
      <c r="I143" s="14" t="s">
        <v>2515</v>
      </c>
      <c r="J143" s="14" t="s">
        <v>2516</v>
      </c>
      <c r="K143" s="28" t="s">
        <v>2517</v>
      </c>
      <c r="L143" s="14" t="s">
        <v>39</v>
      </c>
      <c r="M143" s="32" t="s">
        <v>749</v>
      </c>
      <c r="N143" s="32" t="s">
        <v>752</v>
      </c>
      <c r="O143" s="7"/>
      <c r="P143" s="43"/>
      <c r="Q143" s="7" t="s">
        <v>3</v>
      </c>
      <c r="R143" s="7" t="s">
        <v>490</v>
      </c>
      <c r="S143" s="4" t="s">
        <v>2518</v>
      </c>
      <c r="T143" s="128"/>
    </row>
    <row r="144" spans="1:20" hidden="1">
      <c r="A144" s="7" t="s">
        <v>2519</v>
      </c>
      <c r="B144" s="47">
        <v>46268</v>
      </c>
      <c r="C144" s="7" t="s">
        <v>754</v>
      </c>
      <c r="D144" s="7" t="s">
        <v>906</v>
      </c>
      <c r="E144" s="32" t="s">
        <v>828</v>
      </c>
      <c r="F144" s="7" t="s">
        <v>39</v>
      </c>
      <c r="G144" s="7" t="s">
        <v>6</v>
      </c>
      <c r="H144" s="7" t="s">
        <v>1204</v>
      </c>
      <c r="I144" s="14" t="s">
        <v>2520</v>
      </c>
      <c r="J144" s="14" t="s">
        <v>2521</v>
      </c>
      <c r="K144" s="28" t="s">
        <v>2522</v>
      </c>
      <c r="L144" s="14" t="s">
        <v>39</v>
      </c>
      <c r="M144" s="32" t="s">
        <v>749</v>
      </c>
      <c r="N144" s="32" t="s">
        <v>752</v>
      </c>
      <c r="O144" s="7"/>
      <c r="P144" s="43"/>
      <c r="Q144" s="7" t="s">
        <v>4</v>
      </c>
      <c r="R144" s="7"/>
      <c r="S144" s="4"/>
      <c r="T144" s="128"/>
    </row>
    <row r="145" spans="1:20" hidden="1">
      <c r="A145" s="7" t="s">
        <v>2523</v>
      </c>
      <c r="B145" s="47">
        <v>46268</v>
      </c>
      <c r="C145" s="7" t="s">
        <v>746</v>
      </c>
      <c r="D145" s="7" t="s">
        <v>906</v>
      </c>
      <c r="E145" s="32" t="s">
        <v>828</v>
      </c>
      <c r="F145" s="7" t="s">
        <v>39</v>
      </c>
      <c r="G145" s="7" t="s">
        <v>6</v>
      </c>
      <c r="H145" s="7" t="s">
        <v>1204</v>
      </c>
      <c r="I145" s="14" t="s">
        <v>2524</v>
      </c>
      <c r="J145" s="14" t="s">
        <v>2525</v>
      </c>
      <c r="K145" s="28" t="s">
        <v>2526</v>
      </c>
      <c r="L145" s="14" t="s">
        <v>2527</v>
      </c>
      <c r="M145" s="32" t="s">
        <v>749</v>
      </c>
      <c r="N145" s="32" t="s">
        <v>752</v>
      </c>
      <c r="O145" s="7"/>
      <c r="P145" s="43"/>
      <c r="Q145" s="7" t="s">
        <v>4</v>
      </c>
      <c r="R145" s="7"/>
      <c r="S145" s="4"/>
      <c r="T145" s="128"/>
    </row>
    <row r="146" spans="1:20">
      <c r="A146" s="7" t="s">
        <v>2528</v>
      </c>
      <c r="B146" s="47">
        <v>46268</v>
      </c>
      <c r="C146" s="7" t="s">
        <v>754</v>
      </c>
      <c r="D146" s="7" t="s">
        <v>906</v>
      </c>
      <c r="E146" s="32" t="s">
        <v>828</v>
      </c>
      <c r="F146" s="7" t="s">
        <v>39</v>
      </c>
      <c r="G146" s="7" t="s">
        <v>16</v>
      </c>
      <c r="H146" s="7" t="s">
        <v>1778</v>
      </c>
      <c r="I146" s="14" t="s">
        <v>2529</v>
      </c>
      <c r="J146" s="14" t="s">
        <v>2530</v>
      </c>
      <c r="K146" s="28" t="s">
        <v>2531</v>
      </c>
      <c r="L146" s="14" t="s">
        <v>39</v>
      </c>
      <c r="M146" s="32" t="s">
        <v>749</v>
      </c>
      <c r="N146" s="32" t="s">
        <v>1877</v>
      </c>
      <c r="O146" s="7"/>
      <c r="P146" s="43"/>
      <c r="Q146" s="7" t="s">
        <v>4</v>
      </c>
      <c r="R146" s="7"/>
      <c r="S146" s="4"/>
      <c r="T146" s="128"/>
    </row>
    <row r="147" spans="1:20" hidden="1">
      <c r="A147" s="7" t="s">
        <v>2532</v>
      </c>
      <c r="B147" s="47">
        <v>46268</v>
      </c>
      <c r="C147" s="7" t="s">
        <v>746</v>
      </c>
      <c r="D147" s="7" t="s">
        <v>906</v>
      </c>
      <c r="E147" s="32" t="s">
        <v>828</v>
      </c>
      <c r="F147" s="7" t="s">
        <v>39</v>
      </c>
      <c r="G147" s="7" t="s">
        <v>6</v>
      </c>
      <c r="H147" s="7" t="s">
        <v>907</v>
      </c>
      <c r="I147" s="14" t="s">
        <v>2533</v>
      </c>
      <c r="J147" s="14" t="s">
        <v>2534</v>
      </c>
      <c r="K147" s="28" t="s">
        <v>2535</v>
      </c>
      <c r="L147" s="14" t="s">
        <v>39</v>
      </c>
      <c r="M147" s="32" t="s">
        <v>749</v>
      </c>
      <c r="N147" s="32" t="s">
        <v>752</v>
      </c>
      <c r="O147" s="7"/>
      <c r="P147" s="43"/>
      <c r="Q147" s="7" t="s">
        <v>3</v>
      </c>
      <c r="R147" s="47">
        <v>46359</v>
      </c>
      <c r="S147" s="4" t="s">
        <v>2536</v>
      </c>
      <c r="T147" s="128"/>
    </row>
    <row r="148" spans="1:20" hidden="1">
      <c r="A148" s="7" t="s">
        <v>2537</v>
      </c>
      <c r="B148" s="47">
        <v>46268</v>
      </c>
      <c r="C148" s="7" t="s">
        <v>754</v>
      </c>
      <c r="D148" s="7" t="s">
        <v>906</v>
      </c>
      <c r="E148" s="32" t="s">
        <v>828</v>
      </c>
      <c r="F148" s="7" t="s">
        <v>39</v>
      </c>
      <c r="G148" s="7" t="s">
        <v>6</v>
      </c>
      <c r="H148" s="7" t="s">
        <v>1204</v>
      </c>
      <c r="I148" s="14" t="s">
        <v>2538</v>
      </c>
      <c r="J148" s="14" t="s">
        <v>2539</v>
      </c>
      <c r="K148" s="28" t="s">
        <v>2540</v>
      </c>
      <c r="L148" s="14" t="s">
        <v>39</v>
      </c>
      <c r="M148" s="32" t="s">
        <v>749</v>
      </c>
      <c r="N148" s="32" t="s">
        <v>752</v>
      </c>
      <c r="O148" s="7"/>
      <c r="P148" s="43"/>
      <c r="Q148" s="7" t="s">
        <v>4</v>
      </c>
      <c r="R148" s="7"/>
      <c r="S148" s="4"/>
      <c r="T148" s="128"/>
    </row>
    <row r="149" spans="1:20" hidden="1">
      <c r="A149" s="7" t="s">
        <v>2541</v>
      </c>
      <c r="B149" s="47">
        <v>46359</v>
      </c>
      <c r="C149" s="7" t="s">
        <v>746</v>
      </c>
      <c r="D149" s="7" t="s">
        <v>906</v>
      </c>
      <c r="E149" s="32" t="s">
        <v>828</v>
      </c>
      <c r="F149" s="7" t="s">
        <v>39</v>
      </c>
      <c r="G149" s="7" t="s">
        <v>6</v>
      </c>
      <c r="H149" s="7" t="s">
        <v>1013</v>
      </c>
      <c r="I149" s="14" t="s">
        <v>2542</v>
      </c>
      <c r="J149" s="14" t="s">
        <v>2543</v>
      </c>
      <c r="K149" s="28" t="s">
        <v>2544</v>
      </c>
      <c r="L149" s="14" t="s">
        <v>39</v>
      </c>
      <c r="M149" s="32" t="s">
        <v>749</v>
      </c>
      <c r="N149" s="32" t="s">
        <v>752</v>
      </c>
      <c r="O149" s="7"/>
      <c r="P149" s="43"/>
      <c r="Q149" s="7" t="s">
        <v>3</v>
      </c>
      <c r="R149" s="7" t="s">
        <v>701</v>
      </c>
      <c r="S149" s="4" t="s">
        <v>2545</v>
      </c>
      <c r="T149" s="128"/>
    </row>
    <row r="150" spans="1:20" hidden="1">
      <c r="A150" s="7" t="s">
        <v>2546</v>
      </c>
      <c r="B150" s="47">
        <v>46359</v>
      </c>
      <c r="C150" s="7" t="s">
        <v>746</v>
      </c>
      <c r="D150" s="7" t="s">
        <v>906</v>
      </c>
      <c r="E150" s="32" t="s">
        <v>828</v>
      </c>
      <c r="F150" s="7" t="s">
        <v>39</v>
      </c>
      <c r="G150" s="7" t="s">
        <v>6</v>
      </c>
      <c r="H150" s="7" t="s">
        <v>907</v>
      </c>
      <c r="I150" s="14" t="s">
        <v>2547</v>
      </c>
      <c r="J150" s="14" t="s">
        <v>2548</v>
      </c>
      <c r="K150" s="28" t="s">
        <v>2549</v>
      </c>
      <c r="L150" s="14" t="s">
        <v>39</v>
      </c>
      <c r="M150" s="32" t="s">
        <v>749</v>
      </c>
      <c r="N150" s="32" t="s">
        <v>752</v>
      </c>
      <c r="O150" s="7"/>
      <c r="P150" s="43"/>
      <c r="Q150" s="7" t="s">
        <v>3</v>
      </c>
      <c r="R150" s="7" t="s">
        <v>701</v>
      </c>
      <c r="S150" s="4" t="s">
        <v>2550</v>
      </c>
      <c r="T150" s="128"/>
    </row>
    <row r="151" spans="1:20" hidden="1">
      <c r="A151" s="7" t="s">
        <v>2551</v>
      </c>
      <c r="B151" s="47">
        <v>46359</v>
      </c>
      <c r="C151" s="7" t="s">
        <v>746</v>
      </c>
      <c r="D151" s="7" t="s">
        <v>906</v>
      </c>
      <c r="E151" s="32" t="s">
        <v>828</v>
      </c>
      <c r="F151" s="7" t="s">
        <v>39</v>
      </c>
      <c r="G151" s="7" t="s">
        <v>6</v>
      </c>
      <c r="H151" s="7" t="s">
        <v>907</v>
      </c>
      <c r="I151" s="14" t="s">
        <v>2552</v>
      </c>
      <c r="J151" s="14" t="s">
        <v>2553</v>
      </c>
      <c r="K151" s="28" t="s">
        <v>2554</v>
      </c>
      <c r="L151" s="14" t="s">
        <v>39</v>
      </c>
      <c r="M151" s="32" t="s">
        <v>749</v>
      </c>
      <c r="N151" s="32" t="s">
        <v>752</v>
      </c>
      <c r="O151" s="7"/>
      <c r="P151" s="43"/>
      <c r="Q151" s="7" t="s">
        <v>3</v>
      </c>
      <c r="R151" s="47">
        <v>46359</v>
      </c>
      <c r="S151" s="4" t="s">
        <v>2555</v>
      </c>
      <c r="T151" s="128"/>
    </row>
    <row r="152" spans="1:20" s="370" customFormat="1" hidden="1">
      <c r="A152" s="151" t="s">
        <v>2556</v>
      </c>
      <c r="B152" s="157">
        <v>46359</v>
      </c>
      <c r="C152" s="151" t="s">
        <v>746</v>
      </c>
      <c r="D152" s="151" t="s">
        <v>906</v>
      </c>
      <c r="E152" s="152" t="s">
        <v>828</v>
      </c>
      <c r="F152" s="151" t="s">
        <v>39</v>
      </c>
      <c r="G152" s="151" t="s">
        <v>6</v>
      </c>
      <c r="H152" s="151" t="s">
        <v>2302</v>
      </c>
      <c r="I152" s="154" t="s">
        <v>2557</v>
      </c>
      <c r="J152" s="154" t="s">
        <v>2558</v>
      </c>
      <c r="K152" s="155" t="s">
        <v>2559</v>
      </c>
      <c r="L152" s="155" t="s">
        <v>2560</v>
      </c>
      <c r="M152" s="152" t="s">
        <v>749</v>
      </c>
      <c r="N152" s="152" t="s">
        <v>752</v>
      </c>
      <c r="O152" s="151"/>
      <c r="P152" s="164"/>
      <c r="Q152" s="151" t="s">
        <v>4</v>
      </c>
      <c r="R152" s="151" t="s">
        <v>490</v>
      </c>
      <c r="S152" s="156" t="s">
        <v>2561</v>
      </c>
      <c r="T152" s="413"/>
    </row>
    <row r="153" spans="1:20" hidden="1">
      <c r="A153" s="7" t="s">
        <v>2562</v>
      </c>
      <c r="B153" s="47">
        <v>46359</v>
      </c>
      <c r="C153" s="7" t="s">
        <v>769</v>
      </c>
      <c r="D153" s="7" t="s">
        <v>906</v>
      </c>
      <c r="E153" s="32" t="s">
        <v>828</v>
      </c>
      <c r="F153" s="7" t="s">
        <v>39</v>
      </c>
      <c r="G153" s="7" t="s">
        <v>6</v>
      </c>
      <c r="H153" s="7" t="s">
        <v>1204</v>
      </c>
      <c r="I153" s="14" t="s">
        <v>2563</v>
      </c>
      <c r="J153" s="14" t="s">
        <v>2564</v>
      </c>
      <c r="K153" s="28" t="s">
        <v>2565</v>
      </c>
      <c r="L153" s="14" t="s">
        <v>39</v>
      </c>
      <c r="M153" s="32" t="s">
        <v>912</v>
      </c>
      <c r="N153" s="32" t="s">
        <v>752</v>
      </c>
      <c r="O153" s="7"/>
      <c r="P153" s="43"/>
      <c r="Q153" s="7" t="s">
        <v>4</v>
      </c>
      <c r="R153" s="7"/>
      <c r="S153" s="4"/>
      <c r="T153" s="128"/>
    </row>
    <row r="154" spans="1:20" s="370" customFormat="1" hidden="1">
      <c r="A154" s="151" t="s">
        <v>2566</v>
      </c>
      <c r="B154" s="157">
        <v>46359</v>
      </c>
      <c r="C154" s="151" t="s">
        <v>746</v>
      </c>
      <c r="D154" s="151" t="s">
        <v>906</v>
      </c>
      <c r="E154" s="152" t="s">
        <v>828</v>
      </c>
      <c r="F154" s="151" t="s">
        <v>39</v>
      </c>
      <c r="G154" s="151" t="s">
        <v>6</v>
      </c>
      <c r="H154" s="151" t="s">
        <v>2302</v>
      </c>
      <c r="I154" s="154" t="s">
        <v>2567</v>
      </c>
      <c r="J154" s="154" t="s">
        <v>2568</v>
      </c>
      <c r="K154" s="155" t="s">
        <v>2569</v>
      </c>
      <c r="L154" s="154" t="s">
        <v>39</v>
      </c>
      <c r="M154" s="152" t="s">
        <v>912</v>
      </c>
      <c r="N154" s="152" t="s">
        <v>752</v>
      </c>
      <c r="O154" s="151"/>
      <c r="P154" s="164"/>
      <c r="Q154" s="151" t="s">
        <v>3</v>
      </c>
      <c r="R154" s="151" t="s">
        <v>490</v>
      </c>
      <c r="S154" s="156" t="s">
        <v>2570</v>
      </c>
      <c r="T154" s="413"/>
    </row>
    <row r="155" spans="1:20" s="370" customFormat="1" hidden="1">
      <c r="A155" s="151" t="s">
        <v>2571</v>
      </c>
      <c r="B155" s="157">
        <v>46359</v>
      </c>
      <c r="C155" s="151" t="s">
        <v>746</v>
      </c>
      <c r="D155" s="151" t="s">
        <v>906</v>
      </c>
      <c r="E155" s="152" t="s">
        <v>828</v>
      </c>
      <c r="F155" s="151" t="s">
        <v>39</v>
      </c>
      <c r="G155" s="151" t="s">
        <v>6</v>
      </c>
      <c r="H155" s="151" t="s">
        <v>2302</v>
      </c>
      <c r="I155" s="154" t="s">
        <v>2572</v>
      </c>
      <c r="J155" s="154" t="s">
        <v>2573</v>
      </c>
      <c r="K155" s="155" t="s">
        <v>2574</v>
      </c>
      <c r="L155" s="154" t="s">
        <v>39</v>
      </c>
      <c r="M155" s="152" t="s">
        <v>912</v>
      </c>
      <c r="N155" s="152" t="s">
        <v>752</v>
      </c>
      <c r="O155" s="151"/>
      <c r="P155" s="164"/>
      <c r="Q155" s="151" t="s">
        <v>3</v>
      </c>
      <c r="R155" s="151" t="s">
        <v>490</v>
      </c>
      <c r="S155" s="156" t="s">
        <v>2575</v>
      </c>
      <c r="T155" s="413"/>
    </row>
    <row r="156" spans="1:20" hidden="1">
      <c r="A156" s="7" t="s">
        <v>2576</v>
      </c>
      <c r="B156" s="47" t="s">
        <v>490</v>
      </c>
      <c r="C156" s="7" t="s">
        <v>746</v>
      </c>
      <c r="D156" s="7" t="s">
        <v>906</v>
      </c>
      <c r="E156" s="32" t="s">
        <v>755</v>
      </c>
      <c r="F156" s="7" t="s">
        <v>39</v>
      </c>
      <c r="G156" s="7" t="s">
        <v>6</v>
      </c>
      <c r="H156" s="7" t="s">
        <v>1050</v>
      </c>
      <c r="I156" s="14" t="s">
        <v>2577</v>
      </c>
      <c r="J156" s="14" t="s">
        <v>2578</v>
      </c>
      <c r="K156" s="28" t="s">
        <v>2579</v>
      </c>
      <c r="L156" s="14" t="s">
        <v>39</v>
      </c>
      <c r="M156" s="32" t="s">
        <v>912</v>
      </c>
      <c r="N156" s="32" t="s">
        <v>752</v>
      </c>
      <c r="O156" s="7"/>
      <c r="P156" s="43"/>
      <c r="Q156" s="7" t="s">
        <v>3</v>
      </c>
      <c r="R156" s="7" t="s">
        <v>2580</v>
      </c>
      <c r="S156" s="4" t="s">
        <v>2581</v>
      </c>
      <c r="T156" s="128"/>
    </row>
    <row r="157" spans="1:20" hidden="1">
      <c r="A157" s="7" t="s">
        <v>2582</v>
      </c>
      <c r="B157" s="47" t="s">
        <v>701</v>
      </c>
      <c r="C157" s="7" t="s">
        <v>769</v>
      </c>
      <c r="D157" s="7" t="s">
        <v>906</v>
      </c>
      <c r="E157" s="32" t="s">
        <v>828</v>
      </c>
      <c r="F157" s="7" t="s">
        <v>39</v>
      </c>
      <c r="G157" s="7" t="s">
        <v>6</v>
      </c>
      <c r="H157" s="7" t="s">
        <v>1204</v>
      </c>
      <c r="I157" s="14" t="s">
        <v>2583</v>
      </c>
      <c r="J157" s="14" t="s">
        <v>2584</v>
      </c>
      <c r="K157" s="28" t="s">
        <v>2585</v>
      </c>
      <c r="L157" s="14" t="s">
        <v>39</v>
      </c>
      <c r="M157" s="32" t="s">
        <v>912</v>
      </c>
      <c r="N157" s="32" t="s">
        <v>752</v>
      </c>
      <c r="O157" s="7"/>
      <c r="P157" s="43"/>
      <c r="Q157" s="7" t="s">
        <v>4</v>
      </c>
      <c r="R157" s="7"/>
      <c r="S157" s="4"/>
      <c r="T157" s="128"/>
    </row>
    <row r="158" spans="1:20" hidden="1">
      <c r="A158" s="7" t="s">
        <v>2586</v>
      </c>
      <c r="B158" s="7" t="s">
        <v>701</v>
      </c>
      <c r="C158" s="7" t="s">
        <v>754</v>
      </c>
      <c r="D158" s="7" t="s">
        <v>906</v>
      </c>
      <c r="E158" s="32" t="s">
        <v>2587</v>
      </c>
      <c r="F158" s="7" t="s">
        <v>39</v>
      </c>
      <c r="G158" s="7" t="s">
        <v>16</v>
      </c>
      <c r="H158" s="7" t="s">
        <v>1050</v>
      </c>
      <c r="I158" s="14" t="s">
        <v>2588</v>
      </c>
      <c r="J158" s="14" t="s">
        <v>2589</v>
      </c>
      <c r="K158" s="28" t="s">
        <v>2590</v>
      </c>
      <c r="L158" s="14" t="s">
        <v>39</v>
      </c>
      <c r="M158" s="32" t="s">
        <v>912</v>
      </c>
      <c r="N158" s="32" t="s">
        <v>1877</v>
      </c>
      <c r="O158" s="7"/>
      <c r="P158" s="43"/>
      <c r="Q158" s="7" t="s">
        <v>4</v>
      </c>
      <c r="R158" s="7"/>
      <c r="S158" s="4"/>
      <c r="T158" s="128"/>
    </row>
    <row r="159" spans="1:20" hidden="1">
      <c r="A159" s="7" t="s">
        <v>2591</v>
      </c>
      <c r="B159" s="7" t="s">
        <v>701</v>
      </c>
      <c r="C159" s="7" t="s">
        <v>746</v>
      </c>
      <c r="D159" s="7" t="s">
        <v>906</v>
      </c>
      <c r="E159" s="32" t="s">
        <v>828</v>
      </c>
      <c r="F159" s="7" t="s">
        <v>39</v>
      </c>
      <c r="G159" s="7" t="s">
        <v>6</v>
      </c>
      <c r="H159" s="7" t="s">
        <v>907</v>
      </c>
      <c r="I159" s="14" t="s">
        <v>2592</v>
      </c>
      <c r="J159" s="14" t="s">
        <v>2593</v>
      </c>
      <c r="K159" s="28" t="s">
        <v>2594</v>
      </c>
      <c r="L159" s="14" t="s">
        <v>39</v>
      </c>
      <c r="M159" s="32" t="s">
        <v>912</v>
      </c>
      <c r="N159" s="32" t="s">
        <v>752</v>
      </c>
      <c r="O159" s="7"/>
      <c r="P159" s="43"/>
      <c r="Q159" s="7" t="s">
        <v>4</v>
      </c>
      <c r="R159" s="7"/>
      <c r="S159" s="4"/>
      <c r="T159" s="128"/>
    </row>
    <row r="160" spans="1:20" hidden="1">
      <c r="A160" s="7" t="s">
        <v>2595</v>
      </c>
      <c r="B160" s="7" t="s">
        <v>701</v>
      </c>
      <c r="C160" s="7" t="s">
        <v>746</v>
      </c>
      <c r="D160" s="7" t="s">
        <v>906</v>
      </c>
      <c r="E160" s="32" t="s">
        <v>828</v>
      </c>
      <c r="F160" s="7" t="s">
        <v>39</v>
      </c>
      <c r="G160" s="7" t="s">
        <v>6</v>
      </c>
      <c r="H160" s="7" t="s">
        <v>1050</v>
      </c>
      <c r="I160" s="14" t="s">
        <v>2596</v>
      </c>
      <c r="J160" s="14" t="s">
        <v>2597</v>
      </c>
      <c r="K160" s="28" t="s">
        <v>2598</v>
      </c>
      <c r="L160" s="14" t="s">
        <v>39</v>
      </c>
      <c r="M160" s="32" t="s">
        <v>1009</v>
      </c>
      <c r="N160" s="32" t="s">
        <v>752</v>
      </c>
      <c r="O160" s="7"/>
      <c r="P160" s="43"/>
      <c r="Q160" s="7" t="s">
        <v>4</v>
      </c>
      <c r="R160" s="7"/>
      <c r="S160" s="4"/>
      <c r="T160" s="128"/>
    </row>
    <row r="161" spans="1:20" hidden="1">
      <c r="A161" s="7"/>
      <c r="B161" s="7"/>
      <c r="C161" s="7"/>
      <c r="D161" s="7"/>
      <c r="E161" s="32"/>
      <c r="F161" s="7"/>
      <c r="G161" s="7"/>
      <c r="H161" s="7"/>
      <c r="I161" s="14"/>
      <c r="J161" s="14"/>
      <c r="K161" s="14"/>
      <c r="L161" s="14"/>
      <c r="M161" s="32"/>
      <c r="N161" s="32"/>
      <c r="O161" s="7"/>
      <c r="P161" s="43"/>
      <c r="Q161" s="7"/>
      <c r="R161" s="7"/>
      <c r="S161" s="4"/>
      <c r="T161" s="128"/>
    </row>
    <row r="162" spans="1:20" hidden="1">
      <c r="A162" s="7"/>
      <c r="B162" s="7"/>
      <c r="C162" s="7"/>
      <c r="D162" s="7"/>
      <c r="E162" s="32"/>
      <c r="F162" s="7"/>
      <c r="G162" s="7"/>
      <c r="H162" s="7"/>
      <c r="I162" s="14"/>
      <c r="J162" s="14"/>
      <c r="K162" s="14"/>
      <c r="L162" s="14"/>
      <c r="M162" s="32"/>
      <c r="N162" s="32"/>
      <c r="O162" s="7"/>
      <c r="P162" s="43"/>
      <c r="Q162" s="7"/>
      <c r="R162" s="7"/>
      <c r="S162" s="4"/>
      <c r="T162" s="128"/>
    </row>
    <row r="163" spans="1:20" hidden="1">
      <c r="A163" s="7"/>
      <c r="B163" s="7"/>
      <c r="C163" s="7"/>
      <c r="D163" s="7"/>
      <c r="E163" s="32"/>
      <c r="F163" s="7"/>
      <c r="G163" s="7"/>
      <c r="H163" s="7"/>
      <c r="I163" s="14"/>
      <c r="J163" s="14"/>
      <c r="K163" s="14"/>
      <c r="L163" s="14"/>
      <c r="M163" s="32"/>
      <c r="N163" s="32"/>
      <c r="O163" s="7"/>
      <c r="P163" s="43"/>
      <c r="Q163" s="7"/>
      <c r="R163" s="7"/>
      <c r="S163" s="4"/>
      <c r="T163" s="128"/>
    </row>
    <row r="164" spans="1:20" hidden="1">
      <c r="A164" s="7"/>
      <c r="B164" s="7"/>
      <c r="C164" s="7"/>
      <c r="D164" s="7"/>
      <c r="E164" s="32"/>
      <c r="F164" s="7"/>
      <c r="G164" s="7"/>
      <c r="H164" s="7"/>
      <c r="I164" s="14"/>
      <c r="J164" s="14"/>
      <c r="K164" s="14"/>
      <c r="L164" s="14"/>
      <c r="M164" s="32"/>
      <c r="N164" s="32"/>
      <c r="O164" s="7"/>
      <c r="P164" s="43"/>
      <c r="Q164" s="7"/>
      <c r="R164" s="7"/>
      <c r="S164" s="4"/>
      <c r="T164" s="128"/>
    </row>
    <row r="165" spans="1:20" hidden="1">
      <c r="A165" s="7"/>
      <c r="B165" s="7"/>
      <c r="C165" s="7"/>
      <c r="D165" s="7"/>
      <c r="E165" s="32"/>
      <c r="F165" s="7"/>
      <c r="G165" s="7"/>
      <c r="H165" s="7"/>
      <c r="I165" s="14"/>
      <c r="J165" s="14"/>
      <c r="K165" s="14"/>
      <c r="L165" s="14"/>
      <c r="M165" s="32"/>
      <c r="N165" s="32"/>
      <c r="O165" s="7"/>
      <c r="P165" s="43"/>
      <c r="Q165" s="7"/>
      <c r="R165" s="7"/>
      <c r="S165" s="4"/>
      <c r="T165" s="128"/>
    </row>
    <row r="166" spans="1:20" hidden="1">
      <c r="A166" s="7"/>
      <c r="B166" s="7"/>
      <c r="C166" s="7"/>
      <c r="D166" s="7"/>
      <c r="E166" s="32"/>
      <c r="F166" s="7"/>
      <c r="G166" s="7"/>
      <c r="H166" s="7"/>
      <c r="I166" s="14"/>
      <c r="J166" s="14"/>
      <c r="K166" s="14"/>
      <c r="L166" s="14"/>
      <c r="M166" s="32"/>
      <c r="N166" s="32"/>
      <c r="O166" s="7"/>
      <c r="P166" s="43"/>
      <c r="Q166" s="7"/>
      <c r="R166" s="7"/>
      <c r="S166" s="4"/>
      <c r="T166" s="128"/>
    </row>
    <row r="167" spans="1:20" hidden="1">
      <c r="A167" s="7"/>
      <c r="B167" s="7"/>
      <c r="C167" s="7"/>
      <c r="D167" s="7"/>
      <c r="E167" s="32"/>
      <c r="F167" s="7"/>
      <c r="G167" s="7"/>
      <c r="H167" s="7"/>
      <c r="I167" s="14"/>
      <c r="J167" s="14"/>
      <c r="K167" s="14"/>
      <c r="L167" s="14"/>
      <c r="M167" s="32"/>
      <c r="N167" s="32"/>
      <c r="O167" s="7"/>
      <c r="P167" s="43"/>
      <c r="Q167" s="7"/>
      <c r="R167" s="7"/>
      <c r="S167" s="4"/>
      <c r="T167" s="128"/>
    </row>
    <row r="168" spans="1:20" hidden="1">
      <c r="A168" s="7"/>
      <c r="B168" s="7"/>
      <c r="C168" s="7"/>
      <c r="D168" s="7"/>
      <c r="E168" s="32"/>
      <c r="F168" s="7"/>
      <c r="G168" s="7"/>
      <c r="H168" s="7"/>
      <c r="I168" s="14"/>
      <c r="J168" s="14"/>
      <c r="K168" s="14"/>
      <c r="L168" s="14"/>
      <c r="M168" s="32"/>
      <c r="N168" s="32"/>
      <c r="O168" s="7"/>
      <c r="P168" s="43"/>
      <c r="Q168" s="7"/>
      <c r="R168" s="7"/>
      <c r="S168" s="4"/>
      <c r="T168" s="128"/>
    </row>
    <row r="169" spans="1:20" hidden="1">
      <c r="A169" s="7"/>
      <c r="B169" s="7"/>
      <c r="C169" s="7"/>
      <c r="D169" s="7"/>
      <c r="E169" s="32"/>
      <c r="F169" s="7"/>
      <c r="G169" s="7"/>
      <c r="H169" s="7"/>
      <c r="I169" s="14"/>
      <c r="J169" s="14"/>
      <c r="K169" s="14"/>
      <c r="L169" s="14"/>
      <c r="M169" s="32"/>
      <c r="N169" s="32"/>
      <c r="O169" s="7"/>
      <c r="P169" s="43"/>
      <c r="Q169" s="7"/>
      <c r="R169" s="7"/>
      <c r="S169" s="4"/>
      <c r="T169" s="128"/>
    </row>
    <row r="170" spans="1:20" hidden="1">
      <c r="A170" s="7"/>
      <c r="B170" s="7"/>
      <c r="C170" s="7"/>
      <c r="D170" s="7"/>
      <c r="E170" s="32"/>
      <c r="F170" s="7"/>
      <c r="G170" s="7"/>
      <c r="H170" s="7"/>
      <c r="I170" s="14"/>
      <c r="J170" s="14"/>
      <c r="K170" s="14"/>
      <c r="L170" s="14"/>
      <c r="M170" s="32"/>
      <c r="N170" s="32"/>
      <c r="O170" s="7"/>
      <c r="P170" s="43"/>
      <c r="Q170" s="7"/>
      <c r="R170" s="7"/>
      <c r="S170" s="4"/>
      <c r="T170" s="128"/>
    </row>
    <row r="171" spans="1:20" hidden="1">
      <c r="A171" s="7"/>
      <c r="B171" s="7"/>
      <c r="C171" s="7"/>
      <c r="D171" s="7"/>
      <c r="E171" s="32"/>
      <c r="F171" s="7"/>
      <c r="G171" s="7"/>
      <c r="H171" s="7"/>
      <c r="I171" s="14"/>
      <c r="J171" s="14"/>
      <c r="K171" s="14"/>
      <c r="L171" s="14"/>
      <c r="M171" s="32"/>
      <c r="N171" s="32"/>
      <c r="O171" s="7"/>
      <c r="P171" s="43"/>
      <c r="Q171" s="7"/>
      <c r="R171" s="7"/>
      <c r="S171" s="4"/>
      <c r="T171" s="128"/>
    </row>
    <row r="172" spans="1:20" hidden="1">
      <c r="A172" s="7"/>
      <c r="B172" s="7"/>
      <c r="C172" s="7"/>
      <c r="D172" s="7"/>
      <c r="E172" s="32"/>
      <c r="F172" s="7"/>
      <c r="G172" s="7"/>
      <c r="H172" s="7"/>
      <c r="I172" s="14"/>
      <c r="J172" s="14"/>
      <c r="K172" s="14"/>
      <c r="L172" s="14"/>
      <c r="M172" s="32"/>
      <c r="N172" s="32"/>
      <c r="O172" s="7"/>
      <c r="P172" s="43"/>
      <c r="Q172" s="7"/>
      <c r="R172" s="7"/>
      <c r="S172" s="4"/>
      <c r="T172" s="128"/>
    </row>
    <row r="173" spans="1:20" hidden="1">
      <c r="A173" s="7"/>
      <c r="B173" s="7"/>
      <c r="C173" s="7"/>
      <c r="D173" s="7"/>
      <c r="E173" s="32"/>
      <c r="F173" s="7"/>
      <c r="G173" s="7"/>
      <c r="H173" s="7"/>
      <c r="I173" s="14"/>
      <c r="J173" s="14"/>
      <c r="K173" s="14"/>
      <c r="L173" s="14"/>
      <c r="M173" s="32"/>
      <c r="N173" s="32"/>
      <c r="O173" s="7"/>
      <c r="P173" s="43"/>
      <c r="Q173" s="7"/>
      <c r="R173" s="7"/>
      <c r="S173" s="4"/>
      <c r="T173" s="128"/>
    </row>
    <row r="174" spans="1:20" hidden="1">
      <c r="A174" s="7"/>
      <c r="B174" s="7"/>
      <c r="C174" s="7"/>
      <c r="D174" s="7"/>
      <c r="E174" s="32"/>
      <c r="F174" s="7"/>
      <c r="G174" s="7"/>
      <c r="H174" s="7"/>
      <c r="I174" s="14"/>
      <c r="J174" s="14"/>
      <c r="K174" s="14"/>
      <c r="L174" s="14"/>
      <c r="M174" s="32"/>
      <c r="N174" s="32"/>
      <c r="O174" s="7"/>
      <c r="P174" s="43"/>
      <c r="Q174" s="7"/>
      <c r="R174" s="7"/>
      <c r="S174" s="4"/>
      <c r="T174" s="128"/>
    </row>
    <row r="175" spans="1:20" hidden="1">
      <c r="A175" s="7"/>
      <c r="B175" s="7"/>
      <c r="C175" s="7"/>
      <c r="D175" s="7"/>
      <c r="E175" s="32"/>
      <c r="F175" s="7"/>
      <c r="G175" s="7"/>
      <c r="H175" s="7"/>
      <c r="I175" s="14"/>
      <c r="J175" s="14"/>
      <c r="K175" s="14"/>
      <c r="L175" s="14"/>
      <c r="M175" s="32"/>
      <c r="N175" s="32"/>
      <c r="O175" s="7"/>
      <c r="P175" s="43"/>
      <c r="Q175" s="7"/>
      <c r="R175" s="7"/>
      <c r="S175" s="4"/>
      <c r="T175" s="128"/>
    </row>
    <row r="176" spans="1:20" hidden="1">
      <c r="A176" s="7"/>
      <c r="B176" s="7"/>
      <c r="C176" s="7"/>
      <c r="D176" s="7"/>
      <c r="E176" s="32"/>
      <c r="F176" s="7"/>
      <c r="G176" s="7"/>
      <c r="H176" s="7"/>
      <c r="I176" s="14"/>
      <c r="J176" s="14"/>
      <c r="K176" s="14"/>
      <c r="L176" s="14"/>
      <c r="M176" s="32"/>
      <c r="N176" s="32"/>
      <c r="O176" s="7"/>
      <c r="P176" s="43"/>
      <c r="Q176" s="7"/>
      <c r="R176" s="7"/>
      <c r="S176" s="4"/>
      <c r="T176" s="128"/>
    </row>
    <row r="177" spans="1:20" hidden="1">
      <c r="A177" s="7"/>
      <c r="B177" s="7"/>
      <c r="C177" s="7"/>
      <c r="D177" s="7"/>
      <c r="E177" s="32"/>
      <c r="F177" s="7"/>
      <c r="G177" s="7"/>
      <c r="H177" s="7"/>
      <c r="I177" s="14"/>
      <c r="J177" s="14"/>
      <c r="K177" s="14"/>
      <c r="L177" s="14"/>
      <c r="M177" s="32"/>
      <c r="N177" s="32"/>
      <c r="O177" s="7"/>
      <c r="P177" s="43"/>
      <c r="Q177" s="7"/>
      <c r="R177" s="7"/>
      <c r="S177" s="4"/>
      <c r="T177" s="128"/>
    </row>
    <row r="178" spans="1:20" hidden="1">
      <c r="A178" s="7"/>
      <c r="B178" s="7"/>
      <c r="C178" s="7"/>
      <c r="D178" s="7"/>
      <c r="E178" s="32"/>
      <c r="F178" s="7"/>
      <c r="G178" s="7"/>
      <c r="H178" s="7"/>
      <c r="I178" s="14"/>
      <c r="J178" s="14"/>
      <c r="K178" s="14"/>
      <c r="L178" s="14"/>
      <c r="M178" s="32"/>
      <c r="N178" s="32"/>
      <c r="O178" s="7"/>
      <c r="P178" s="43"/>
      <c r="Q178" s="7"/>
      <c r="R178" s="7"/>
      <c r="S178" s="4"/>
      <c r="T178" s="128"/>
    </row>
    <row r="179" spans="1:20" hidden="1">
      <c r="A179" s="7"/>
      <c r="B179" s="7"/>
      <c r="C179" s="7"/>
      <c r="D179" s="7"/>
      <c r="E179" s="32"/>
      <c r="F179" s="7"/>
      <c r="G179" s="7"/>
      <c r="H179" s="7"/>
      <c r="I179" s="14"/>
      <c r="J179" s="14"/>
      <c r="K179" s="14"/>
      <c r="L179" s="14"/>
      <c r="M179" s="32"/>
      <c r="N179" s="32"/>
      <c r="O179" s="7"/>
      <c r="P179" s="43"/>
      <c r="Q179" s="7"/>
      <c r="R179" s="7"/>
      <c r="S179" s="4"/>
      <c r="T179" s="128"/>
    </row>
    <row r="180" spans="1:20" hidden="1">
      <c r="A180" s="7"/>
      <c r="B180" s="7"/>
      <c r="C180" s="7"/>
      <c r="D180" s="7"/>
      <c r="E180" s="32"/>
      <c r="F180" s="7"/>
      <c r="G180" s="7"/>
      <c r="H180" s="7"/>
      <c r="I180" s="14"/>
      <c r="J180" s="14"/>
      <c r="K180" s="14"/>
      <c r="L180" s="14"/>
      <c r="M180" s="32"/>
      <c r="N180" s="32"/>
      <c r="O180" s="7"/>
      <c r="P180" s="43"/>
      <c r="Q180" s="7"/>
      <c r="R180" s="7"/>
      <c r="S180" s="4"/>
      <c r="T180" s="128"/>
    </row>
    <row r="181" spans="1:20" hidden="1">
      <c r="A181" s="7"/>
      <c r="B181" s="7"/>
      <c r="C181" s="7"/>
      <c r="D181" s="7"/>
      <c r="E181" s="32"/>
      <c r="F181" s="7"/>
      <c r="G181" s="7"/>
      <c r="H181" s="7"/>
      <c r="I181" s="14"/>
      <c r="J181" s="14"/>
      <c r="K181" s="14"/>
      <c r="L181" s="14"/>
      <c r="M181" s="32"/>
      <c r="N181" s="32"/>
      <c r="O181" s="7"/>
      <c r="P181" s="43"/>
      <c r="Q181" s="7"/>
      <c r="R181" s="7"/>
      <c r="S181" s="4"/>
      <c r="T181" s="128"/>
    </row>
    <row r="182" spans="1:20" hidden="1">
      <c r="A182" s="7"/>
      <c r="B182" s="7"/>
      <c r="C182" s="7"/>
      <c r="D182" s="7"/>
      <c r="E182" s="32"/>
      <c r="F182" s="7"/>
      <c r="G182" s="7"/>
      <c r="H182" s="7"/>
      <c r="I182" s="14"/>
      <c r="J182" s="14"/>
      <c r="K182" s="14"/>
      <c r="L182" s="14"/>
      <c r="M182" s="32"/>
      <c r="N182" s="32"/>
      <c r="O182" s="7"/>
      <c r="P182" s="43"/>
      <c r="Q182" s="7"/>
      <c r="R182" s="7"/>
      <c r="S182" s="4"/>
      <c r="T182" s="128"/>
    </row>
    <row r="183" spans="1:20" hidden="1">
      <c r="A183" s="7"/>
      <c r="B183" s="7"/>
      <c r="C183" s="7"/>
      <c r="D183" s="7"/>
      <c r="E183" s="32"/>
      <c r="F183" s="7"/>
      <c r="G183" s="7"/>
      <c r="H183" s="7"/>
      <c r="I183" s="14"/>
      <c r="J183" s="14"/>
      <c r="K183" s="14"/>
      <c r="L183" s="14"/>
      <c r="M183" s="32"/>
      <c r="N183" s="32"/>
      <c r="O183" s="7"/>
      <c r="P183" s="43"/>
      <c r="Q183" s="7"/>
      <c r="R183" s="7"/>
      <c r="S183" s="4"/>
      <c r="T183" s="128"/>
    </row>
    <row r="184" spans="1:20" hidden="1">
      <c r="A184" s="7"/>
      <c r="B184" s="7"/>
      <c r="C184" s="7"/>
      <c r="D184" s="7"/>
      <c r="E184" s="32"/>
      <c r="F184" s="7"/>
      <c r="G184" s="7"/>
      <c r="H184" s="7"/>
      <c r="I184" s="14"/>
      <c r="J184" s="14"/>
      <c r="K184" s="14"/>
      <c r="L184" s="14"/>
      <c r="M184" s="32"/>
      <c r="N184" s="32"/>
      <c r="O184" s="7"/>
      <c r="P184" s="43"/>
      <c r="Q184" s="7"/>
      <c r="R184" s="7"/>
      <c r="S184" s="4"/>
      <c r="T184" s="128"/>
    </row>
    <row r="185" spans="1:20" hidden="1">
      <c r="A185" s="7"/>
      <c r="B185" s="7"/>
      <c r="C185" s="7"/>
      <c r="D185" s="7"/>
      <c r="E185" s="32"/>
      <c r="F185" s="7"/>
      <c r="G185" s="7"/>
      <c r="H185" s="7"/>
      <c r="I185" s="14"/>
      <c r="J185" s="14"/>
      <c r="K185" s="14"/>
      <c r="L185" s="14"/>
      <c r="M185" s="32"/>
      <c r="N185" s="32"/>
      <c r="O185" s="7"/>
      <c r="P185" s="43"/>
      <c r="Q185" s="7"/>
      <c r="R185" s="7"/>
      <c r="S185" s="4"/>
      <c r="T185" s="128"/>
    </row>
    <row r="186" spans="1:20" hidden="1">
      <c r="A186" s="7"/>
      <c r="B186" s="7"/>
      <c r="C186" s="7"/>
      <c r="D186" s="7"/>
      <c r="E186" s="32"/>
      <c r="F186" s="7"/>
      <c r="G186" s="7"/>
      <c r="H186" s="7"/>
      <c r="I186" s="14"/>
      <c r="J186" s="14"/>
      <c r="K186" s="14"/>
      <c r="L186" s="14"/>
      <c r="M186" s="32"/>
      <c r="N186" s="32"/>
      <c r="O186" s="7"/>
      <c r="P186" s="43"/>
      <c r="Q186" s="7"/>
      <c r="R186" s="7"/>
      <c r="S186" s="4"/>
      <c r="T186" s="128"/>
    </row>
    <row r="187" spans="1:20" hidden="1">
      <c r="A187" s="7"/>
      <c r="B187" s="7"/>
      <c r="C187" s="7"/>
      <c r="D187" s="7"/>
      <c r="E187" s="32"/>
      <c r="F187" s="7"/>
      <c r="G187" s="7"/>
      <c r="H187" s="7"/>
      <c r="I187" s="14"/>
      <c r="J187" s="14"/>
      <c r="K187" s="14"/>
      <c r="L187" s="14"/>
      <c r="M187" s="32"/>
      <c r="N187" s="32"/>
      <c r="O187" s="7"/>
      <c r="P187" s="43"/>
      <c r="Q187" s="7"/>
      <c r="R187" s="7"/>
      <c r="S187" s="4"/>
      <c r="T187" s="128"/>
    </row>
    <row r="188" spans="1:20" hidden="1">
      <c r="A188" s="7"/>
      <c r="B188" s="7"/>
      <c r="C188" s="7"/>
      <c r="D188" s="7"/>
      <c r="E188" s="32"/>
      <c r="F188" s="7"/>
      <c r="G188" s="7"/>
      <c r="H188" s="7"/>
      <c r="I188" s="14"/>
      <c r="J188" s="14"/>
      <c r="K188" s="14"/>
      <c r="L188" s="14"/>
      <c r="M188" s="32"/>
      <c r="N188" s="32"/>
      <c r="O188" s="7"/>
      <c r="P188" s="43"/>
      <c r="Q188" s="7"/>
      <c r="R188" s="7"/>
      <c r="S188" s="4"/>
      <c r="T188" s="128"/>
    </row>
    <row r="189" spans="1:20" hidden="1">
      <c r="A189" s="7"/>
      <c r="B189" s="7"/>
      <c r="C189" s="7"/>
      <c r="D189" s="7"/>
      <c r="E189" s="32"/>
      <c r="F189" s="7"/>
      <c r="G189" s="7"/>
      <c r="H189" s="7"/>
      <c r="I189" s="14"/>
      <c r="J189" s="14"/>
      <c r="K189" s="14"/>
      <c r="L189" s="14"/>
      <c r="M189" s="32"/>
      <c r="N189" s="32"/>
      <c r="O189" s="7"/>
      <c r="P189" s="43"/>
      <c r="Q189" s="7"/>
      <c r="R189" s="7"/>
      <c r="S189" s="4"/>
      <c r="T189" s="128"/>
    </row>
    <row r="190" spans="1:20" hidden="1">
      <c r="A190" s="7"/>
      <c r="B190" s="7"/>
      <c r="C190" s="7"/>
      <c r="D190" s="7"/>
      <c r="E190" s="32"/>
      <c r="F190" s="7"/>
      <c r="G190" s="7"/>
      <c r="H190" s="7"/>
      <c r="I190" s="14"/>
      <c r="J190" s="14"/>
      <c r="K190" s="14"/>
      <c r="L190" s="14"/>
      <c r="M190" s="32"/>
      <c r="N190" s="32"/>
      <c r="O190" s="7"/>
      <c r="P190" s="43"/>
      <c r="Q190" s="7"/>
      <c r="R190" s="7"/>
      <c r="S190" s="4"/>
      <c r="T190" s="128"/>
    </row>
    <row r="191" spans="1:20" hidden="1">
      <c r="A191" s="7"/>
      <c r="B191" s="7"/>
      <c r="C191" s="7"/>
      <c r="D191" s="7"/>
      <c r="E191" s="32"/>
      <c r="F191" s="7"/>
      <c r="G191" s="7"/>
      <c r="H191" s="7"/>
      <c r="I191" s="14"/>
      <c r="J191" s="14"/>
      <c r="K191" s="14"/>
      <c r="L191" s="14"/>
      <c r="M191" s="32"/>
      <c r="N191" s="32"/>
      <c r="O191" s="7"/>
      <c r="P191" s="43"/>
      <c r="Q191" s="7"/>
      <c r="R191" s="7"/>
      <c r="S191" s="4"/>
      <c r="T191" s="128"/>
    </row>
    <row r="192" spans="1:20" hidden="1">
      <c r="A192" s="7"/>
      <c r="B192" s="7"/>
      <c r="C192" s="7"/>
      <c r="D192" s="7"/>
      <c r="E192" s="32"/>
      <c r="F192" s="7"/>
      <c r="G192" s="7"/>
      <c r="H192" s="7"/>
      <c r="I192" s="14"/>
      <c r="J192" s="14"/>
      <c r="K192" s="14"/>
      <c r="L192" s="14"/>
      <c r="M192" s="32"/>
      <c r="N192" s="32"/>
      <c r="O192" s="7"/>
      <c r="P192" s="43"/>
      <c r="Q192" s="7"/>
      <c r="R192" s="7"/>
      <c r="S192" s="4"/>
      <c r="T192" s="128"/>
    </row>
    <row r="193" spans="1:20" hidden="1">
      <c r="A193" s="7"/>
      <c r="B193" s="7"/>
      <c r="C193" s="7"/>
      <c r="D193" s="7"/>
      <c r="E193" s="32"/>
      <c r="F193" s="7"/>
      <c r="G193" s="7"/>
      <c r="H193" s="7"/>
      <c r="I193" s="14"/>
      <c r="J193" s="14"/>
      <c r="K193" s="14"/>
      <c r="L193" s="14"/>
      <c r="M193" s="32"/>
      <c r="N193" s="32"/>
      <c r="O193" s="7"/>
      <c r="P193" s="43"/>
      <c r="Q193" s="7"/>
      <c r="R193" s="7"/>
      <c r="S193" s="4"/>
      <c r="T193" s="128"/>
    </row>
    <row r="194" spans="1:20" hidden="1">
      <c r="A194" s="7"/>
      <c r="B194" s="7"/>
      <c r="C194" s="7"/>
      <c r="D194" s="7"/>
      <c r="E194" s="32"/>
      <c r="F194" s="7"/>
      <c r="G194" s="7"/>
      <c r="H194" s="7"/>
      <c r="I194" s="14"/>
      <c r="J194" s="14"/>
      <c r="K194" s="14"/>
      <c r="L194" s="14"/>
      <c r="M194" s="32"/>
      <c r="N194" s="32"/>
      <c r="O194" s="7"/>
      <c r="P194" s="43"/>
      <c r="Q194" s="7"/>
      <c r="R194" s="7"/>
      <c r="S194" s="4"/>
      <c r="T194" s="128"/>
    </row>
    <row r="195" spans="1:20" hidden="1">
      <c r="A195" s="7"/>
      <c r="B195" s="7"/>
      <c r="C195" s="7"/>
      <c r="D195" s="7"/>
      <c r="E195" s="32"/>
      <c r="F195" s="7"/>
      <c r="G195" s="7"/>
      <c r="H195" s="7"/>
      <c r="I195" s="14"/>
      <c r="J195" s="14"/>
      <c r="K195" s="14"/>
      <c r="L195" s="14"/>
      <c r="M195" s="32"/>
      <c r="N195" s="32"/>
      <c r="O195" s="7"/>
      <c r="P195" s="43"/>
      <c r="Q195" s="7"/>
      <c r="R195" s="7"/>
      <c r="S195" s="4"/>
      <c r="T195" s="128"/>
    </row>
    <row r="196" spans="1:20" hidden="1">
      <c r="A196" s="7"/>
      <c r="B196" s="7"/>
      <c r="C196" s="7"/>
      <c r="D196" s="7"/>
      <c r="E196" s="32"/>
      <c r="F196" s="7"/>
      <c r="G196" s="7"/>
      <c r="H196" s="7"/>
      <c r="I196" s="14"/>
      <c r="J196" s="14"/>
      <c r="K196" s="14"/>
      <c r="L196" s="14"/>
      <c r="M196" s="32"/>
      <c r="N196" s="32"/>
      <c r="O196" s="7"/>
      <c r="P196" s="43"/>
      <c r="Q196" s="7"/>
      <c r="R196" s="7"/>
      <c r="S196" s="4"/>
      <c r="T196" s="128"/>
    </row>
    <row r="197" spans="1:20" hidden="1">
      <c r="A197" s="7"/>
      <c r="B197" s="7"/>
      <c r="C197" s="7"/>
      <c r="D197" s="7"/>
      <c r="E197" s="32"/>
      <c r="F197" s="7"/>
      <c r="G197" s="7"/>
      <c r="H197" s="7"/>
      <c r="I197" s="14"/>
      <c r="J197" s="14"/>
      <c r="K197" s="14"/>
      <c r="L197" s="14"/>
      <c r="M197" s="32"/>
      <c r="N197" s="32"/>
      <c r="O197" s="7"/>
      <c r="P197" s="43"/>
      <c r="Q197" s="7"/>
      <c r="R197" s="7"/>
      <c r="S197" s="4"/>
      <c r="T197" s="128"/>
    </row>
    <row r="198" spans="1:20" hidden="1">
      <c r="A198" s="7"/>
      <c r="B198" s="7"/>
      <c r="C198" s="7"/>
      <c r="D198" s="7"/>
      <c r="E198" s="32"/>
      <c r="F198" s="7"/>
      <c r="G198" s="7"/>
      <c r="H198" s="7"/>
      <c r="I198" s="14"/>
      <c r="J198" s="14"/>
      <c r="K198" s="14"/>
      <c r="L198" s="14"/>
      <c r="M198" s="32"/>
      <c r="N198" s="32"/>
      <c r="O198" s="7"/>
      <c r="P198" s="43"/>
      <c r="Q198" s="7"/>
      <c r="R198" s="7"/>
      <c r="S198" s="4"/>
      <c r="T198" s="128"/>
    </row>
    <row r="199" spans="1:20" hidden="1">
      <c r="A199" s="7"/>
      <c r="B199" s="7"/>
      <c r="C199" s="7"/>
      <c r="D199" s="7"/>
      <c r="E199" s="32"/>
      <c r="F199" s="7"/>
      <c r="G199" s="7"/>
      <c r="H199" s="7"/>
      <c r="I199" s="14"/>
      <c r="J199" s="14"/>
      <c r="K199" s="14"/>
      <c r="L199" s="14"/>
      <c r="M199" s="32"/>
      <c r="N199" s="32"/>
      <c r="O199" s="7"/>
      <c r="P199" s="43"/>
      <c r="Q199" s="7"/>
      <c r="R199" s="7"/>
      <c r="S199" s="4"/>
      <c r="T199" s="128"/>
    </row>
    <row r="200" spans="1:20" hidden="1">
      <c r="A200" s="7"/>
      <c r="B200" s="7"/>
      <c r="C200" s="7"/>
      <c r="D200" s="7"/>
      <c r="E200" s="32"/>
      <c r="F200" s="7"/>
      <c r="G200" s="7"/>
      <c r="H200" s="7"/>
      <c r="I200" s="14"/>
      <c r="J200" s="14"/>
      <c r="K200" s="14"/>
      <c r="L200" s="14"/>
      <c r="M200" s="32"/>
      <c r="N200" s="32"/>
      <c r="O200" s="7"/>
      <c r="P200" s="43"/>
      <c r="Q200" s="7"/>
      <c r="R200" s="7"/>
      <c r="S200" s="4"/>
      <c r="T200" s="128"/>
    </row>
  </sheetData>
  <autoFilter ref="A1:T200" xr:uid="{72ADFCA9-1D6C-4BA5-9FF6-FC90E457D641}">
    <filterColumn colId="6">
      <filters>
        <filter val="HTML/CSS"/>
      </filters>
    </filterColumn>
    <filterColumn colId="16">
      <filters blank="1">
        <filter val="Open"/>
        <filter val="Reopened"/>
      </filters>
    </filterColumn>
  </autoFilter>
  <dataValidations count="7">
    <dataValidation allowBlank="1" showInputMessage="1" showErrorMessage="1" sqref="R75:R77 D1:D37 D39:D66 R2:R70 R79:R1048576 D80:D1048576" xr:uid="{DEFEDEB0-E32C-4067-B483-D851B8E11599}"/>
    <dataValidation type="list" allowBlank="1" showInputMessage="1" showErrorMessage="1" sqref="Q75:Q77 Q2:Q70 Q79:Q1048576" xr:uid="{EF31FDE4-841F-41C9-B917-135E0F6F1163}">
      <formula1>"Open, Resolved, Hold,  Reopened, Need Discussion"</formula1>
    </dataValidation>
    <dataValidation type="list" allowBlank="1" showInputMessage="1" showErrorMessage="1" sqref="O2:O43 O56:O59 O66 O63 O45:O54 O81 O83:O1048576" xr:uid="{5CAB6E36-B00F-445E-94A3-27BC390BDABD}">
      <formula1>"Fixed, In Progress, Need Discussion"</formula1>
    </dataValidation>
    <dataValidation type="list" allowBlank="1" showInputMessage="1" showErrorMessage="1" sqref="C2:C37 C39:C66 C80:C1048576" xr:uid="{6D1B6780-AC52-4DF2-96BC-49C24584B105}">
      <formula1>"P0, P1, P2, P3"</formula1>
    </dataValidation>
    <dataValidation type="list" allowBlank="1" showInputMessage="1" showErrorMessage="1" sqref="O44 O60:O62 O64:O65 O80 O82" xr:uid="{ADE6AFE2-F8FC-4354-9236-19380E60BD05}">
      <formula1>"Fixed, In Progress, Need Discussion, Rejected, Blocked"</formula1>
    </dataValidation>
    <dataValidation type="list" allowBlank="1" showInputMessage="1" showErrorMessage="1" sqref="G2:G1048576" xr:uid="{C7331085-0E04-45D0-A2F0-406786FA3C5B}">
      <formula1>"PVT, UAT, HTML/CSS"</formula1>
    </dataValidation>
    <dataValidation type="list" allowBlank="1" showInputMessage="1" showErrorMessage="1" sqref="T2:T1048576" xr:uid="{C907CA43-9629-4F10-B98D-2B9AC3509439}">
      <formula1>"Fixed, Pending, Reopen"</formula1>
    </dataValidation>
  </dataValidations>
  <hyperlinks>
    <hyperlink ref="K2" r:id="rId1" xr:uid="{730EB1D5-7FAE-4196-A0E6-BA5D016609E4}"/>
    <hyperlink ref="L2" r:id="rId2" xr:uid="{A51510E8-9E19-4AE4-B4E2-7701A35B6083}"/>
    <hyperlink ref="K3" r:id="rId3" xr:uid="{F66BA129-4A56-4ABB-801D-F791D7643C55}"/>
    <hyperlink ref="L3" r:id="rId4" xr:uid="{25E01045-ACB9-465D-A151-2123056C3F37}"/>
    <hyperlink ref="K4" r:id="rId5" xr:uid="{74F69FE1-67FA-4981-90F8-7E82A1277EA1}"/>
    <hyperlink ref="K5" r:id="rId6" xr:uid="{995A5B54-851F-48F2-8527-F92278CDF4DB}"/>
    <hyperlink ref="K6" r:id="rId7" xr:uid="{4B1FD3D3-5F57-4522-A9A1-76B4ED1D9C1A}"/>
    <hyperlink ref="L6" r:id="rId8" xr:uid="{D95678D3-CDF2-4730-80F0-96BFC9CE83BE}"/>
    <hyperlink ref="K7" r:id="rId9" xr:uid="{25DB208B-35BB-45E1-960A-68169F05DAF8}"/>
    <hyperlink ref="K8" r:id="rId10" xr:uid="{85DDC89F-30F0-4BDE-A759-23C559DF1BCA}"/>
    <hyperlink ref="K9" r:id="rId11" xr:uid="{5E68EEFB-692A-4E8A-A342-D95031E2B508}"/>
    <hyperlink ref="L9" r:id="rId12" xr:uid="{D8F7813E-C33C-468F-A6A0-876F17F161F4}"/>
    <hyperlink ref="K10" r:id="rId13" xr:uid="{A78D75ED-9065-426A-9126-74472119D2F6}"/>
    <hyperlink ref="L10" r:id="rId14" xr:uid="{A6244631-2909-41DC-BA82-7314291D6CF4}"/>
    <hyperlink ref="K11" r:id="rId15" xr:uid="{52C8623A-043C-487F-9B51-7325F870222F}"/>
    <hyperlink ref="L11" r:id="rId16" xr:uid="{D83B338F-3681-4210-B452-05CA609D704A}"/>
    <hyperlink ref="K12" r:id="rId17" xr:uid="{4C9A237E-3700-4692-A3EA-22AD344C815E}"/>
    <hyperlink ref="L12" r:id="rId18" xr:uid="{F7790290-AB90-4C0C-8DF4-76B7411EB9C7}"/>
    <hyperlink ref="K13" r:id="rId19" xr:uid="{184DB317-73AA-42AE-B89A-822B8F0C376F}"/>
    <hyperlink ref="K14" r:id="rId20" xr:uid="{93020478-76AC-4B77-8560-8CBAFC8A2D28}"/>
    <hyperlink ref="K16" r:id="rId21" xr:uid="{BA1A9F0F-40AB-410D-BEBD-0DFBFAB1805D}"/>
    <hyperlink ref="K15" r:id="rId22" xr:uid="{C80B2969-A4C5-46E9-87F0-93E9D9ECCCC9}"/>
    <hyperlink ref="K17" r:id="rId23" xr:uid="{00313F9A-16EF-44E3-BB84-F768A882DAD6}"/>
    <hyperlink ref="L17" r:id="rId24" xr:uid="{3C76F347-6C76-4A09-BBBF-B275F5B2CBD9}"/>
    <hyperlink ref="K18" r:id="rId25" xr:uid="{E4059CFD-4716-4E64-BA29-6121D90748D9}"/>
    <hyperlink ref="K19" r:id="rId26" xr:uid="{7E6A5C30-C92E-4421-AD04-C7E25F6F82D3}"/>
    <hyperlink ref="L19" r:id="rId27" xr:uid="{B5F9A332-0870-48A5-A85F-30A1380F203D}"/>
    <hyperlink ref="K20" r:id="rId28" xr:uid="{CFA48FB3-0103-4D1A-B2FA-D2189FCB394B}"/>
    <hyperlink ref="K21" r:id="rId29" xr:uid="{9253218E-D8A4-46E1-9961-DA1DD8AA9C50}"/>
    <hyperlink ref="L21" r:id="rId30" xr:uid="{1650A3A1-4FC5-48E2-926E-11F0183CE9FC}"/>
    <hyperlink ref="K22" r:id="rId31" xr:uid="{F279D6F4-9CC2-4F71-8044-995734444F8F}"/>
    <hyperlink ref="K23" r:id="rId32" xr:uid="{C749D5AC-4B65-413D-B91B-764F78BF162B}"/>
    <hyperlink ref="L24" r:id="rId33" xr:uid="{1F4D0295-EA00-4107-BEFF-C1B24223B289}"/>
    <hyperlink ref="K24" r:id="rId34" xr:uid="{08594B0E-91FF-4CBE-89FB-80FDDD9E554C}"/>
    <hyperlink ref="K25" r:id="rId35" xr:uid="{A1DE914D-390F-4487-ADFC-94088A9153AF}"/>
    <hyperlink ref="K26" r:id="rId36" xr:uid="{58D85B1C-F00C-4865-9F17-FCDE1245DA5A}"/>
    <hyperlink ref="K27" r:id="rId37" xr:uid="{94C3750E-57D9-4B38-BD0A-B45AC2B747EB}"/>
    <hyperlink ref="K28" r:id="rId38" xr:uid="{CD8D8494-D9A8-41F3-B8A5-8E7C57E1CB75}"/>
    <hyperlink ref="K29" r:id="rId39" xr:uid="{5C225CA4-525A-49D9-A965-56311F9D7FB7}"/>
    <hyperlink ref="K30" r:id="rId40" xr:uid="{6670B6E0-B53D-411B-96FB-C78F174D2CE0}"/>
    <hyperlink ref="K31" r:id="rId41" xr:uid="{E6F98DD6-0043-43F8-B74B-9F0DB72A1324}"/>
    <hyperlink ref="L31" r:id="rId42" xr:uid="{8137D4A7-8096-4579-8744-80C92FD509E1}"/>
    <hyperlink ref="K32" r:id="rId43" xr:uid="{0D6C007F-FFC3-46B1-B5CB-0C6BEB3E393A}"/>
    <hyperlink ref="K33" r:id="rId44" xr:uid="{F95AF8AD-15A1-47E9-8237-CF7F5E1D6F6B}"/>
    <hyperlink ref="K34" r:id="rId45" xr:uid="{ACEC6A76-F2C1-4A8E-AD32-CC24E926AF91}"/>
    <hyperlink ref="K35" r:id="rId46" xr:uid="{ADE81A97-A12F-4D43-9131-006C4C22E510}"/>
    <hyperlink ref="K36" r:id="rId47" xr:uid="{69EAE43E-7F8B-459B-88C0-689CB7ABCB55}"/>
    <hyperlink ref="K37" r:id="rId48" xr:uid="{59280768-A662-4969-BA52-A82A9E770A66}"/>
    <hyperlink ref="K38" r:id="rId49" xr:uid="{B1434976-F2C0-4F6E-B783-FC12EE5AA60B}"/>
    <hyperlink ref="K39" r:id="rId50" xr:uid="{CE21519F-5DC1-4B96-BC8C-A62679A44D97}"/>
    <hyperlink ref="L39" r:id="rId51" xr:uid="{D58308BB-8135-4CC7-8CB3-64F095D40E53}"/>
    <hyperlink ref="K40" r:id="rId52" xr:uid="{333EF9BA-087B-4260-B83B-32E4954229B3}"/>
    <hyperlink ref="L40" r:id="rId53" xr:uid="{206F7B2C-647C-4953-9207-E208008F2055}"/>
    <hyperlink ref="K41" r:id="rId54" xr:uid="{A2693F08-BDC1-4106-BC7F-1A853F6137AA}"/>
    <hyperlink ref="L41" r:id="rId55" xr:uid="{153C6015-CE74-4023-BC2B-038845A54136}"/>
    <hyperlink ref="K42" r:id="rId56" xr:uid="{19DCE3AA-A58F-4941-BB61-169A005B2767}"/>
    <hyperlink ref="L42" r:id="rId57" xr:uid="{51B86156-4623-491B-AD58-A50827644589}"/>
    <hyperlink ref="K43" r:id="rId58" xr:uid="{4488C78E-C75D-41CB-86B9-DE0BA5321BB5}"/>
    <hyperlink ref="L44" r:id="rId59" xr:uid="{856AF1FD-241D-447D-9D38-817871963CF0}"/>
    <hyperlink ref="K44" r:id="rId60" xr:uid="{22F96455-DFC3-4551-9C21-31DA477FDB3A}"/>
    <hyperlink ref="K45" r:id="rId61" xr:uid="{48EE1C75-6725-4992-B5BE-3161DB3A8217}"/>
    <hyperlink ref="K46" r:id="rId62" xr:uid="{DADE9EC5-DF7F-472B-902E-7AACAA0B4A89}"/>
    <hyperlink ref="K47" r:id="rId63" xr:uid="{D450ABA9-6950-476D-AAD6-BBA157F22C4C}"/>
    <hyperlink ref="K49" r:id="rId64" xr:uid="{CAB6A157-5780-4B6F-8291-97E5CCC6EF5F}"/>
    <hyperlink ref="K50" r:id="rId65" xr:uid="{52FC4795-945F-4DEB-8CAE-9D65FA7D349C}"/>
    <hyperlink ref="K51" r:id="rId66" xr:uid="{61EEE9DF-F7CA-459F-AA77-B073A8886BB7}"/>
    <hyperlink ref="K52" r:id="rId67" xr:uid="{36DC90F1-B070-4554-A5AD-34DE6FF5747B}"/>
    <hyperlink ref="K53" r:id="rId68" xr:uid="{1FF61CF7-2354-4EF1-B5CD-4E9C949C9737}"/>
    <hyperlink ref="K54" r:id="rId69" xr:uid="{FF6295CF-9BCF-4769-A3A3-02C95FB54F36}"/>
    <hyperlink ref="K55" r:id="rId70" xr:uid="{734C3A41-0B4D-4BE8-8515-A4338FDB484C}"/>
    <hyperlink ref="K56" r:id="rId71" xr:uid="{AF628B02-D74D-48EC-88F1-1CA84DD02C8E}"/>
    <hyperlink ref="K57" r:id="rId72" xr:uid="{77D15DE4-7298-4D08-98B4-92B15696FB28}"/>
    <hyperlink ref="K58" r:id="rId73" xr:uid="{6BDF11FC-0524-47C4-9B87-ACBD36596486}"/>
    <hyperlink ref="K59" r:id="rId74" xr:uid="{D03B7836-E754-4088-89FA-84D9F20835DD}"/>
    <hyperlink ref="L59" r:id="rId75" xr:uid="{ECD930B6-8330-4DEE-935C-7916732C4BFF}"/>
    <hyperlink ref="K60" r:id="rId76" xr:uid="{8638E359-E85A-459E-826C-02DBBE21EBAB}"/>
    <hyperlink ref="K61" r:id="rId77" xr:uid="{E3D47E0B-77BD-462D-B30E-C46778BFF625}"/>
    <hyperlink ref="K62" r:id="rId78" xr:uid="{8F7E8994-1388-4533-A907-3DA6D76D5F03}"/>
    <hyperlink ref="K63" r:id="rId79" xr:uid="{09D5D539-32D0-46C3-AAD0-276BEA015FB8}"/>
    <hyperlink ref="K64" r:id="rId80" xr:uid="{55F41F96-A2E5-40FA-8B6C-7F3538AEBF58}"/>
    <hyperlink ref="K65" r:id="rId81" xr:uid="{705A06D6-F381-4CA3-9E04-E45712500820}"/>
    <hyperlink ref="K66" r:id="rId82" xr:uid="{ADC5C7C9-684F-4B20-87FB-166591A75E60}"/>
    <hyperlink ref="K67" r:id="rId83" xr:uid="{3DA9F2C1-9F1F-43AB-AE78-00203B65769D}"/>
    <hyperlink ref="K68" r:id="rId84" xr:uid="{B814ABF9-A96C-4A38-94C1-8D95892D5A0D}"/>
    <hyperlink ref="K69" r:id="rId85" xr:uid="{C1D871B3-5CC3-44C0-8E05-3A105B148E4C}"/>
    <hyperlink ref="K70" r:id="rId86" xr:uid="{F3D9E49A-C970-412F-8ADA-D3BC4DCCF351}"/>
    <hyperlink ref="K71" r:id="rId87" xr:uid="{2A693EF2-4FE2-4ECB-A3C6-5883A35BDDD5}"/>
    <hyperlink ref="K72" r:id="rId88" xr:uid="{2A022C59-4468-49EA-821A-132D313C4955}"/>
    <hyperlink ref="K73" r:id="rId89" xr:uid="{4B56C5B5-945E-4901-849B-E2911681BE83}"/>
    <hyperlink ref="K74" r:id="rId90" xr:uid="{D7E09740-C3A4-4CE5-8B5F-C0075ABE388E}"/>
    <hyperlink ref="K75" r:id="rId91" xr:uid="{51A67AF3-880C-4D26-8A87-C6687E6CDC1C}"/>
    <hyperlink ref="K76" r:id="rId92" xr:uid="{AA128DF6-C2AE-47AD-8F6B-3AC74E11109B}"/>
    <hyperlink ref="K77" r:id="rId93" xr:uid="{1391A7D2-2F39-4708-AA21-F3238F3741F2}"/>
    <hyperlink ref="K78" r:id="rId94" xr:uid="{E9D5C297-E439-42FF-B307-E734CBA0E3BA}"/>
    <hyperlink ref="K79" r:id="rId95" xr:uid="{B93A055E-64B5-4231-8681-C2835F4AF803}"/>
    <hyperlink ref="K80" r:id="rId96" xr:uid="{A7AA1221-0D64-4AFB-8C8B-500DAF34CE87}"/>
    <hyperlink ref="K81" r:id="rId97" xr:uid="{09E27777-153E-4999-9D13-3F561B3B26C9}"/>
    <hyperlink ref="L81" r:id="rId98" xr:uid="{30BEC727-A3D3-4442-8FE4-13B71C8A7F37}"/>
    <hyperlink ref="K82" r:id="rId99" xr:uid="{4AB99CE3-11B3-46D5-BBB8-65B65A64ADD7}"/>
    <hyperlink ref="K83" r:id="rId100" xr:uid="{9BECC4C9-9A83-44C0-B9B0-4FA9AA833F3C}"/>
    <hyperlink ref="K84" r:id="rId101" xr:uid="{33D954E6-4AB9-4D2B-85D5-CC2448207F20}"/>
    <hyperlink ref="K85" r:id="rId102" xr:uid="{1DC2D03F-6163-436F-BF33-B818B55D0117}"/>
    <hyperlink ref="K86" r:id="rId103" xr:uid="{B4542951-1D65-46F2-80DA-7FAE1F03BCFF}"/>
    <hyperlink ref="K87" r:id="rId104" xr:uid="{9427ED46-1C1E-47DE-B598-EF959D277F6B}"/>
    <hyperlink ref="K88" r:id="rId105" xr:uid="{5242F722-F113-4EC0-9C91-44FDF6E2E74F}"/>
    <hyperlink ref="K89" r:id="rId106" xr:uid="{C44D2A10-578A-4C90-85C0-8AA35ED6005A}"/>
    <hyperlink ref="K90" r:id="rId107" xr:uid="{4726AC8E-7F95-40EE-A52A-F7FBF4FF6481}"/>
    <hyperlink ref="S42" r:id="rId108" display="https://loom.com/i/1fb5cf957b224567a6f6774bf70557ab" xr:uid="{88AE3A07-ACFC-475B-96B0-562DC537C2FC}"/>
    <hyperlink ref="K91" r:id="rId109" xr:uid="{B2076973-2CF9-4D5E-A66A-3C0965711315}"/>
    <hyperlink ref="K92" r:id="rId110" xr:uid="{08BCEE39-356B-4895-ADDB-99B354055DDC}"/>
    <hyperlink ref="K93" r:id="rId111" xr:uid="{8B41FC30-5EF2-46EC-9B58-A2EC19A90D9C}"/>
    <hyperlink ref="K94" r:id="rId112" xr:uid="{E880BBFE-6C30-4BB5-933A-E5601FD30EAC}"/>
    <hyperlink ref="K95" r:id="rId113" xr:uid="{8D371FA0-E5E1-416D-8C97-2C9E4073472D}"/>
    <hyperlink ref="K96" r:id="rId114" xr:uid="{12DD3684-88F4-433B-B425-BAE4ED78B15E}"/>
    <hyperlink ref="K97" r:id="rId115" xr:uid="{176BFCA6-76CC-4D91-B4BC-F1AA97E6B4D4}"/>
    <hyperlink ref="K98" r:id="rId116" xr:uid="{D9518181-4C8C-44AD-B39E-06E040D68405}"/>
    <hyperlink ref="K99" r:id="rId117" xr:uid="{7685C23A-89C0-4342-A54D-9DC0B4F78E98}"/>
    <hyperlink ref="K100" r:id="rId118" xr:uid="{E57BC7AF-AC4A-4D8B-B008-D03CAAFF636B}"/>
    <hyperlink ref="K101" r:id="rId119" xr:uid="{547BE606-6B90-4915-95B8-8C6D6DD4027D}"/>
    <hyperlink ref="K102" r:id="rId120" xr:uid="{1DB46D4A-31C3-42CD-950B-74858F7ABE41}"/>
    <hyperlink ref="K103" r:id="rId121" xr:uid="{0F328B71-C1DC-4033-B77D-07602EFD78DF}"/>
    <hyperlink ref="K104" r:id="rId122" xr:uid="{21B8F72F-87A8-43B3-B76C-289304D2F7B9}"/>
    <hyperlink ref="K105" r:id="rId123" xr:uid="{5121AC0C-9C44-476F-8D35-FF29EBA2A1B0}"/>
    <hyperlink ref="K106" r:id="rId124" xr:uid="{7440D011-1CB9-4F02-A4AE-81E32C40A613}"/>
    <hyperlink ref="K107" r:id="rId125" xr:uid="{B9FF1C86-F831-4181-AD46-5E9E0BE00006}"/>
    <hyperlink ref="K108" r:id="rId126" xr:uid="{EBE76EA4-985C-4F61-A44F-6DD652F2ECD0}"/>
    <hyperlink ref="K109" r:id="rId127" xr:uid="{A092EFED-5CDF-41A4-9C84-0AE6092242F3}"/>
    <hyperlink ref="K110" r:id="rId128" xr:uid="{7EBEC1F1-643A-4FF0-9092-F86FBF1832F9}"/>
    <hyperlink ref="K111" r:id="rId129" xr:uid="{47A4A553-BB0F-4372-8E3A-E77AF606673E}"/>
    <hyperlink ref="K112" r:id="rId130" xr:uid="{699CC939-5426-4E3E-A8C6-AAB5BE3498D3}"/>
    <hyperlink ref="K113" r:id="rId131" xr:uid="{53F6F944-CF4B-46D3-9606-AEB3B0B36A95}"/>
    <hyperlink ref="K114" r:id="rId132" xr:uid="{6C81E311-3B3A-4D4B-9AC9-695459E22698}"/>
    <hyperlink ref="K115" r:id="rId133" xr:uid="{80BEDED6-B1ED-4A3C-B4EF-64AE49B85B93}"/>
    <hyperlink ref="K116" r:id="rId134" xr:uid="{88B03981-8A91-4499-8901-5AA64D3F4C7B}"/>
    <hyperlink ref="K117" r:id="rId135" xr:uid="{37B5215A-97FC-4580-B34B-9952BEC2FA2C}"/>
    <hyperlink ref="K118" r:id="rId136" xr:uid="{3B813EED-F684-4140-AEEB-3C9D2D04CDF1}"/>
    <hyperlink ref="K119" r:id="rId137" xr:uid="{B5FAAFBB-D617-4848-9E9D-89305A88EBA4}"/>
    <hyperlink ref="K120" r:id="rId138" xr:uid="{0E23CA97-49B5-4990-8B2F-C6B523429F99}"/>
    <hyperlink ref="K121" r:id="rId139" xr:uid="{AE49909B-784F-4B8E-BC6C-B00323B43C4F}"/>
    <hyperlink ref="K122" r:id="rId140" xr:uid="{5E67AF54-6E16-4028-95AA-C4EF7F8A99BA}"/>
    <hyperlink ref="K123" r:id="rId141" xr:uid="{4FF3C839-BFC9-4D16-BAED-88A642E36EDE}"/>
    <hyperlink ref="K124" r:id="rId142" xr:uid="{E290560A-3F86-4F74-93D8-DEF71B49427B}"/>
    <hyperlink ref="K125" r:id="rId143" xr:uid="{56397CBA-59D0-4AF2-9F54-CC800C008E76}"/>
    <hyperlink ref="K126" r:id="rId144" xr:uid="{E521C099-8FAC-41EF-9E04-0D7294099DA7}"/>
    <hyperlink ref="K127" r:id="rId145" xr:uid="{5913D22B-366D-4E33-86C8-191445B86B3B}"/>
    <hyperlink ref="K128" r:id="rId146" xr:uid="{06038D0C-9164-4FAD-AAEC-0DDEE213D247}"/>
    <hyperlink ref="K129" r:id="rId147" xr:uid="{D7CCAA20-68CB-443F-86DB-14B67F1BAC5D}"/>
    <hyperlink ref="K130" r:id="rId148" xr:uid="{671B9244-57F2-4E3D-AA59-7B3B49C786B0}"/>
    <hyperlink ref="K131" r:id="rId149" xr:uid="{AD1CED1A-2408-4D2B-9A33-1DB0DAE53C3F}"/>
    <hyperlink ref="L131" r:id="rId150" xr:uid="{F8856C76-CDB4-4A6D-8AA9-20F61B485EF7}"/>
    <hyperlink ref="K132" r:id="rId151" xr:uid="{245FF35A-EF57-45E9-B588-CEAF8218F58D}"/>
    <hyperlink ref="K133" r:id="rId152" xr:uid="{C5E19205-0E8C-43C0-BDF9-621D14D51797}"/>
    <hyperlink ref="K134" r:id="rId153" xr:uid="{B263604B-30AB-4015-A3F9-71386309A3E9}"/>
    <hyperlink ref="K135" r:id="rId154" xr:uid="{89CEE161-CE48-4E14-B978-44FACFC933FE}"/>
    <hyperlink ref="K136" r:id="rId155" xr:uid="{394A6FE6-FBE0-441C-916A-745F8285E0BC}"/>
    <hyperlink ref="K137" r:id="rId156" xr:uid="{04DBBDEE-94DB-4AE2-AE82-255C5701CE85}"/>
    <hyperlink ref="K138" r:id="rId157" xr:uid="{68F69BAA-2A24-4611-ADC7-904295942D42}"/>
    <hyperlink ref="S106" r:id="rId158" display="https://loom.com/i/f48e7aacb7704b8b9cf1dce21f5e3f7f" xr:uid="{0065709B-0ACD-41F8-BC11-F8E0A7D70B32}"/>
    <hyperlink ref="K139" r:id="rId159" xr:uid="{F14A0392-28FC-4CEB-9F3B-0536D6827BBB}"/>
    <hyperlink ref="K140" r:id="rId160" xr:uid="{3FCF312E-7495-4CC7-958E-995EAAC95313}"/>
    <hyperlink ref="K141" r:id="rId161" xr:uid="{8DD0B6D5-0480-485D-BBEF-CC510C7E8009}"/>
    <hyperlink ref="K142" r:id="rId162" xr:uid="{E59A8915-31A5-4FD7-B583-77861A07829B}"/>
    <hyperlink ref="K143" r:id="rId163" xr:uid="{AD333F85-9815-47E7-8C31-3950501354E7}"/>
    <hyperlink ref="K145" r:id="rId164" xr:uid="{59801C91-B9AB-4A13-B08D-0492C0CC9942}"/>
    <hyperlink ref="K144" r:id="rId165" xr:uid="{273DD0E0-6CAA-4A10-99E2-2DA53E0EA4E1}"/>
    <hyperlink ref="K146" r:id="rId166" xr:uid="{9E586D21-DE45-44AE-8BD0-AADCBAA45A9E}"/>
    <hyperlink ref="K147" r:id="rId167" xr:uid="{7988CA1D-70F3-4F2D-8BFD-87C507055889}"/>
    <hyperlink ref="K148" r:id="rId168" xr:uid="{4268E7D5-9894-43EA-87BE-61F63A33759F}"/>
    <hyperlink ref="K149" r:id="rId169" xr:uid="{2005D3C6-2E3E-4439-B6FA-B1A91AC72BB9}"/>
    <hyperlink ref="K150" r:id="rId170" xr:uid="{FD31D82A-EA65-45C0-BF85-00E79CA1AE12}"/>
    <hyperlink ref="K151" r:id="rId171" xr:uid="{04E7C6B1-B27A-426D-8147-EEF1C3356311}"/>
    <hyperlink ref="L152" r:id="rId172" xr:uid="{5E1CD59F-93CA-4859-BBB3-43905F96160F}"/>
    <hyperlink ref="K152" r:id="rId173" xr:uid="{16BEB30B-7281-4AEE-AAB8-E69C5266E5C4}"/>
    <hyperlink ref="K153" r:id="rId174" xr:uid="{80E82503-5725-4C7D-A301-FBEC7D12872E}"/>
    <hyperlink ref="K154" r:id="rId175" xr:uid="{026AC00E-5AF1-4DA2-9BE7-99EC17423C07}"/>
    <hyperlink ref="K155" r:id="rId176" xr:uid="{DB35B42A-F4D9-4B5B-9C97-1C0AF4447B74}"/>
    <hyperlink ref="K156" r:id="rId177" xr:uid="{866EE2F3-4BAE-42D0-B994-1784F12CAABD}"/>
    <hyperlink ref="K157" r:id="rId178" xr:uid="{7ADFF5AB-36C0-48DA-91CE-85251DE1D8E2}"/>
    <hyperlink ref="K158" r:id="rId179" xr:uid="{1E2AAA60-CCD4-40EA-8D76-C15B930C4598}"/>
    <hyperlink ref="K159" r:id="rId180" xr:uid="{28A03F1D-BF00-464F-8896-2C14EE919DF9}"/>
    <hyperlink ref="K160" r:id="rId181" xr:uid="{9D14B4DC-FABB-415C-9338-AC4180983EF2}"/>
  </hyperlinks>
  <pageMargins left="0.7" right="0.7" top="0.75" bottom="0.75" header="0.3" footer="0.3"/>
  <headerFooter>
    <oddFooter>&amp;C_x000D_&amp;1#&amp;"Aptos"&amp;12&amp;K000000 SBI Card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D16A-D981-4FFB-81EB-89771338AF39}">
  <dimension ref="A1:AL133"/>
  <sheetViews>
    <sheetView topLeftCell="C1" workbookViewId="0">
      <pane ySplit="1" topLeftCell="M14" activePane="bottomLeft" state="frozen"/>
      <selection pane="bottomLeft" activeCell="T66" sqref="T66"/>
    </sheetView>
  </sheetViews>
  <sheetFormatPr defaultRowHeight="15"/>
  <cols>
    <col min="1" max="1" width="13.85546875" style="8" customWidth="1"/>
    <col min="2" max="2" width="15.85546875" style="8" customWidth="1"/>
    <col min="3" max="3" width="12.5703125" style="8" customWidth="1"/>
    <col min="4" max="4" width="21.5703125" style="8" customWidth="1"/>
    <col min="5" max="5" width="25.85546875" style="40" customWidth="1"/>
    <col min="6" max="6" width="19.85546875" style="40" customWidth="1"/>
    <col min="7" max="7" width="18" style="8" customWidth="1"/>
    <col min="8" max="8" width="29" style="8" customWidth="1"/>
    <col min="9" max="9" width="14.42578125" style="8" customWidth="1"/>
    <col min="10" max="10" width="52.5703125" style="15" customWidth="1"/>
    <col min="11" max="11" width="73.7109375" style="15" customWidth="1"/>
    <col min="12" max="13" width="39.7109375" style="15" customWidth="1"/>
    <col min="14" max="15" width="16" style="40" customWidth="1"/>
    <col min="16" max="16" width="17.85546875" style="8" customWidth="1"/>
    <col min="17" max="17" width="46.5703125" style="54" customWidth="1"/>
    <col min="18" max="19" width="15.85546875" style="8" customWidth="1"/>
    <col min="20" max="20" width="50.28515625" style="5" customWidth="1"/>
    <col min="21" max="21" width="13.140625" style="129" customWidth="1"/>
  </cols>
  <sheetData>
    <row r="1" spans="1:21" ht="24.75" customHeight="1">
      <c r="A1" s="1" t="s">
        <v>889</v>
      </c>
      <c r="B1" s="1" t="s">
        <v>890</v>
      </c>
      <c r="C1" s="1" t="s">
        <v>739</v>
      </c>
      <c r="D1" s="1" t="s">
        <v>891</v>
      </c>
      <c r="E1" s="1" t="s">
        <v>740</v>
      </c>
      <c r="F1" s="1" t="s">
        <v>2599</v>
      </c>
      <c r="G1" s="1" t="s">
        <v>893</v>
      </c>
      <c r="H1" s="1" t="s">
        <v>2600</v>
      </c>
      <c r="I1" s="1" t="s">
        <v>460</v>
      </c>
      <c r="J1" s="1" t="s">
        <v>894</v>
      </c>
      <c r="K1" s="6" t="s">
        <v>895</v>
      </c>
      <c r="L1" s="6" t="s">
        <v>896</v>
      </c>
      <c r="M1" s="6" t="s">
        <v>897</v>
      </c>
      <c r="N1" s="6" t="s">
        <v>898</v>
      </c>
      <c r="O1" s="6" t="s">
        <v>744</v>
      </c>
      <c r="P1" s="1" t="s">
        <v>899</v>
      </c>
      <c r="Q1" s="3" t="s">
        <v>900</v>
      </c>
      <c r="R1" s="1" t="s">
        <v>901</v>
      </c>
      <c r="S1" s="2" t="s">
        <v>902</v>
      </c>
      <c r="T1" s="123" t="s">
        <v>276</v>
      </c>
      <c r="U1" s="1" t="s">
        <v>1520</v>
      </c>
    </row>
    <row r="2" spans="1:21">
      <c r="A2" s="7" t="s">
        <v>2601</v>
      </c>
      <c r="B2" s="7" t="s">
        <v>1533</v>
      </c>
      <c r="C2" s="7" t="s">
        <v>746</v>
      </c>
      <c r="D2" s="7" t="s">
        <v>906</v>
      </c>
      <c r="E2" s="57" t="s">
        <v>1003</v>
      </c>
      <c r="F2" s="57" t="s">
        <v>12</v>
      </c>
      <c r="G2" s="16" t="s">
        <v>943</v>
      </c>
      <c r="H2" s="16" t="s">
        <v>2602</v>
      </c>
      <c r="I2" s="7"/>
      <c r="J2" s="14" t="s">
        <v>2603</v>
      </c>
      <c r="K2" s="14" t="s">
        <v>2604</v>
      </c>
      <c r="L2" s="28" t="s">
        <v>2605</v>
      </c>
      <c r="M2" s="28" t="s">
        <v>2606</v>
      </c>
      <c r="N2" s="32" t="s">
        <v>912</v>
      </c>
      <c r="O2" s="32"/>
      <c r="P2" s="7"/>
      <c r="Q2" s="43"/>
      <c r="R2" s="9" t="s">
        <v>3</v>
      </c>
      <c r="S2" s="44">
        <v>46267</v>
      </c>
      <c r="T2" s="121" t="s">
        <v>2607</v>
      </c>
      <c r="U2" s="98"/>
    </row>
    <row r="3" spans="1:21">
      <c r="A3" s="7" t="s">
        <v>2608</v>
      </c>
      <c r="B3" s="7" t="s">
        <v>905</v>
      </c>
      <c r="C3" s="7" t="s">
        <v>746</v>
      </c>
      <c r="D3" s="9" t="s">
        <v>906</v>
      </c>
      <c r="E3" s="32" t="s">
        <v>828</v>
      </c>
      <c r="F3" s="57" t="s">
        <v>12</v>
      </c>
      <c r="G3" s="7" t="s">
        <v>1109</v>
      </c>
      <c r="H3" s="21" t="s">
        <v>37</v>
      </c>
      <c r="I3" s="21" t="s">
        <v>39</v>
      </c>
      <c r="J3" s="14" t="s">
        <v>2609</v>
      </c>
      <c r="K3" s="14" t="s">
        <v>2610</v>
      </c>
      <c r="L3" s="28" t="s">
        <v>2611</v>
      </c>
      <c r="M3" s="14" t="s">
        <v>39</v>
      </c>
      <c r="N3" s="32" t="s">
        <v>912</v>
      </c>
      <c r="O3" s="32"/>
      <c r="P3" s="7"/>
      <c r="Q3" s="43"/>
      <c r="R3" s="9" t="s">
        <v>3</v>
      </c>
      <c r="S3" s="44">
        <v>46267</v>
      </c>
      <c r="T3" s="121" t="s">
        <v>2612</v>
      </c>
      <c r="U3" s="98"/>
    </row>
    <row r="4" spans="1:21">
      <c r="A4" s="7" t="s">
        <v>2613</v>
      </c>
      <c r="B4" s="7" t="s">
        <v>905</v>
      </c>
      <c r="C4" s="7" t="s">
        <v>769</v>
      </c>
      <c r="D4" s="9" t="s">
        <v>906</v>
      </c>
      <c r="E4" s="33" t="s">
        <v>828</v>
      </c>
      <c r="F4" s="32" t="s">
        <v>12</v>
      </c>
      <c r="G4" s="21" t="s">
        <v>969</v>
      </c>
      <c r="H4" s="21" t="s">
        <v>37</v>
      </c>
      <c r="I4" s="21" t="s">
        <v>39</v>
      </c>
      <c r="J4" s="14" t="s">
        <v>2614</v>
      </c>
      <c r="K4" s="14" t="s">
        <v>2615</v>
      </c>
      <c r="L4" s="56" t="s">
        <v>2616</v>
      </c>
      <c r="M4" s="56" t="s">
        <v>2617</v>
      </c>
      <c r="N4" s="32" t="s">
        <v>912</v>
      </c>
      <c r="O4" s="32"/>
      <c r="P4" s="7" t="s">
        <v>1028</v>
      </c>
      <c r="Q4" s="14" t="s">
        <v>2103</v>
      </c>
      <c r="R4" s="9" t="s">
        <v>3</v>
      </c>
      <c r="S4" s="44" t="s">
        <v>1026</v>
      </c>
      <c r="T4" s="121" t="s">
        <v>2618</v>
      </c>
      <c r="U4" s="98"/>
    </row>
    <row r="5" spans="1:21">
      <c r="A5" s="7" t="s">
        <v>2619</v>
      </c>
      <c r="B5" s="7" t="s">
        <v>905</v>
      </c>
      <c r="C5" s="7" t="s">
        <v>769</v>
      </c>
      <c r="D5" s="9" t="s">
        <v>906</v>
      </c>
      <c r="E5" s="32" t="s">
        <v>755</v>
      </c>
      <c r="F5" s="73" t="s">
        <v>12</v>
      </c>
      <c r="G5" s="7" t="s">
        <v>1030</v>
      </c>
      <c r="H5" s="21" t="s">
        <v>37</v>
      </c>
      <c r="I5" s="21" t="s">
        <v>39</v>
      </c>
      <c r="J5" s="14" t="s">
        <v>2620</v>
      </c>
      <c r="K5" s="14" t="s">
        <v>2621</v>
      </c>
      <c r="L5" s="14" t="s">
        <v>39</v>
      </c>
      <c r="M5" s="14" t="s">
        <v>39</v>
      </c>
      <c r="N5" s="32" t="s">
        <v>912</v>
      </c>
      <c r="O5" s="32"/>
      <c r="P5" s="7"/>
      <c r="Q5" s="43"/>
      <c r="R5" s="9" t="s">
        <v>5</v>
      </c>
      <c r="S5" s="44" t="s">
        <v>1271</v>
      </c>
      <c r="T5" s="121" t="s">
        <v>2622</v>
      </c>
      <c r="U5" s="98"/>
    </row>
    <row r="6" spans="1:21">
      <c r="A6" s="7" t="s">
        <v>2623</v>
      </c>
      <c r="B6" s="7" t="s">
        <v>905</v>
      </c>
      <c r="C6" s="7" t="s">
        <v>769</v>
      </c>
      <c r="D6" s="9" t="s">
        <v>906</v>
      </c>
      <c r="E6" s="32" t="s">
        <v>755</v>
      </c>
      <c r="F6" s="57" t="s">
        <v>12</v>
      </c>
      <c r="G6" s="7" t="s">
        <v>1030</v>
      </c>
      <c r="H6" s="21" t="s">
        <v>37</v>
      </c>
      <c r="I6" s="21" t="s">
        <v>39</v>
      </c>
      <c r="J6" s="14" t="s">
        <v>2624</v>
      </c>
      <c r="K6" s="14" t="s">
        <v>2625</v>
      </c>
      <c r="L6" s="14" t="s">
        <v>39</v>
      </c>
      <c r="M6" s="14" t="s">
        <v>39</v>
      </c>
      <c r="N6" s="32" t="s">
        <v>912</v>
      </c>
      <c r="O6" s="32"/>
      <c r="P6" s="7"/>
      <c r="Q6" s="43"/>
      <c r="R6" s="9" t="s">
        <v>5</v>
      </c>
      <c r="S6" s="44" t="s">
        <v>1271</v>
      </c>
      <c r="T6" s="121" t="s">
        <v>2622</v>
      </c>
      <c r="U6" s="98"/>
    </row>
    <row r="7" spans="1:21">
      <c r="A7" s="7" t="s">
        <v>2626</v>
      </c>
      <c r="B7" s="7" t="s">
        <v>905</v>
      </c>
      <c r="C7" s="7" t="s">
        <v>754</v>
      </c>
      <c r="D7" s="9" t="s">
        <v>906</v>
      </c>
      <c r="E7" s="32" t="s">
        <v>755</v>
      </c>
      <c r="F7" s="57" t="s">
        <v>12</v>
      </c>
      <c r="G7" s="7" t="s">
        <v>1030</v>
      </c>
      <c r="H7" s="21" t="s">
        <v>37</v>
      </c>
      <c r="I7" s="21" t="s">
        <v>39</v>
      </c>
      <c r="J7" s="14" t="s">
        <v>2627</v>
      </c>
      <c r="K7" s="14" t="s">
        <v>2628</v>
      </c>
      <c r="L7" s="14" t="s">
        <v>39</v>
      </c>
      <c r="M7" s="14" t="s">
        <v>39</v>
      </c>
      <c r="N7" s="32" t="s">
        <v>912</v>
      </c>
      <c r="O7" s="32"/>
      <c r="P7" s="7"/>
      <c r="Q7" s="43"/>
      <c r="R7" s="9" t="s">
        <v>5</v>
      </c>
      <c r="S7" s="44" t="s">
        <v>1271</v>
      </c>
      <c r="T7" s="121" t="s">
        <v>2629</v>
      </c>
      <c r="U7" s="98"/>
    </row>
    <row r="8" spans="1:21">
      <c r="A8" s="7" t="s">
        <v>2630</v>
      </c>
      <c r="B8" s="7" t="s">
        <v>905</v>
      </c>
      <c r="C8" s="7" t="s">
        <v>754</v>
      </c>
      <c r="D8" s="9" t="s">
        <v>906</v>
      </c>
      <c r="E8" s="32" t="s">
        <v>755</v>
      </c>
      <c r="F8" s="57" t="s">
        <v>12</v>
      </c>
      <c r="G8" s="7" t="s">
        <v>1030</v>
      </c>
      <c r="H8" s="21" t="s">
        <v>37</v>
      </c>
      <c r="I8" s="21" t="s">
        <v>39</v>
      </c>
      <c r="J8" s="14" t="s">
        <v>2631</v>
      </c>
      <c r="K8" s="14" t="s">
        <v>2632</v>
      </c>
      <c r="L8" s="14" t="s">
        <v>39</v>
      </c>
      <c r="M8" s="14" t="s">
        <v>39</v>
      </c>
      <c r="N8" s="32" t="s">
        <v>912</v>
      </c>
      <c r="O8" s="32"/>
      <c r="P8" s="7"/>
      <c r="Q8" s="43"/>
      <c r="R8" s="9" t="s">
        <v>5</v>
      </c>
      <c r="S8" s="44" t="s">
        <v>1271</v>
      </c>
      <c r="T8" s="121" t="s">
        <v>2629</v>
      </c>
      <c r="U8" s="98"/>
    </row>
    <row r="9" spans="1:21">
      <c r="A9" s="7" t="s">
        <v>2633</v>
      </c>
      <c r="B9" s="7" t="s">
        <v>905</v>
      </c>
      <c r="C9" s="7" t="s">
        <v>769</v>
      </c>
      <c r="D9" s="9" t="s">
        <v>906</v>
      </c>
      <c r="E9" s="32" t="s">
        <v>755</v>
      </c>
      <c r="F9" s="57" t="s">
        <v>12</v>
      </c>
      <c r="G9" s="7" t="s">
        <v>1030</v>
      </c>
      <c r="H9" s="21" t="s">
        <v>37</v>
      </c>
      <c r="I9" s="21" t="s">
        <v>39</v>
      </c>
      <c r="J9" s="14" t="s">
        <v>2634</v>
      </c>
      <c r="K9" s="14" t="s">
        <v>2635</v>
      </c>
      <c r="L9" s="14" t="s">
        <v>39</v>
      </c>
      <c r="M9" s="14" t="s">
        <v>39</v>
      </c>
      <c r="N9" s="32" t="s">
        <v>912</v>
      </c>
      <c r="O9" s="32"/>
      <c r="P9" s="7"/>
      <c r="Q9" s="43"/>
      <c r="R9" s="9" t="s">
        <v>5</v>
      </c>
      <c r="S9" s="44" t="s">
        <v>1271</v>
      </c>
      <c r="T9" s="121" t="s">
        <v>2636</v>
      </c>
      <c r="U9" s="98"/>
    </row>
    <row r="10" spans="1:21">
      <c r="A10" s="16" t="s">
        <v>2637</v>
      </c>
      <c r="B10" s="16" t="s">
        <v>905</v>
      </c>
      <c r="C10" s="16" t="s">
        <v>754</v>
      </c>
      <c r="D10" s="19" t="s">
        <v>906</v>
      </c>
      <c r="E10" s="57" t="s">
        <v>755</v>
      </c>
      <c r="F10" s="57" t="s">
        <v>12</v>
      </c>
      <c r="G10" s="16" t="s">
        <v>1030</v>
      </c>
      <c r="H10" s="22" t="s">
        <v>37</v>
      </c>
      <c r="I10" s="22" t="s">
        <v>39</v>
      </c>
      <c r="J10" s="12" t="s">
        <v>2638</v>
      </c>
      <c r="K10" s="12" t="s">
        <v>2639</v>
      </c>
      <c r="L10" s="12" t="s">
        <v>39</v>
      </c>
      <c r="M10" s="12" t="s">
        <v>39</v>
      </c>
      <c r="N10" s="57" t="s">
        <v>912</v>
      </c>
      <c r="O10" s="57"/>
      <c r="P10" s="16"/>
      <c r="Q10" s="48"/>
      <c r="R10" s="19" t="s">
        <v>5</v>
      </c>
      <c r="S10" s="149" t="s">
        <v>1271</v>
      </c>
      <c r="T10" s="168" t="s">
        <v>2640</v>
      </c>
      <c r="U10" s="177"/>
    </row>
    <row r="11" spans="1:21">
      <c r="A11" s="7" t="s">
        <v>2641</v>
      </c>
      <c r="B11" s="7" t="s">
        <v>1126</v>
      </c>
      <c r="C11" s="7" t="s">
        <v>754</v>
      </c>
      <c r="D11" s="7" t="s">
        <v>906</v>
      </c>
      <c r="E11" s="32" t="s">
        <v>828</v>
      </c>
      <c r="F11" s="32" t="s">
        <v>12</v>
      </c>
      <c r="G11" s="7" t="s">
        <v>943</v>
      </c>
      <c r="H11" s="7" t="s">
        <v>781</v>
      </c>
      <c r="I11" s="7" t="s">
        <v>39</v>
      </c>
      <c r="J11" s="14" t="s">
        <v>2642</v>
      </c>
      <c r="K11" s="14" t="s">
        <v>2643</v>
      </c>
      <c r="L11" s="56" t="s">
        <v>39</v>
      </c>
      <c r="M11" s="14" t="s">
        <v>39</v>
      </c>
      <c r="N11" s="32" t="s">
        <v>912</v>
      </c>
      <c r="O11" s="32"/>
      <c r="P11" s="181"/>
      <c r="Q11" s="14" t="s">
        <v>2644</v>
      </c>
      <c r="R11" s="7" t="s">
        <v>5</v>
      </c>
      <c r="S11" s="7" t="s">
        <v>1089</v>
      </c>
      <c r="T11" s="4" t="s">
        <v>2645</v>
      </c>
      <c r="U11" s="98"/>
    </row>
    <row r="12" spans="1:21">
      <c r="A12" s="30" t="s">
        <v>2646</v>
      </c>
      <c r="B12" s="17" t="s">
        <v>1139</v>
      </c>
      <c r="C12" s="17" t="s">
        <v>746</v>
      </c>
      <c r="D12" s="17" t="s">
        <v>906</v>
      </c>
      <c r="E12" s="65" t="s">
        <v>767</v>
      </c>
      <c r="F12" s="74" t="s">
        <v>16</v>
      </c>
      <c r="G12" s="17" t="s">
        <v>1109</v>
      </c>
      <c r="H12" s="17" t="s">
        <v>781</v>
      </c>
      <c r="I12" s="17" t="s">
        <v>39</v>
      </c>
      <c r="J12" s="46" t="s">
        <v>2647</v>
      </c>
      <c r="K12" s="46" t="s">
        <v>2648</v>
      </c>
      <c r="L12" s="179" t="s">
        <v>2649</v>
      </c>
      <c r="M12" s="179" t="s">
        <v>2650</v>
      </c>
      <c r="N12" s="65" t="s">
        <v>912</v>
      </c>
      <c r="O12" s="65" t="s">
        <v>973</v>
      </c>
      <c r="P12" s="17"/>
      <c r="Q12" s="14" t="s">
        <v>2103</v>
      </c>
      <c r="R12" s="17" t="s">
        <v>3</v>
      </c>
      <c r="S12" s="17" t="s">
        <v>1026</v>
      </c>
      <c r="T12" s="182" t="s">
        <v>2651</v>
      </c>
      <c r="U12" s="183" t="s">
        <v>1028</v>
      </c>
    </row>
    <row r="13" spans="1:21">
      <c r="A13" s="7" t="s">
        <v>2652</v>
      </c>
      <c r="B13" s="17" t="s">
        <v>1139</v>
      </c>
      <c r="C13" s="17" t="s">
        <v>769</v>
      </c>
      <c r="D13" s="17" t="s">
        <v>906</v>
      </c>
      <c r="E13" s="184" t="s">
        <v>767</v>
      </c>
      <c r="F13" s="7" t="s">
        <v>16</v>
      </c>
      <c r="G13" s="132" t="s">
        <v>1085</v>
      </c>
      <c r="H13" s="17" t="s">
        <v>781</v>
      </c>
      <c r="I13" s="17" t="s">
        <v>39</v>
      </c>
      <c r="J13" s="46" t="s">
        <v>2653</v>
      </c>
      <c r="K13" s="46" t="s">
        <v>2654</v>
      </c>
      <c r="L13" s="179" t="s">
        <v>2655</v>
      </c>
      <c r="M13" s="179" t="s">
        <v>2656</v>
      </c>
      <c r="N13" s="65" t="s">
        <v>912</v>
      </c>
      <c r="O13" s="65" t="s">
        <v>973</v>
      </c>
      <c r="P13" s="17"/>
      <c r="Q13" s="14" t="s">
        <v>2103</v>
      </c>
      <c r="R13" s="30" t="s">
        <v>3</v>
      </c>
      <c r="S13" s="30" t="s">
        <v>1026</v>
      </c>
      <c r="T13" s="122" t="s">
        <v>2657</v>
      </c>
      <c r="U13" s="183" t="s">
        <v>1028</v>
      </c>
    </row>
    <row r="14" spans="1:21">
      <c r="A14" s="7" t="s">
        <v>2658</v>
      </c>
      <c r="B14" s="17" t="s">
        <v>1139</v>
      </c>
      <c r="C14" s="17" t="s">
        <v>769</v>
      </c>
      <c r="D14" s="17" t="s">
        <v>906</v>
      </c>
      <c r="E14" s="65" t="s">
        <v>1756</v>
      </c>
      <c r="F14" s="40" t="s">
        <v>12</v>
      </c>
      <c r="G14" s="17" t="s">
        <v>1551</v>
      </c>
      <c r="H14" s="17" t="s">
        <v>45</v>
      </c>
      <c r="I14" s="17" t="s">
        <v>39</v>
      </c>
      <c r="J14" s="146" t="s">
        <v>2659</v>
      </c>
      <c r="K14" s="146" t="s">
        <v>2660</v>
      </c>
      <c r="L14" s="64" t="s">
        <v>2661</v>
      </c>
      <c r="M14" s="147" t="s">
        <v>39</v>
      </c>
      <c r="N14" s="65" t="s">
        <v>912</v>
      </c>
      <c r="O14" s="65"/>
      <c r="P14" s="17"/>
      <c r="Q14" s="43"/>
      <c r="R14" s="9" t="s">
        <v>3</v>
      </c>
      <c r="S14" s="44">
        <v>46082</v>
      </c>
      <c r="T14" s="121"/>
      <c r="U14" s="98"/>
    </row>
    <row r="15" spans="1:21">
      <c r="A15" s="7" t="s">
        <v>2662</v>
      </c>
      <c r="B15" s="74" t="s">
        <v>1139</v>
      </c>
      <c r="C15" s="74" t="s">
        <v>746</v>
      </c>
      <c r="D15" s="74" t="s">
        <v>906</v>
      </c>
      <c r="E15" s="73" t="s">
        <v>1756</v>
      </c>
      <c r="F15" s="57" t="s">
        <v>12</v>
      </c>
      <c r="G15" s="74" t="s">
        <v>2663</v>
      </c>
      <c r="H15" s="74" t="s">
        <v>781</v>
      </c>
      <c r="I15" s="141" t="s">
        <v>39</v>
      </c>
      <c r="J15" s="76" t="s">
        <v>2664</v>
      </c>
      <c r="K15" s="142" t="s">
        <v>2665</v>
      </c>
      <c r="L15" s="143" t="s">
        <v>2666</v>
      </c>
      <c r="M15" s="29" t="s">
        <v>2667</v>
      </c>
      <c r="N15" s="32" t="s">
        <v>912</v>
      </c>
      <c r="O15" s="32"/>
      <c r="P15" s="7"/>
      <c r="Q15" s="43"/>
      <c r="R15" s="9" t="s">
        <v>3</v>
      </c>
      <c r="S15" s="44">
        <v>46267</v>
      </c>
      <c r="T15" s="121"/>
      <c r="U15" s="98"/>
    </row>
    <row r="16" spans="1:21">
      <c r="A16" s="16" t="s">
        <v>2668</v>
      </c>
      <c r="B16" s="16" t="s">
        <v>1139</v>
      </c>
      <c r="C16" s="16" t="s">
        <v>1624</v>
      </c>
      <c r="D16" s="16" t="s">
        <v>906</v>
      </c>
      <c r="E16" s="57" t="s">
        <v>767</v>
      </c>
      <c r="F16" s="140" t="s">
        <v>12</v>
      </c>
      <c r="G16" s="16" t="s">
        <v>1551</v>
      </c>
      <c r="H16" s="16" t="s">
        <v>781</v>
      </c>
      <c r="I16" s="16" t="s">
        <v>39</v>
      </c>
      <c r="J16" s="145" t="s">
        <v>2669</v>
      </c>
      <c r="K16" s="145" t="s">
        <v>2670</v>
      </c>
      <c r="L16" s="63" t="s">
        <v>2671</v>
      </c>
      <c r="M16" s="53" t="s">
        <v>39</v>
      </c>
      <c r="N16" s="57" t="s">
        <v>912</v>
      </c>
      <c r="O16" s="57"/>
      <c r="P16" s="16"/>
      <c r="Q16" s="48"/>
      <c r="R16" s="19" t="s">
        <v>3</v>
      </c>
      <c r="S16" s="149">
        <v>46082</v>
      </c>
      <c r="T16" s="168"/>
      <c r="U16" s="177"/>
    </row>
    <row r="17" spans="1:21">
      <c r="A17" s="16" t="s">
        <v>2672</v>
      </c>
      <c r="B17" s="16" t="s">
        <v>1139</v>
      </c>
      <c r="C17" s="16" t="s">
        <v>754</v>
      </c>
      <c r="D17" s="16" t="s">
        <v>906</v>
      </c>
      <c r="E17" s="57" t="s">
        <v>755</v>
      </c>
      <c r="F17" s="16" t="s">
        <v>16</v>
      </c>
      <c r="G17" s="16" t="s">
        <v>1109</v>
      </c>
      <c r="H17" s="16" t="s">
        <v>781</v>
      </c>
      <c r="I17" s="16" t="s">
        <v>39</v>
      </c>
      <c r="J17" s="12" t="s">
        <v>2673</v>
      </c>
      <c r="K17" s="12" t="s">
        <v>2674</v>
      </c>
      <c r="L17" s="113" t="s">
        <v>2675</v>
      </c>
      <c r="M17" s="12" t="s">
        <v>39</v>
      </c>
      <c r="N17" s="57" t="s">
        <v>912</v>
      </c>
      <c r="O17" s="57" t="s">
        <v>973</v>
      </c>
      <c r="P17" s="16"/>
      <c r="Q17" s="12" t="s">
        <v>2103</v>
      </c>
      <c r="R17" s="16" t="s">
        <v>3</v>
      </c>
      <c r="S17" s="16" t="s">
        <v>1026</v>
      </c>
      <c r="T17" s="207" t="s">
        <v>2676</v>
      </c>
      <c r="U17" s="235" t="s">
        <v>868</v>
      </c>
    </row>
    <row r="18" spans="1:21">
      <c r="A18" s="16" t="s">
        <v>2677</v>
      </c>
      <c r="B18" s="315">
        <v>46174</v>
      </c>
      <c r="C18" s="316" t="s">
        <v>746</v>
      </c>
      <c r="D18" s="317" t="s">
        <v>906</v>
      </c>
      <c r="E18" s="317" t="s">
        <v>1003</v>
      </c>
      <c r="F18" s="16" t="s">
        <v>16</v>
      </c>
      <c r="G18" s="318" t="s">
        <v>2678</v>
      </c>
      <c r="H18" s="318" t="s">
        <v>781</v>
      </c>
      <c r="I18" s="16" t="s">
        <v>39</v>
      </c>
      <c r="J18" s="12" t="s">
        <v>2679</v>
      </c>
      <c r="K18" s="319" t="s">
        <v>2680</v>
      </c>
      <c r="L18" s="320" t="s">
        <v>2681</v>
      </c>
      <c r="M18" s="320" t="s">
        <v>39</v>
      </c>
      <c r="N18" s="321" t="s">
        <v>912</v>
      </c>
      <c r="O18" s="57" t="s">
        <v>973</v>
      </c>
      <c r="P18" s="322"/>
      <c r="Q18" s="12" t="s">
        <v>2103</v>
      </c>
      <c r="R18" s="16" t="s">
        <v>3</v>
      </c>
      <c r="S18" s="16" t="s">
        <v>1026</v>
      </c>
      <c r="T18" s="207" t="s">
        <v>2682</v>
      </c>
      <c r="U18" s="235" t="s">
        <v>868</v>
      </c>
    </row>
    <row r="19" spans="1:21">
      <c r="A19" s="7" t="s">
        <v>2683</v>
      </c>
      <c r="B19" s="192">
        <v>46174</v>
      </c>
      <c r="C19" s="193" t="s">
        <v>754</v>
      </c>
      <c r="D19" s="194" t="s">
        <v>906</v>
      </c>
      <c r="E19" s="194" t="s">
        <v>767</v>
      </c>
      <c r="F19" s="7" t="s">
        <v>16</v>
      </c>
      <c r="G19" s="195" t="s">
        <v>1109</v>
      </c>
      <c r="H19" s="195" t="s">
        <v>781</v>
      </c>
      <c r="I19" s="7" t="s">
        <v>39</v>
      </c>
      <c r="J19" s="14" t="s">
        <v>2684</v>
      </c>
      <c r="K19" s="196" t="s">
        <v>2685</v>
      </c>
      <c r="L19" s="197" t="s">
        <v>2686</v>
      </c>
      <c r="M19" s="197" t="s">
        <v>39</v>
      </c>
      <c r="N19" s="198" t="s">
        <v>912</v>
      </c>
      <c r="O19" s="32" t="s">
        <v>973</v>
      </c>
      <c r="P19" s="198" t="s">
        <v>1028</v>
      </c>
      <c r="Q19" s="14" t="s">
        <v>2644</v>
      </c>
      <c r="R19" s="7" t="s">
        <v>4</v>
      </c>
      <c r="S19" s="7" t="s">
        <v>1382</v>
      </c>
      <c r="T19" s="4" t="s">
        <v>2687</v>
      </c>
      <c r="U19" s="128" t="s">
        <v>868</v>
      </c>
    </row>
    <row r="20" spans="1:21">
      <c r="A20" s="74" t="s">
        <v>2688</v>
      </c>
      <c r="B20" s="185">
        <v>46174</v>
      </c>
      <c r="C20" s="186" t="s">
        <v>754</v>
      </c>
      <c r="D20" s="187" t="s">
        <v>906</v>
      </c>
      <c r="E20" s="187" t="s">
        <v>1756</v>
      </c>
      <c r="F20" s="74" t="s">
        <v>16</v>
      </c>
      <c r="G20" s="188" t="s">
        <v>1109</v>
      </c>
      <c r="H20" s="188" t="s">
        <v>781</v>
      </c>
      <c r="I20" s="74" t="s">
        <v>39</v>
      </c>
      <c r="J20" s="76" t="s">
        <v>2689</v>
      </c>
      <c r="K20" s="189" t="s">
        <v>2690</v>
      </c>
      <c r="L20" s="190" t="s">
        <v>2691</v>
      </c>
      <c r="M20" s="190" t="s">
        <v>2692</v>
      </c>
      <c r="N20" s="73" t="s">
        <v>912</v>
      </c>
      <c r="O20" s="73" t="s">
        <v>973</v>
      </c>
      <c r="P20" s="74"/>
      <c r="Q20" s="76" t="s">
        <v>2103</v>
      </c>
      <c r="R20" s="74" t="s">
        <v>3</v>
      </c>
      <c r="S20" s="74" t="s">
        <v>1026</v>
      </c>
      <c r="T20" s="323" t="s">
        <v>2693</v>
      </c>
      <c r="U20" s="191" t="s">
        <v>1028</v>
      </c>
    </row>
    <row r="21" spans="1:21">
      <c r="A21" s="7" t="s">
        <v>2694</v>
      </c>
      <c r="B21" s="192">
        <v>46174</v>
      </c>
      <c r="C21" s="7" t="s">
        <v>754</v>
      </c>
      <c r="D21" s="194" t="s">
        <v>906</v>
      </c>
      <c r="E21" s="194" t="s">
        <v>1756</v>
      </c>
      <c r="F21" s="7" t="s">
        <v>16</v>
      </c>
      <c r="G21" s="195" t="s">
        <v>460</v>
      </c>
      <c r="H21" s="195" t="s">
        <v>781</v>
      </c>
      <c r="I21" s="7" t="s">
        <v>39</v>
      </c>
      <c r="J21" s="14" t="s">
        <v>2695</v>
      </c>
      <c r="K21" s="196" t="s">
        <v>2696</v>
      </c>
      <c r="L21" s="197" t="s">
        <v>2697</v>
      </c>
      <c r="M21" s="196" t="s">
        <v>39</v>
      </c>
      <c r="N21" s="32" t="s">
        <v>912</v>
      </c>
      <c r="O21" s="32" t="s">
        <v>973</v>
      </c>
      <c r="P21" s="7" t="s">
        <v>1028</v>
      </c>
      <c r="Q21" s="14" t="s">
        <v>2103</v>
      </c>
      <c r="R21" s="7" t="s">
        <v>4</v>
      </c>
      <c r="S21" s="7" t="s">
        <v>1026</v>
      </c>
      <c r="T21" s="4" t="s">
        <v>2698</v>
      </c>
      <c r="U21" s="128" t="s">
        <v>868</v>
      </c>
    </row>
    <row r="22" spans="1:21">
      <c r="A22" s="17" t="s">
        <v>2699</v>
      </c>
      <c r="B22" s="324">
        <v>46174</v>
      </c>
      <c r="C22" s="17" t="s">
        <v>754</v>
      </c>
      <c r="D22" s="325" t="s">
        <v>906</v>
      </c>
      <c r="E22" s="65" t="s">
        <v>828</v>
      </c>
      <c r="F22" s="17" t="s">
        <v>16</v>
      </c>
      <c r="G22" s="144" t="s">
        <v>2678</v>
      </c>
      <c r="H22" s="150" t="s">
        <v>781</v>
      </c>
      <c r="I22" s="132" t="s">
        <v>39</v>
      </c>
      <c r="J22" s="46" t="s">
        <v>2700</v>
      </c>
      <c r="K22" s="326" t="s">
        <v>2701</v>
      </c>
      <c r="L22" s="327" t="s">
        <v>2702</v>
      </c>
      <c r="M22" s="270" t="s">
        <v>39</v>
      </c>
      <c r="N22" s="65" t="s">
        <v>912</v>
      </c>
      <c r="O22" s="65" t="s">
        <v>973</v>
      </c>
      <c r="P22" s="17" t="s">
        <v>1028</v>
      </c>
      <c r="Q22" s="50"/>
      <c r="R22" s="30" t="s">
        <v>4</v>
      </c>
      <c r="S22" s="30" t="s">
        <v>1271</v>
      </c>
      <c r="T22" s="122" t="s">
        <v>2703</v>
      </c>
      <c r="U22" s="183" t="s">
        <v>868</v>
      </c>
    </row>
    <row r="23" spans="1:21">
      <c r="A23" s="7" t="s">
        <v>2704</v>
      </c>
      <c r="B23" s="66">
        <v>46174</v>
      </c>
      <c r="C23" s="7" t="s">
        <v>746</v>
      </c>
      <c r="D23" s="7" t="s">
        <v>906</v>
      </c>
      <c r="E23" s="32" t="s">
        <v>1756</v>
      </c>
      <c r="F23" s="7" t="s">
        <v>16</v>
      </c>
      <c r="G23" s="67" t="s">
        <v>1109</v>
      </c>
      <c r="H23" s="144" t="s">
        <v>781</v>
      </c>
      <c r="I23" s="7" t="s">
        <v>39</v>
      </c>
      <c r="J23" s="46" t="s">
        <v>2705</v>
      </c>
      <c r="K23" s="70" t="s">
        <v>2690</v>
      </c>
      <c r="L23" s="68" t="s">
        <v>2691</v>
      </c>
      <c r="M23" s="69" t="s">
        <v>2692</v>
      </c>
      <c r="N23" s="32" t="s">
        <v>912</v>
      </c>
      <c r="O23" s="32" t="s">
        <v>973</v>
      </c>
      <c r="P23" s="7"/>
      <c r="Q23" s="43"/>
      <c r="R23" s="9" t="s">
        <v>3</v>
      </c>
      <c r="S23" s="44">
        <v>46267</v>
      </c>
      <c r="T23" s="121" t="s">
        <v>2706</v>
      </c>
      <c r="U23" s="98"/>
    </row>
    <row r="24" spans="1:21">
      <c r="A24" s="7" t="s">
        <v>2707</v>
      </c>
      <c r="B24" s="7" t="s">
        <v>1139</v>
      </c>
      <c r="C24" s="7" t="s">
        <v>746</v>
      </c>
      <c r="D24" s="7" t="s">
        <v>906</v>
      </c>
      <c r="E24" s="32" t="s">
        <v>1003</v>
      </c>
      <c r="F24" s="7" t="s">
        <v>16</v>
      </c>
      <c r="G24" s="7" t="s">
        <v>1109</v>
      </c>
      <c r="H24" s="16" t="s">
        <v>781</v>
      </c>
      <c r="I24" s="7" t="s">
        <v>39</v>
      </c>
      <c r="J24" s="14" t="s">
        <v>2708</v>
      </c>
      <c r="K24" s="14" t="s">
        <v>1235</v>
      </c>
      <c r="L24" s="28" t="s">
        <v>1236</v>
      </c>
      <c r="M24" s="14" t="s">
        <v>39</v>
      </c>
      <c r="N24" s="32" t="s">
        <v>912</v>
      </c>
      <c r="O24" s="32" t="s">
        <v>973</v>
      </c>
      <c r="P24" s="7"/>
      <c r="Q24" s="43"/>
      <c r="R24" s="9" t="s">
        <v>3</v>
      </c>
      <c r="S24" s="44">
        <v>46267</v>
      </c>
      <c r="T24" s="121" t="s">
        <v>2709</v>
      </c>
      <c r="U24" s="98"/>
    </row>
    <row r="25" spans="1:21">
      <c r="A25" s="7" t="s">
        <v>2710</v>
      </c>
      <c r="B25" s="7" t="s">
        <v>2711</v>
      </c>
      <c r="C25" s="7" t="s">
        <v>754</v>
      </c>
      <c r="D25" s="7" t="s">
        <v>906</v>
      </c>
      <c r="E25" s="32" t="s">
        <v>755</v>
      </c>
      <c r="F25" s="7" t="s">
        <v>16</v>
      </c>
      <c r="G25" s="9" t="s">
        <v>1030</v>
      </c>
      <c r="H25" s="7" t="s">
        <v>781</v>
      </c>
      <c r="I25" s="21" t="s">
        <v>39</v>
      </c>
      <c r="J25" s="14" t="s">
        <v>2712</v>
      </c>
      <c r="K25" s="14" t="s">
        <v>2713</v>
      </c>
      <c r="L25" s="14" t="s">
        <v>2714</v>
      </c>
      <c r="M25" s="14" t="s">
        <v>39</v>
      </c>
      <c r="N25" s="32" t="s">
        <v>912</v>
      </c>
      <c r="O25" s="32" t="s">
        <v>973</v>
      </c>
      <c r="P25" s="7" t="s">
        <v>1028</v>
      </c>
      <c r="Q25" s="43"/>
      <c r="R25" s="9" t="s">
        <v>4</v>
      </c>
      <c r="S25" s="7" t="s">
        <v>1382</v>
      </c>
      <c r="T25" s="121" t="s">
        <v>2715</v>
      </c>
      <c r="U25" s="98"/>
    </row>
    <row r="26" spans="1:21">
      <c r="A26" s="7" t="s">
        <v>2716</v>
      </c>
      <c r="B26" s="7" t="s">
        <v>1159</v>
      </c>
      <c r="C26" s="7" t="s">
        <v>746</v>
      </c>
      <c r="D26" s="7" t="s">
        <v>906</v>
      </c>
      <c r="E26" s="32" t="s">
        <v>1003</v>
      </c>
      <c r="F26" s="57" t="s">
        <v>12</v>
      </c>
      <c r="G26" s="7" t="s">
        <v>1004</v>
      </c>
      <c r="H26" s="17" t="s">
        <v>2717</v>
      </c>
      <c r="I26" s="7" t="s">
        <v>39</v>
      </c>
      <c r="J26" s="14" t="s">
        <v>2718</v>
      </c>
      <c r="K26" s="14" t="s">
        <v>2719</v>
      </c>
      <c r="L26" s="28" t="s">
        <v>2720</v>
      </c>
      <c r="M26" s="28" t="s">
        <v>2721</v>
      </c>
      <c r="N26" s="32" t="s">
        <v>912</v>
      </c>
      <c r="O26" s="32"/>
      <c r="P26" s="7"/>
      <c r="Q26" s="43"/>
      <c r="R26" s="9" t="s">
        <v>3</v>
      </c>
      <c r="S26" s="44">
        <v>46267</v>
      </c>
      <c r="T26" s="121" t="s">
        <v>2722</v>
      </c>
      <c r="U26" s="98"/>
    </row>
    <row r="27" spans="1:21">
      <c r="A27" s="7" t="s">
        <v>2723</v>
      </c>
      <c r="B27" s="7" t="s">
        <v>1159</v>
      </c>
      <c r="C27" s="7" t="s">
        <v>746</v>
      </c>
      <c r="D27" s="7" t="s">
        <v>906</v>
      </c>
      <c r="E27" s="32" t="s">
        <v>1003</v>
      </c>
      <c r="F27" s="57" t="s">
        <v>12</v>
      </c>
      <c r="G27" s="7" t="s">
        <v>1050</v>
      </c>
      <c r="H27" s="158" t="s">
        <v>170</v>
      </c>
      <c r="I27" s="7" t="s">
        <v>39</v>
      </c>
      <c r="J27" s="14" t="s">
        <v>2724</v>
      </c>
      <c r="K27" s="14" t="s">
        <v>2725</v>
      </c>
      <c r="L27" s="28" t="s">
        <v>2726</v>
      </c>
      <c r="M27" s="14" t="s">
        <v>39</v>
      </c>
      <c r="N27" s="32" t="s">
        <v>912</v>
      </c>
      <c r="O27" s="32"/>
      <c r="P27" s="7"/>
      <c r="Q27" s="43"/>
      <c r="R27" s="9" t="s">
        <v>3</v>
      </c>
      <c r="S27" s="44">
        <v>46267</v>
      </c>
      <c r="T27" s="121" t="s">
        <v>2727</v>
      </c>
      <c r="U27" s="98"/>
    </row>
    <row r="28" spans="1:21">
      <c r="A28" s="7" t="s">
        <v>2728</v>
      </c>
      <c r="B28" s="7" t="s">
        <v>1159</v>
      </c>
      <c r="C28" s="7" t="s">
        <v>754</v>
      </c>
      <c r="D28" s="7" t="s">
        <v>1084</v>
      </c>
      <c r="E28" s="32" t="s">
        <v>1574</v>
      </c>
      <c r="F28" s="57" t="s">
        <v>16</v>
      </c>
      <c r="G28" s="9" t="s">
        <v>1050</v>
      </c>
      <c r="H28" s="7" t="s">
        <v>781</v>
      </c>
      <c r="I28" s="21" t="s">
        <v>39</v>
      </c>
      <c r="J28" s="14" t="s">
        <v>2729</v>
      </c>
      <c r="K28" s="14" t="s">
        <v>2730</v>
      </c>
      <c r="L28" s="56" t="s">
        <v>2731</v>
      </c>
      <c r="M28" s="14" t="s">
        <v>39</v>
      </c>
      <c r="N28" s="32" t="s">
        <v>912</v>
      </c>
      <c r="O28" s="32" t="s">
        <v>973</v>
      </c>
      <c r="P28" s="7"/>
      <c r="Q28" s="14" t="s">
        <v>2732</v>
      </c>
      <c r="R28" s="9" t="s">
        <v>4</v>
      </c>
      <c r="S28" s="44">
        <v>46176</v>
      </c>
      <c r="T28" s="121" t="s">
        <v>2733</v>
      </c>
      <c r="U28" s="98"/>
    </row>
    <row r="29" spans="1:21">
      <c r="A29" s="7" t="s">
        <v>2734</v>
      </c>
      <c r="B29" s="7" t="s">
        <v>1159</v>
      </c>
      <c r="C29" s="7" t="s">
        <v>746</v>
      </c>
      <c r="D29" s="7" t="s">
        <v>906</v>
      </c>
      <c r="E29" s="32" t="s">
        <v>1756</v>
      </c>
      <c r="F29" s="57" t="s">
        <v>16</v>
      </c>
      <c r="G29" s="7" t="s">
        <v>1050</v>
      </c>
      <c r="H29" s="199" t="s">
        <v>2735</v>
      </c>
      <c r="I29" s="7" t="s">
        <v>39</v>
      </c>
      <c r="J29" s="14" t="s">
        <v>2736</v>
      </c>
      <c r="K29" s="14" t="s">
        <v>2737</v>
      </c>
      <c r="L29" s="56" t="s">
        <v>2738</v>
      </c>
      <c r="M29" s="14" t="s">
        <v>39</v>
      </c>
      <c r="N29" s="32" t="s">
        <v>912</v>
      </c>
      <c r="O29" s="32" t="s">
        <v>973</v>
      </c>
      <c r="P29" s="7"/>
      <c r="Q29" s="14" t="s">
        <v>2103</v>
      </c>
      <c r="R29" s="9" t="s">
        <v>4</v>
      </c>
      <c r="S29" s="44">
        <v>46176</v>
      </c>
      <c r="T29" s="121" t="s">
        <v>2739</v>
      </c>
      <c r="U29" s="98"/>
    </row>
    <row r="30" spans="1:21">
      <c r="A30" s="7" t="s">
        <v>2740</v>
      </c>
      <c r="B30" s="7" t="s">
        <v>1159</v>
      </c>
      <c r="C30" s="7" t="s">
        <v>746</v>
      </c>
      <c r="D30" s="7" t="s">
        <v>906</v>
      </c>
      <c r="E30" s="32" t="s">
        <v>1756</v>
      </c>
      <c r="F30" s="57" t="s">
        <v>16</v>
      </c>
      <c r="G30" s="7" t="s">
        <v>1050</v>
      </c>
      <c r="H30" s="181" t="s">
        <v>2741</v>
      </c>
      <c r="I30" s="7" t="s">
        <v>39</v>
      </c>
      <c r="J30" s="14" t="s">
        <v>2736</v>
      </c>
      <c r="K30" s="14" t="s">
        <v>2737</v>
      </c>
      <c r="L30" s="56" t="s">
        <v>2742</v>
      </c>
      <c r="M30" s="14" t="s">
        <v>39</v>
      </c>
      <c r="N30" s="32" t="s">
        <v>912</v>
      </c>
      <c r="O30" s="32" t="s">
        <v>973</v>
      </c>
      <c r="P30" s="7"/>
      <c r="Q30" s="14" t="s">
        <v>2103</v>
      </c>
      <c r="R30" s="9" t="s">
        <v>4</v>
      </c>
      <c r="S30" s="44">
        <v>46176</v>
      </c>
      <c r="T30" s="121" t="s">
        <v>2743</v>
      </c>
      <c r="U30" s="98"/>
    </row>
    <row r="31" spans="1:21">
      <c r="A31" s="16" t="s">
        <v>2744</v>
      </c>
      <c r="B31" s="16" t="s">
        <v>1159</v>
      </c>
      <c r="C31" s="16" t="s">
        <v>746</v>
      </c>
      <c r="D31" s="16" t="s">
        <v>906</v>
      </c>
      <c r="E31" s="57" t="s">
        <v>1756</v>
      </c>
      <c r="F31" s="57" t="s">
        <v>16</v>
      </c>
      <c r="G31" s="16" t="s">
        <v>1050</v>
      </c>
      <c r="H31" s="269" t="s">
        <v>2745</v>
      </c>
      <c r="I31" s="16" t="s">
        <v>39</v>
      </c>
      <c r="J31" s="12" t="s">
        <v>2736</v>
      </c>
      <c r="K31" s="12" t="s">
        <v>2737</v>
      </c>
      <c r="L31" s="113" t="s">
        <v>2746</v>
      </c>
      <c r="M31" s="12" t="s">
        <v>39</v>
      </c>
      <c r="N31" s="57" t="s">
        <v>912</v>
      </c>
      <c r="O31" s="57" t="s">
        <v>973</v>
      </c>
      <c r="P31" s="16"/>
      <c r="Q31" s="12" t="s">
        <v>2103</v>
      </c>
      <c r="R31" s="19" t="s">
        <v>4</v>
      </c>
      <c r="S31" s="149">
        <v>46176</v>
      </c>
      <c r="T31" s="168" t="s">
        <v>2747</v>
      </c>
      <c r="U31" s="177"/>
    </row>
    <row r="32" spans="1:21">
      <c r="A32" s="7" t="s">
        <v>2748</v>
      </c>
      <c r="B32" s="7" t="s">
        <v>1159</v>
      </c>
      <c r="C32" s="7" t="s">
        <v>746</v>
      </c>
      <c r="D32" s="7" t="s">
        <v>906</v>
      </c>
      <c r="E32" s="32" t="s">
        <v>767</v>
      </c>
      <c r="F32" s="32" t="s">
        <v>16</v>
      </c>
      <c r="G32" s="7" t="s">
        <v>1050</v>
      </c>
      <c r="H32" s="181" t="s">
        <v>2735</v>
      </c>
      <c r="I32" s="7" t="s">
        <v>39</v>
      </c>
      <c r="J32" s="14" t="s">
        <v>2749</v>
      </c>
      <c r="K32" s="14" t="s">
        <v>2750</v>
      </c>
      <c r="L32" s="56" t="s">
        <v>2751</v>
      </c>
      <c r="M32" s="14" t="s">
        <v>39</v>
      </c>
      <c r="N32" s="32" t="s">
        <v>912</v>
      </c>
      <c r="O32" s="32" t="s">
        <v>973</v>
      </c>
      <c r="P32" s="7"/>
      <c r="Q32" s="14" t="s">
        <v>2752</v>
      </c>
      <c r="R32" s="7" t="s">
        <v>4</v>
      </c>
      <c r="S32" s="47">
        <v>46298</v>
      </c>
      <c r="T32" s="4" t="s">
        <v>2753</v>
      </c>
      <c r="U32" s="98"/>
    </row>
    <row r="33" spans="1:21">
      <c r="A33" s="17" t="s">
        <v>2754</v>
      </c>
      <c r="B33" s="17" t="s">
        <v>1159</v>
      </c>
      <c r="C33" s="17" t="s">
        <v>746</v>
      </c>
      <c r="D33" s="17" t="s">
        <v>906</v>
      </c>
      <c r="E33" s="65" t="s">
        <v>767</v>
      </c>
      <c r="F33" s="65" t="s">
        <v>12</v>
      </c>
      <c r="G33" s="17" t="s">
        <v>1050</v>
      </c>
      <c r="H33" s="199" t="s">
        <v>2741</v>
      </c>
      <c r="I33" s="17" t="s">
        <v>39</v>
      </c>
      <c r="J33" s="46" t="s">
        <v>2749</v>
      </c>
      <c r="K33" s="46" t="s">
        <v>2755</v>
      </c>
      <c r="L33" s="179" t="s">
        <v>2756</v>
      </c>
      <c r="M33" s="46" t="s">
        <v>39</v>
      </c>
      <c r="N33" s="65" t="s">
        <v>912</v>
      </c>
      <c r="O33" s="65"/>
      <c r="P33" s="17"/>
      <c r="Q33" s="46" t="s">
        <v>2752</v>
      </c>
      <c r="R33" s="17" t="s">
        <v>3</v>
      </c>
      <c r="S33" s="17" t="s">
        <v>1026</v>
      </c>
      <c r="T33" s="182" t="s">
        <v>2757</v>
      </c>
      <c r="U33" s="268"/>
    </row>
    <row r="34" spans="1:21">
      <c r="A34" s="7" t="s">
        <v>2758</v>
      </c>
      <c r="B34" s="7" t="s">
        <v>1159</v>
      </c>
      <c r="C34" s="7" t="s">
        <v>746</v>
      </c>
      <c r="D34" s="7" t="s">
        <v>906</v>
      </c>
      <c r="E34" s="32" t="s">
        <v>767</v>
      </c>
      <c r="F34" s="32" t="s">
        <v>12</v>
      </c>
      <c r="G34" s="7" t="s">
        <v>1050</v>
      </c>
      <c r="H34" s="181" t="s">
        <v>2745</v>
      </c>
      <c r="I34" s="7" t="s">
        <v>39</v>
      </c>
      <c r="J34" s="14" t="s">
        <v>2749</v>
      </c>
      <c r="K34" s="14" t="s">
        <v>2755</v>
      </c>
      <c r="L34" s="56" t="s">
        <v>2759</v>
      </c>
      <c r="M34" s="14" t="s">
        <v>39</v>
      </c>
      <c r="N34" s="32" t="s">
        <v>912</v>
      </c>
      <c r="O34" s="32"/>
      <c r="P34" s="7"/>
      <c r="Q34" s="14" t="s">
        <v>2752</v>
      </c>
      <c r="R34" s="7" t="s">
        <v>3</v>
      </c>
      <c r="S34" s="7" t="s">
        <v>1026</v>
      </c>
      <c r="T34" s="4" t="s">
        <v>2760</v>
      </c>
      <c r="U34" s="98"/>
    </row>
    <row r="35" spans="1:21">
      <c r="A35" s="7" t="s">
        <v>2761</v>
      </c>
      <c r="B35" s="7" t="s">
        <v>1159</v>
      </c>
      <c r="C35" s="7" t="s">
        <v>746</v>
      </c>
      <c r="D35" s="7" t="s">
        <v>906</v>
      </c>
      <c r="E35" s="32" t="s">
        <v>1003</v>
      </c>
      <c r="F35" s="32" t="s">
        <v>12</v>
      </c>
      <c r="G35" s="7" t="s">
        <v>1050</v>
      </c>
      <c r="H35" s="58" t="s">
        <v>2762</v>
      </c>
      <c r="I35" s="7" t="s">
        <v>39</v>
      </c>
      <c r="J35" s="14" t="s">
        <v>2763</v>
      </c>
      <c r="K35" s="14" t="s">
        <v>2764</v>
      </c>
      <c r="L35" s="56" t="s">
        <v>2765</v>
      </c>
      <c r="M35" s="14" t="s">
        <v>39</v>
      </c>
      <c r="N35" s="32" t="s">
        <v>912</v>
      </c>
      <c r="O35" s="32"/>
      <c r="P35" s="7"/>
      <c r="Q35" s="14" t="s">
        <v>2103</v>
      </c>
      <c r="R35" s="7" t="s">
        <v>3</v>
      </c>
      <c r="S35" s="7" t="s">
        <v>1026</v>
      </c>
      <c r="T35" s="4" t="s">
        <v>2766</v>
      </c>
      <c r="U35" s="98"/>
    </row>
    <row r="36" spans="1:21">
      <c r="A36" s="74" t="s">
        <v>2767</v>
      </c>
      <c r="B36" s="74" t="s">
        <v>1159</v>
      </c>
      <c r="C36" s="74" t="s">
        <v>746</v>
      </c>
      <c r="D36" s="74" t="s">
        <v>906</v>
      </c>
      <c r="E36" s="73" t="s">
        <v>1574</v>
      </c>
      <c r="F36" s="73" t="s">
        <v>12</v>
      </c>
      <c r="G36" s="74" t="s">
        <v>1551</v>
      </c>
      <c r="H36" s="271" t="s">
        <v>2762</v>
      </c>
      <c r="I36" s="74" t="s">
        <v>39</v>
      </c>
      <c r="J36" s="76" t="s">
        <v>2768</v>
      </c>
      <c r="K36" s="76" t="s">
        <v>2769</v>
      </c>
      <c r="L36" s="143" t="s">
        <v>2770</v>
      </c>
      <c r="M36" s="76" t="s">
        <v>39</v>
      </c>
      <c r="N36" s="73" t="s">
        <v>912</v>
      </c>
      <c r="O36" s="73"/>
      <c r="P36" s="74"/>
      <c r="Q36" s="272"/>
      <c r="R36" s="141" t="s">
        <v>3</v>
      </c>
      <c r="S36" s="141" t="s">
        <v>1658</v>
      </c>
      <c r="T36" s="273" t="s">
        <v>2771</v>
      </c>
      <c r="U36" s="267"/>
    </row>
    <row r="37" spans="1:21">
      <c r="A37" s="16" t="s">
        <v>2772</v>
      </c>
      <c r="B37" s="16" t="s">
        <v>1658</v>
      </c>
      <c r="C37" s="16" t="s">
        <v>746</v>
      </c>
      <c r="D37" s="16" t="s">
        <v>906</v>
      </c>
      <c r="E37" s="57" t="s">
        <v>761</v>
      </c>
      <c r="F37" s="57" t="s">
        <v>12</v>
      </c>
      <c r="G37" s="16" t="s">
        <v>1004</v>
      </c>
      <c r="H37" s="16" t="s">
        <v>781</v>
      </c>
      <c r="I37" s="16" t="s">
        <v>466</v>
      </c>
      <c r="J37" s="12" t="s">
        <v>2773</v>
      </c>
      <c r="K37" s="12" t="s">
        <v>2774</v>
      </c>
      <c r="L37" s="113" t="s">
        <v>2775</v>
      </c>
      <c r="M37" s="12" t="s">
        <v>39</v>
      </c>
      <c r="N37" s="57" t="s">
        <v>912</v>
      </c>
      <c r="O37" s="57"/>
      <c r="P37" s="16"/>
      <c r="Q37" s="12" t="s">
        <v>2776</v>
      </c>
      <c r="R37" s="16" t="s">
        <v>3</v>
      </c>
      <c r="S37" s="16" t="s">
        <v>1026</v>
      </c>
      <c r="T37" s="207" t="s">
        <v>2777</v>
      </c>
      <c r="U37" s="177"/>
    </row>
    <row r="38" spans="1:21">
      <c r="A38" s="7" t="s">
        <v>2778</v>
      </c>
      <c r="B38" s="7" t="s">
        <v>1658</v>
      </c>
      <c r="C38" s="7" t="s">
        <v>754</v>
      </c>
      <c r="D38" s="7" t="s">
        <v>906</v>
      </c>
      <c r="E38" s="32" t="s">
        <v>1756</v>
      </c>
      <c r="F38" s="7" t="s">
        <v>16</v>
      </c>
      <c r="G38" s="7" t="s">
        <v>1004</v>
      </c>
      <c r="H38" s="7" t="s">
        <v>781</v>
      </c>
      <c r="I38" s="7" t="s">
        <v>39</v>
      </c>
      <c r="J38" s="14" t="s">
        <v>2779</v>
      </c>
      <c r="K38" s="14" t="s">
        <v>2780</v>
      </c>
      <c r="L38" s="28" t="s">
        <v>2781</v>
      </c>
      <c r="M38" s="14" t="s">
        <v>39</v>
      </c>
      <c r="N38" s="32" t="s">
        <v>912</v>
      </c>
      <c r="O38" s="32" t="s">
        <v>973</v>
      </c>
      <c r="P38" s="7" t="s">
        <v>1850</v>
      </c>
      <c r="Q38" s="43" t="s">
        <v>2782</v>
      </c>
      <c r="R38" s="7" t="s">
        <v>4</v>
      </c>
      <c r="S38" s="47">
        <v>46267</v>
      </c>
      <c r="T38" s="4" t="s">
        <v>2783</v>
      </c>
      <c r="U38" s="128" t="s">
        <v>868</v>
      </c>
    </row>
    <row r="39" spans="1:21">
      <c r="A39" s="17" t="s">
        <v>2784</v>
      </c>
      <c r="B39" s="17" t="s">
        <v>1658</v>
      </c>
      <c r="C39" s="17" t="s">
        <v>754</v>
      </c>
      <c r="D39" s="17" t="s">
        <v>906</v>
      </c>
      <c r="E39" s="65" t="s">
        <v>1756</v>
      </c>
      <c r="F39" s="65" t="s">
        <v>12</v>
      </c>
      <c r="G39" s="17" t="s">
        <v>1050</v>
      </c>
      <c r="H39" s="328" t="s">
        <v>2762</v>
      </c>
      <c r="I39" s="17" t="s">
        <v>39</v>
      </c>
      <c r="J39" s="46" t="s">
        <v>2785</v>
      </c>
      <c r="K39" s="46" t="s">
        <v>2786</v>
      </c>
      <c r="L39" s="179" t="s">
        <v>2787</v>
      </c>
      <c r="M39" s="46" t="s">
        <v>39</v>
      </c>
      <c r="N39" s="65" t="s">
        <v>912</v>
      </c>
      <c r="O39" s="65" t="s">
        <v>752</v>
      </c>
      <c r="P39" s="17"/>
      <c r="Q39" s="46" t="s">
        <v>2776</v>
      </c>
      <c r="R39" s="30" t="s">
        <v>4</v>
      </c>
      <c r="S39" s="329">
        <v>46145</v>
      </c>
      <c r="T39" s="182" t="s">
        <v>2788</v>
      </c>
      <c r="U39" s="268"/>
    </row>
    <row r="40" spans="1:21">
      <c r="A40" s="17" t="s">
        <v>2789</v>
      </c>
      <c r="B40" s="17" t="s">
        <v>1658</v>
      </c>
      <c r="C40" s="17" t="s">
        <v>769</v>
      </c>
      <c r="D40" s="17" t="s">
        <v>906</v>
      </c>
      <c r="E40" s="65" t="s">
        <v>1756</v>
      </c>
      <c r="F40" s="65" t="s">
        <v>12</v>
      </c>
      <c r="G40" s="17" t="s">
        <v>1085</v>
      </c>
      <c r="H40" s="17" t="s">
        <v>2790</v>
      </c>
      <c r="I40" s="17" t="s">
        <v>39</v>
      </c>
      <c r="J40" s="46" t="s">
        <v>2791</v>
      </c>
      <c r="K40" s="46" t="s">
        <v>2792</v>
      </c>
      <c r="L40" s="179" t="s">
        <v>2793</v>
      </c>
      <c r="M40" s="46" t="s">
        <v>39</v>
      </c>
      <c r="N40" s="65" t="s">
        <v>912</v>
      </c>
      <c r="O40" s="65"/>
      <c r="P40" s="17"/>
      <c r="Q40" s="46" t="s">
        <v>2103</v>
      </c>
      <c r="R40" s="17" t="s">
        <v>3</v>
      </c>
      <c r="S40" s="17" t="s">
        <v>1026</v>
      </c>
      <c r="T40" s="182" t="s">
        <v>2794</v>
      </c>
      <c r="U40" s="268"/>
    </row>
    <row r="41" spans="1:21">
      <c r="A41" s="7" t="s">
        <v>2795</v>
      </c>
      <c r="B41" s="47">
        <v>46175</v>
      </c>
      <c r="C41" s="7" t="s">
        <v>769</v>
      </c>
      <c r="D41" s="7" t="s">
        <v>906</v>
      </c>
      <c r="E41" s="32" t="s">
        <v>828</v>
      </c>
      <c r="F41" s="32" t="s">
        <v>12</v>
      </c>
      <c r="G41" s="7" t="s">
        <v>2796</v>
      </c>
      <c r="H41" s="181" t="s">
        <v>154</v>
      </c>
      <c r="I41" s="7" t="s">
        <v>39</v>
      </c>
      <c r="J41" s="14" t="s">
        <v>2797</v>
      </c>
      <c r="K41" s="14" t="s">
        <v>2798</v>
      </c>
      <c r="L41" s="56" t="s">
        <v>2799</v>
      </c>
      <c r="M41" s="14" t="s">
        <v>39</v>
      </c>
      <c r="N41" s="32" t="s">
        <v>912</v>
      </c>
      <c r="O41" s="32"/>
      <c r="P41" s="7"/>
      <c r="Q41" s="14" t="s">
        <v>2103</v>
      </c>
      <c r="R41" s="7" t="s">
        <v>3</v>
      </c>
      <c r="S41" s="7" t="s">
        <v>1026</v>
      </c>
      <c r="T41" s="4" t="s">
        <v>2800</v>
      </c>
      <c r="U41" s="98"/>
    </row>
    <row r="42" spans="1:21">
      <c r="A42" s="7" t="s">
        <v>2801</v>
      </c>
      <c r="B42" s="47">
        <v>46267</v>
      </c>
      <c r="C42" s="7" t="s">
        <v>769</v>
      </c>
      <c r="D42" s="7" t="s">
        <v>906</v>
      </c>
      <c r="E42" s="32" t="s">
        <v>1003</v>
      </c>
      <c r="F42" s="32" t="s">
        <v>12</v>
      </c>
      <c r="G42" s="7" t="s">
        <v>1551</v>
      </c>
      <c r="H42" s="7" t="s">
        <v>2802</v>
      </c>
      <c r="I42" s="7" t="s">
        <v>39</v>
      </c>
      <c r="J42" s="14" t="s">
        <v>2803</v>
      </c>
      <c r="K42" s="14" t="s">
        <v>2804</v>
      </c>
      <c r="L42" s="56" t="s">
        <v>2805</v>
      </c>
      <c r="M42" s="14" t="s">
        <v>39</v>
      </c>
      <c r="N42" s="32" t="s">
        <v>912</v>
      </c>
      <c r="O42" s="32"/>
      <c r="P42" s="7"/>
      <c r="Q42" s="14" t="s">
        <v>2103</v>
      </c>
      <c r="R42" s="7" t="s">
        <v>3</v>
      </c>
      <c r="S42" s="7" t="s">
        <v>1026</v>
      </c>
      <c r="T42" s="4" t="s">
        <v>2806</v>
      </c>
      <c r="U42" s="98"/>
    </row>
    <row r="43" spans="1:21">
      <c r="A43" s="7" t="s">
        <v>2807</v>
      </c>
      <c r="B43" s="47">
        <v>46267</v>
      </c>
      <c r="C43" s="7" t="s">
        <v>746</v>
      </c>
      <c r="D43" s="7" t="s">
        <v>906</v>
      </c>
      <c r="E43" s="32" t="s">
        <v>828</v>
      </c>
      <c r="F43" s="32" t="s">
        <v>12</v>
      </c>
      <c r="G43" s="7" t="s">
        <v>907</v>
      </c>
      <c r="H43" s="7" t="s">
        <v>781</v>
      </c>
      <c r="I43" s="7" t="s">
        <v>39</v>
      </c>
      <c r="J43" s="14" t="s">
        <v>2808</v>
      </c>
      <c r="K43" s="14" t="s">
        <v>2809</v>
      </c>
      <c r="L43" s="56" t="s">
        <v>2810</v>
      </c>
      <c r="M43" s="14" t="s">
        <v>39</v>
      </c>
      <c r="N43" s="32" t="s">
        <v>749</v>
      </c>
      <c r="O43" s="32" t="s">
        <v>912</v>
      </c>
      <c r="P43" s="7"/>
      <c r="Q43" s="14" t="s">
        <v>1716</v>
      </c>
      <c r="R43" s="7" t="s">
        <v>3</v>
      </c>
      <c r="S43" s="7" t="s">
        <v>1026</v>
      </c>
      <c r="T43" s="4" t="s">
        <v>2811</v>
      </c>
      <c r="U43" s="98"/>
    </row>
    <row r="44" spans="1:21">
      <c r="A44" s="17" t="s">
        <v>2812</v>
      </c>
      <c r="B44" s="257">
        <v>46267</v>
      </c>
      <c r="C44" s="17" t="s">
        <v>754</v>
      </c>
      <c r="D44" s="17" t="s">
        <v>906</v>
      </c>
      <c r="E44" s="65" t="s">
        <v>1756</v>
      </c>
      <c r="F44" s="65" t="s">
        <v>16</v>
      </c>
      <c r="G44" s="17" t="s">
        <v>1050</v>
      </c>
      <c r="H44" s="17" t="s">
        <v>781</v>
      </c>
      <c r="I44" s="17" t="s">
        <v>39</v>
      </c>
      <c r="J44" s="46" t="s">
        <v>2813</v>
      </c>
      <c r="K44" s="46" t="s">
        <v>2814</v>
      </c>
      <c r="L44" s="64" t="s">
        <v>2815</v>
      </c>
      <c r="M44" s="46" t="s">
        <v>39</v>
      </c>
      <c r="N44" s="65" t="s">
        <v>749</v>
      </c>
      <c r="O44" s="65" t="s">
        <v>973</v>
      </c>
      <c r="P44" s="17" t="s">
        <v>1028</v>
      </c>
      <c r="Q44" s="50"/>
      <c r="R44" s="30" t="s">
        <v>4</v>
      </c>
      <c r="S44" s="30" t="s">
        <v>1271</v>
      </c>
      <c r="T44" s="122" t="s">
        <v>2816</v>
      </c>
      <c r="U44" s="183" t="s">
        <v>975</v>
      </c>
    </row>
    <row r="45" spans="1:21">
      <c r="A45" s="7" t="s">
        <v>2817</v>
      </c>
      <c r="B45" s="47">
        <v>46114</v>
      </c>
      <c r="C45" s="7" t="s">
        <v>746</v>
      </c>
      <c r="D45" s="7" t="s">
        <v>906</v>
      </c>
      <c r="E45" s="32" t="s">
        <v>1756</v>
      </c>
      <c r="F45" s="32" t="s">
        <v>16</v>
      </c>
      <c r="G45" s="7" t="s">
        <v>1182</v>
      </c>
      <c r="H45" s="7" t="s">
        <v>781</v>
      </c>
      <c r="I45" s="7" t="s">
        <v>39</v>
      </c>
      <c r="J45" s="14" t="s">
        <v>2818</v>
      </c>
      <c r="K45" s="14" t="s">
        <v>2819</v>
      </c>
      <c r="L45" s="28" t="s">
        <v>2820</v>
      </c>
      <c r="M45" s="14" t="s">
        <v>39</v>
      </c>
      <c r="N45" s="32" t="s">
        <v>912</v>
      </c>
      <c r="O45" s="32" t="s">
        <v>973</v>
      </c>
      <c r="P45" s="7" t="s">
        <v>1028</v>
      </c>
      <c r="Q45" s="43"/>
      <c r="R45" s="9" t="s">
        <v>4</v>
      </c>
      <c r="S45" s="9" t="s">
        <v>1278</v>
      </c>
      <c r="T45" s="121" t="s">
        <v>2821</v>
      </c>
      <c r="U45" s="128" t="s">
        <v>868</v>
      </c>
    </row>
    <row r="46" spans="1:21">
      <c r="A46" s="7" t="s">
        <v>2822</v>
      </c>
      <c r="B46" s="7" t="s">
        <v>1271</v>
      </c>
      <c r="C46" s="7" t="s">
        <v>754</v>
      </c>
      <c r="D46" s="7" t="s">
        <v>906</v>
      </c>
      <c r="E46" s="32" t="s">
        <v>1756</v>
      </c>
      <c r="F46" s="32" t="s">
        <v>16</v>
      </c>
      <c r="G46" s="7" t="s">
        <v>1109</v>
      </c>
      <c r="H46" s="7" t="s">
        <v>781</v>
      </c>
      <c r="I46" s="7" t="s">
        <v>39</v>
      </c>
      <c r="J46" s="14" t="s">
        <v>2823</v>
      </c>
      <c r="K46" s="14" t="s">
        <v>2824</v>
      </c>
      <c r="L46" s="28" t="s">
        <v>2825</v>
      </c>
      <c r="M46" s="14" t="s">
        <v>39</v>
      </c>
      <c r="N46" s="32" t="s">
        <v>912</v>
      </c>
      <c r="O46" s="32"/>
      <c r="P46" s="7"/>
      <c r="Q46" s="43"/>
      <c r="R46" s="9" t="s">
        <v>3</v>
      </c>
      <c r="S46" s="9" t="s">
        <v>1271</v>
      </c>
      <c r="T46" s="121" t="s">
        <v>2826</v>
      </c>
      <c r="U46" s="98"/>
    </row>
    <row r="47" spans="1:21">
      <c r="A47" s="7" t="s">
        <v>2827</v>
      </c>
      <c r="B47" s="7" t="s">
        <v>1271</v>
      </c>
      <c r="C47" s="7" t="s">
        <v>754</v>
      </c>
      <c r="D47" s="7" t="s">
        <v>906</v>
      </c>
      <c r="E47" s="32" t="s">
        <v>767</v>
      </c>
      <c r="F47" s="32" t="s">
        <v>16</v>
      </c>
      <c r="G47" s="7" t="s">
        <v>2828</v>
      </c>
      <c r="H47" s="7" t="s">
        <v>781</v>
      </c>
      <c r="I47" s="7" t="s">
        <v>39</v>
      </c>
      <c r="J47" s="14" t="s">
        <v>2829</v>
      </c>
      <c r="K47" s="14" t="s">
        <v>2830</v>
      </c>
      <c r="L47" s="28" t="s">
        <v>2831</v>
      </c>
      <c r="M47" s="14" t="s">
        <v>39</v>
      </c>
      <c r="N47" s="32" t="s">
        <v>912</v>
      </c>
      <c r="O47" s="32" t="s">
        <v>973</v>
      </c>
      <c r="P47" s="7" t="s">
        <v>1028</v>
      </c>
      <c r="Q47" s="43"/>
      <c r="R47" s="9" t="s">
        <v>4</v>
      </c>
      <c r="S47" s="9" t="s">
        <v>1278</v>
      </c>
      <c r="T47" s="121" t="s">
        <v>2832</v>
      </c>
      <c r="U47" s="128" t="s">
        <v>868</v>
      </c>
    </row>
    <row r="48" spans="1:21">
      <c r="A48" s="7" t="s">
        <v>2833</v>
      </c>
      <c r="B48" s="7" t="s">
        <v>1271</v>
      </c>
      <c r="C48" s="7" t="s">
        <v>746</v>
      </c>
      <c r="D48" s="7" t="s">
        <v>906</v>
      </c>
      <c r="E48" s="32" t="s">
        <v>767</v>
      </c>
      <c r="F48" s="32" t="s">
        <v>16</v>
      </c>
      <c r="G48" s="7" t="s">
        <v>1109</v>
      </c>
      <c r="H48" s="7" t="s">
        <v>781</v>
      </c>
      <c r="I48" s="7" t="s">
        <v>39</v>
      </c>
      <c r="J48" s="14" t="s">
        <v>2834</v>
      </c>
      <c r="K48" s="14" t="s">
        <v>2835</v>
      </c>
      <c r="L48" s="28" t="s">
        <v>2836</v>
      </c>
      <c r="M48" s="14" t="s">
        <v>39</v>
      </c>
      <c r="N48" s="32" t="s">
        <v>912</v>
      </c>
      <c r="O48" s="32" t="s">
        <v>973</v>
      </c>
      <c r="P48" s="7" t="s">
        <v>1028</v>
      </c>
      <c r="Q48" s="43" t="s">
        <v>2837</v>
      </c>
      <c r="R48" s="9" t="s">
        <v>3</v>
      </c>
      <c r="S48" s="9" t="s">
        <v>1564</v>
      </c>
      <c r="T48" s="121" t="s">
        <v>2838</v>
      </c>
      <c r="U48" s="128" t="s">
        <v>975</v>
      </c>
    </row>
    <row r="49" spans="1:21">
      <c r="A49" s="7" t="s">
        <v>2839</v>
      </c>
      <c r="B49" s="7" t="s">
        <v>1271</v>
      </c>
      <c r="C49" s="7" t="s">
        <v>754</v>
      </c>
      <c r="D49" s="7" t="s">
        <v>906</v>
      </c>
      <c r="E49" s="32" t="s">
        <v>1756</v>
      </c>
      <c r="F49" s="32" t="s">
        <v>16</v>
      </c>
      <c r="G49" s="7" t="s">
        <v>1050</v>
      </c>
      <c r="H49" s="7" t="s">
        <v>781</v>
      </c>
      <c r="I49" s="7" t="s">
        <v>39</v>
      </c>
      <c r="J49" s="14" t="s">
        <v>2840</v>
      </c>
      <c r="K49" s="14" t="s">
        <v>2841</v>
      </c>
      <c r="L49" s="28" t="s">
        <v>2842</v>
      </c>
      <c r="M49" s="14" t="s">
        <v>39</v>
      </c>
      <c r="N49" s="32" t="s">
        <v>912</v>
      </c>
      <c r="O49" s="32" t="s">
        <v>973</v>
      </c>
      <c r="P49" s="7" t="s">
        <v>1028</v>
      </c>
      <c r="Q49" s="43"/>
      <c r="R49" s="9" t="s">
        <v>4</v>
      </c>
      <c r="S49" s="9" t="s">
        <v>1271</v>
      </c>
      <c r="T49" s="121" t="s">
        <v>2843</v>
      </c>
      <c r="U49" s="128" t="s">
        <v>975</v>
      </c>
    </row>
    <row r="50" spans="1:21">
      <c r="A50" s="7" t="s">
        <v>2844</v>
      </c>
      <c r="B50" s="7" t="s">
        <v>1271</v>
      </c>
      <c r="C50" s="7" t="s">
        <v>746</v>
      </c>
      <c r="D50" s="7" t="s">
        <v>906</v>
      </c>
      <c r="E50" s="32" t="s">
        <v>1756</v>
      </c>
      <c r="F50" s="32" t="s">
        <v>6</v>
      </c>
      <c r="G50" s="7" t="s">
        <v>907</v>
      </c>
      <c r="H50" s="7" t="s">
        <v>781</v>
      </c>
      <c r="I50" s="7" t="s">
        <v>39</v>
      </c>
      <c r="J50" s="14" t="s">
        <v>2845</v>
      </c>
      <c r="K50" s="14" t="s">
        <v>2846</v>
      </c>
      <c r="L50" s="56" t="s">
        <v>2847</v>
      </c>
      <c r="M50" s="14" t="s">
        <v>39</v>
      </c>
      <c r="N50" s="32" t="s">
        <v>749</v>
      </c>
      <c r="O50" s="32" t="s">
        <v>752</v>
      </c>
      <c r="P50" s="7"/>
      <c r="Q50" s="14" t="s">
        <v>1716</v>
      </c>
      <c r="R50" s="9" t="s">
        <v>3</v>
      </c>
      <c r="S50" s="44">
        <v>46084</v>
      </c>
      <c r="T50" s="121" t="s">
        <v>2848</v>
      </c>
      <c r="U50" s="98"/>
    </row>
    <row r="51" spans="1:21">
      <c r="A51" s="16" t="s">
        <v>2849</v>
      </c>
      <c r="B51" s="16" t="s">
        <v>1271</v>
      </c>
      <c r="C51" s="16" t="s">
        <v>754</v>
      </c>
      <c r="D51" s="16" t="s">
        <v>906</v>
      </c>
      <c r="E51" s="57" t="s">
        <v>1756</v>
      </c>
      <c r="F51" s="57" t="s">
        <v>16</v>
      </c>
      <c r="G51" s="16" t="s">
        <v>1050</v>
      </c>
      <c r="H51" s="16" t="s">
        <v>781</v>
      </c>
      <c r="I51" s="16" t="s">
        <v>39</v>
      </c>
      <c r="J51" s="12" t="s">
        <v>2850</v>
      </c>
      <c r="K51" s="12" t="s">
        <v>2851</v>
      </c>
      <c r="L51" s="63" t="s">
        <v>2852</v>
      </c>
      <c r="M51" s="12" t="s">
        <v>39</v>
      </c>
      <c r="N51" s="57" t="s">
        <v>912</v>
      </c>
      <c r="O51" s="57" t="s">
        <v>973</v>
      </c>
      <c r="P51" s="16" t="s">
        <v>1028</v>
      </c>
      <c r="Q51" s="48"/>
      <c r="R51" s="19" t="s">
        <v>4</v>
      </c>
      <c r="S51" s="19" t="s">
        <v>1271</v>
      </c>
      <c r="T51" s="168" t="s">
        <v>2843</v>
      </c>
      <c r="U51" s="235" t="s">
        <v>975</v>
      </c>
    </row>
    <row r="52" spans="1:21">
      <c r="A52" s="7" t="s">
        <v>2853</v>
      </c>
      <c r="B52" s="7" t="s">
        <v>1061</v>
      </c>
      <c r="C52" s="7" t="s">
        <v>746</v>
      </c>
      <c r="D52" s="7" t="s">
        <v>906</v>
      </c>
      <c r="E52" s="32" t="s">
        <v>828</v>
      </c>
      <c r="F52" s="32" t="s">
        <v>6</v>
      </c>
      <c r="G52" s="7" t="s">
        <v>907</v>
      </c>
      <c r="H52" s="7" t="s">
        <v>781</v>
      </c>
      <c r="I52" s="7" t="s">
        <v>39</v>
      </c>
      <c r="J52" s="14" t="s">
        <v>2854</v>
      </c>
      <c r="K52" s="14" t="s">
        <v>2855</v>
      </c>
      <c r="L52" s="56" t="s">
        <v>2856</v>
      </c>
      <c r="M52" s="14" t="s">
        <v>39</v>
      </c>
      <c r="N52" s="32" t="s">
        <v>912</v>
      </c>
      <c r="O52" s="32" t="s">
        <v>752</v>
      </c>
      <c r="P52" s="7"/>
      <c r="Q52" s="14" t="s">
        <v>1716</v>
      </c>
      <c r="R52" s="7" t="s">
        <v>3</v>
      </c>
      <c r="S52" s="7" t="s">
        <v>1026</v>
      </c>
      <c r="T52" s="4" t="s">
        <v>2857</v>
      </c>
      <c r="U52" s="98"/>
    </row>
    <row r="53" spans="1:21">
      <c r="A53" s="74" t="s">
        <v>2858</v>
      </c>
      <c r="B53" s="74" t="s">
        <v>1061</v>
      </c>
      <c r="C53" s="74" t="s">
        <v>746</v>
      </c>
      <c r="D53" s="74" t="s">
        <v>906</v>
      </c>
      <c r="E53" s="73" t="s">
        <v>1756</v>
      </c>
      <c r="F53" s="73" t="s">
        <v>16</v>
      </c>
      <c r="G53" s="74" t="s">
        <v>1085</v>
      </c>
      <c r="H53" s="74" t="s">
        <v>781</v>
      </c>
      <c r="I53" s="74" t="s">
        <v>39</v>
      </c>
      <c r="J53" s="76" t="s">
        <v>2859</v>
      </c>
      <c r="K53" s="76" t="s">
        <v>2860</v>
      </c>
      <c r="L53" s="143" t="s">
        <v>2861</v>
      </c>
      <c r="M53" s="76" t="s">
        <v>39</v>
      </c>
      <c r="N53" s="73" t="s">
        <v>912</v>
      </c>
      <c r="O53" s="73" t="s">
        <v>912</v>
      </c>
      <c r="P53" s="74"/>
      <c r="Q53" s="272" t="s">
        <v>2862</v>
      </c>
      <c r="R53" s="141" t="s">
        <v>3</v>
      </c>
      <c r="S53" s="274">
        <v>46056</v>
      </c>
      <c r="T53" s="273" t="s">
        <v>2863</v>
      </c>
      <c r="U53" s="267"/>
    </row>
    <row r="54" spans="1:21">
      <c r="A54" s="16" t="s">
        <v>2864</v>
      </c>
      <c r="B54" s="16" t="s">
        <v>1061</v>
      </c>
      <c r="C54" s="16" t="s">
        <v>754</v>
      </c>
      <c r="D54" s="16" t="s">
        <v>906</v>
      </c>
      <c r="E54" s="57" t="s">
        <v>755</v>
      </c>
      <c r="F54" s="57" t="s">
        <v>6</v>
      </c>
      <c r="G54" s="16" t="s">
        <v>2865</v>
      </c>
      <c r="H54" s="16" t="s">
        <v>781</v>
      </c>
      <c r="I54" s="16" t="s">
        <v>39</v>
      </c>
      <c r="J54" s="12" t="s">
        <v>2866</v>
      </c>
      <c r="K54" s="12" t="s">
        <v>2867</v>
      </c>
      <c r="L54" s="113" t="s">
        <v>2868</v>
      </c>
      <c r="M54" s="12" t="s">
        <v>39</v>
      </c>
      <c r="N54" s="57" t="s">
        <v>912</v>
      </c>
      <c r="O54" s="57" t="s">
        <v>752</v>
      </c>
      <c r="P54" s="16"/>
      <c r="Q54" s="12" t="s">
        <v>1716</v>
      </c>
      <c r="R54" s="16" t="s">
        <v>3</v>
      </c>
      <c r="S54" s="16" t="s">
        <v>1026</v>
      </c>
      <c r="T54" s="207" t="s">
        <v>2869</v>
      </c>
      <c r="U54" s="177"/>
    </row>
    <row r="55" spans="1:21">
      <c r="A55" s="7" t="s">
        <v>2870</v>
      </c>
      <c r="B55" s="7" t="s">
        <v>1061</v>
      </c>
      <c r="C55" s="7" t="s">
        <v>746</v>
      </c>
      <c r="D55" s="7" t="s">
        <v>906</v>
      </c>
      <c r="E55" s="32" t="s">
        <v>755</v>
      </c>
      <c r="F55" s="32" t="s">
        <v>6</v>
      </c>
      <c r="G55" s="7" t="s">
        <v>2865</v>
      </c>
      <c r="H55" s="7" t="s">
        <v>781</v>
      </c>
      <c r="I55" s="7" t="s">
        <v>39</v>
      </c>
      <c r="J55" s="14" t="s">
        <v>2871</v>
      </c>
      <c r="K55" s="14" t="s">
        <v>2872</v>
      </c>
      <c r="L55" s="56" t="s">
        <v>2873</v>
      </c>
      <c r="M55" s="14" t="s">
        <v>39</v>
      </c>
      <c r="N55" s="32" t="s">
        <v>912</v>
      </c>
      <c r="O55" s="32" t="s">
        <v>752</v>
      </c>
      <c r="P55" s="7"/>
      <c r="Q55" s="14" t="s">
        <v>2103</v>
      </c>
      <c r="R55" s="7" t="s">
        <v>3</v>
      </c>
      <c r="S55" s="47">
        <v>46145</v>
      </c>
      <c r="T55" s="4" t="s">
        <v>2874</v>
      </c>
      <c r="U55" s="98"/>
    </row>
    <row r="56" spans="1:21">
      <c r="A56" s="74" t="s">
        <v>2875</v>
      </c>
      <c r="B56" s="74" t="s">
        <v>1061</v>
      </c>
      <c r="C56" s="74" t="s">
        <v>754</v>
      </c>
      <c r="D56" s="74" t="s">
        <v>906</v>
      </c>
      <c r="E56" s="73" t="s">
        <v>828</v>
      </c>
      <c r="F56" s="73" t="s">
        <v>6</v>
      </c>
      <c r="G56" s="74" t="s">
        <v>907</v>
      </c>
      <c r="H56" s="74" t="s">
        <v>781</v>
      </c>
      <c r="I56" s="74" t="s">
        <v>39</v>
      </c>
      <c r="J56" s="76" t="s">
        <v>2876</v>
      </c>
      <c r="K56" s="76" t="s">
        <v>2877</v>
      </c>
      <c r="L56" s="130" t="s">
        <v>2878</v>
      </c>
      <c r="M56" s="76" t="s">
        <v>39</v>
      </c>
      <c r="N56" s="73" t="s">
        <v>912</v>
      </c>
      <c r="O56" s="73" t="s">
        <v>752</v>
      </c>
      <c r="P56" s="74"/>
      <c r="Q56" s="76" t="s">
        <v>2103</v>
      </c>
      <c r="R56" s="141" t="s">
        <v>3</v>
      </c>
      <c r="S56" s="258">
        <v>46145</v>
      </c>
      <c r="T56" s="273" t="s">
        <v>2879</v>
      </c>
      <c r="U56" s="267"/>
    </row>
    <row r="57" spans="1:21">
      <c r="A57" s="7" t="s">
        <v>2880</v>
      </c>
      <c r="B57" s="7" t="s">
        <v>1061</v>
      </c>
      <c r="C57" s="7" t="s">
        <v>754</v>
      </c>
      <c r="D57" s="7" t="s">
        <v>906</v>
      </c>
      <c r="E57" s="32" t="s">
        <v>828</v>
      </c>
      <c r="F57" s="32" t="s">
        <v>6</v>
      </c>
      <c r="G57" s="7" t="s">
        <v>907</v>
      </c>
      <c r="H57" s="7" t="s">
        <v>781</v>
      </c>
      <c r="I57" s="7" t="s">
        <v>39</v>
      </c>
      <c r="J57" s="14" t="s">
        <v>2881</v>
      </c>
      <c r="K57" s="14" t="s">
        <v>2882</v>
      </c>
      <c r="L57" s="56" t="s">
        <v>2883</v>
      </c>
      <c r="M57" s="14" t="s">
        <v>39</v>
      </c>
      <c r="N57" s="32" t="s">
        <v>912</v>
      </c>
      <c r="O57" s="32" t="s">
        <v>752</v>
      </c>
      <c r="P57" s="7"/>
      <c r="Q57" s="14" t="s">
        <v>2884</v>
      </c>
      <c r="R57" s="7" t="s">
        <v>4</v>
      </c>
      <c r="S57" s="7" t="s">
        <v>1026</v>
      </c>
      <c r="T57" s="4" t="s">
        <v>2885</v>
      </c>
      <c r="U57" s="98"/>
    </row>
    <row r="58" spans="1:21">
      <c r="A58" s="17" t="s">
        <v>2886</v>
      </c>
      <c r="B58" s="17" t="s">
        <v>1061</v>
      </c>
      <c r="C58" s="17" t="s">
        <v>754</v>
      </c>
      <c r="D58" s="17" t="s">
        <v>906</v>
      </c>
      <c r="E58" s="65" t="s">
        <v>828</v>
      </c>
      <c r="F58" s="65" t="s">
        <v>6</v>
      </c>
      <c r="G58" s="17" t="s">
        <v>907</v>
      </c>
      <c r="H58" s="17" t="s">
        <v>781</v>
      </c>
      <c r="I58" s="17" t="s">
        <v>39</v>
      </c>
      <c r="J58" s="46" t="s">
        <v>2887</v>
      </c>
      <c r="K58" s="46" t="s">
        <v>2888</v>
      </c>
      <c r="L58" s="179" t="s">
        <v>2889</v>
      </c>
      <c r="M58" s="46" t="s">
        <v>39</v>
      </c>
      <c r="N58" s="65" t="s">
        <v>912</v>
      </c>
      <c r="O58" s="65" t="s">
        <v>752</v>
      </c>
      <c r="P58" s="17"/>
      <c r="Q58" s="46" t="s">
        <v>1716</v>
      </c>
      <c r="R58" s="17" t="s">
        <v>3</v>
      </c>
      <c r="S58" s="17" t="s">
        <v>1026</v>
      </c>
      <c r="T58" s="182" t="s">
        <v>2890</v>
      </c>
      <c r="U58" s="268"/>
    </row>
    <row r="59" spans="1:21">
      <c r="A59" s="7" t="s">
        <v>2891</v>
      </c>
      <c r="B59" s="7" t="s">
        <v>1061</v>
      </c>
      <c r="C59" s="7" t="s">
        <v>754</v>
      </c>
      <c r="D59" s="7" t="s">
        <v>906</v>
      </c>
      <c r="E59" s="32" t="s">
        <v>828</v>
      </c>
      <c r="F59" s="32" t="s">
        <v>6</v>
      </c>
      <c r="G59" s="7" t="s">
        <v>907</v>
      </c>
      <c r="H59" s="7" t="s">
        <v>781</v>
      </c>
      <c r="I59" s="7" t="s">
        <v>39</v>
      </c>
      <c r="J59" s="14" t="s">
        <v>2892</v>
      </c>
      <c r="K59" s="14" t="s">
        <v>2893</v>
      </c>
      <c r="L59" s="56" t="s">
        <v>2894</v>
      </c>
      <c r="M59" s="14" t="s">
        <v>39</v>
      </c>
      <c r="N59" s="32" t="s">
        <v>912</v>
      </c>
      <c r="O59" s="32" t="s">
        <v>752</v>
      </c>
      <c r="P59" s="7"/>
      <c r="Q59" s="14" t="s">
        <v>1716</v>
      </c>
      <c r="R59" s="7" t="s">
        <v>3</v>
      </c>
      <c r="S59" s="7" t="s">
        <v>1026</v>
      </c>
      <c r="T59" s="4" t="s">
        <v>2895</v>
      </c>
      <c r="U59" s="98"/>
    </row>
    <row r="60" spans="1:21">
      <c r="A60" s="7" t="s">
        <v>2896</v>
      </c>
      <c r="B60" s="7" t="s">
        <v>1061</v>
      </c>
      <c r="C60" s="7" t="s">
        <v>754</v>
      </c>
      <c r="D60" s="7" t="s">
        <v>906</v>
      </c>
      <c r="E60" s="32" t="s">
        <v>755</v>
      </c>
      <c r="F60" s="32" t="s">
        <v>6</v>
      </c>
      <c r="G60" s="7" t="s">
        <v>907</v>
      </c>
      <c r="H60" s="7" t="s">
        <v>781</v>
      </c>
      <c r="I60" s="7" t="s">
        <v>39</v>
      </c>
      <c r="J60" s="14" t="s">
        <v>2897</v>
      </c>
      <c r="K60" s="14" t="s">
        <v>2898</v>
      </c>
      <c r="L60" s="56" t="s">
        <v>2899</v>
      </c>
      <c r="M60" s="14" t="s">
        <v>39</v>
      </c>
      <c r="N60" s="32" t="s">
        <v>912</v>
      </c>
      <c r="O60" s="32" t="s">
        <v>752</v>
      </c>
      <c r="P60" s="7"/>
      <c r="Q60" s="14" t="s">
        <v>2900</v>
      </c>
      <c r="R60" s="7" t="s">
        <v>3</v>
      </c>
      <c r="S60" s="47">
        <v>46145</v>
      </c>
      <c r="T60" s="4" t="s">
        <v>2901</v>
      </c>
      <c r="U60" s="98"/>
    </row>
    <row r="61" spans="1:21">
      <c r="A61" s="74" t="s">
        <v>2902</v>
      </c>
      <c r="B61" s="74" t="s">
        <v>1061</v>
      </c>
      <c r="C61" s="74" t="s">
        <v>746</v>
      </c>
      <c r="D61" s="74" t="s">
        <v>906</v>
      </c>
      <c r="E61" s="73" t="s">
        <v>1756</v>
      </c>
      <c r="F61" s="73" t="s">
        <v>6</v>
      </c>
      <c r="G61" s="74" t="s">
        <v>1050</v>
      </c>
      <c r="H61" s="74" t="s">
        <v>2903</v>
      </c>
      <c r="I61" s="74" t="s">
        <v>39</v>
      </c>
      <c r="J61" s="76" t="s">
        <v>2904</v>
      </c>
      <c r="K61" s="76" t="s">
        <v>2905</v>
      </c>
      <c r="L61" s="130" t="s">
        <v>2906</v>
      </c>
      <c r="M61" s="76" t="s">
        <v>39</v>
      </c>
      <c r="N61" s="73" t="s">
        <v>912</v>
      </c>
      <c r="O61" s="73" t="s">
        <v>752</v>
      </c>
      <c r="P61" s="74"/>
      <c r="Q61" s="76" t="s">
        <v>2103</v>
      </c>
      <c r="R61" s="141" t="s">
        <v>3</v>
      </c>
      <c r="S61" s="47">
        <v>46145</v>
      </c>
      <c r="T61" s="273" t="s">
        <v>2907</v>
      </c>
      <c r="U61" s="267"/>
    </row>
    <row r="62" spans="1:21">
      <c r="A62" s="16" t="s">
        <v>2908</v>
      </c>
      <c r="B62" s="16" t="s">
        <v>1061</v>
      </c>
      <c r="C62" s="16" t="s">
        <v>754</v>
      </c>
      <c r="D62" s="16" t="s">
        <v>906</v>
      </c>
      <c r="E62" s="57" t="s">
        <v>755</v>
      </c>
      <c r="F62" s="57" t="s">
        <v>6</v>
      </c>
      <c r="G62" s="16" t="s">
        <v>907</v>
      </c>
      <c r="H62" s="16" t="s">
        <v>781</v>
      </c>
      <c r="I62" s="16" t="s">
        <v>39</v>
      </c>
      <c r="J62" s="12" t="s">
        <v>2909</v>
      </c>
      <c r="K62" s="12" t="s">
        <v>2910</v>
      </c>
      <c r="L62" s="113" t="s">
        <v>2911</v>
      </c>
      <c r="M62" s="12" t="s">
        <v>39</v>
      </c>
      <c r="N62" s="57" t="s">
        <v>912</v>
      </c>
      <c r="O62" s="57" t="s">
        <v>752</v>
      </c>
      <c r="P62" s="16"/>
      <c r="Q62" s="12" t="s">
        <v>2900</v>
      </c>
      <c r="R62" s="16" t="s">
        <v>3</v>
      </c>
      <c r="S62" s="258">
        <v>46145</v>
      </c>
      <c r="T62" s="207" t="s">
        <v>2912</v>
      </c>
      <c r="U62" s="177"/>
    </row>
    <row r="63" spans="1:21">
      <c r="A63" s="7" t="s">
        <v>2913</v>
      </c>
      <c r="B63" s="47">
        <v>46329</v>
      </c>
      <c r="C63" s="7" t="s">
        <v>746</v>
      </c>
      <c r="D63" s="7" t="s">
        <v>906</v>
      </c>
      <c r="E63" s="32" t="s">
        <v>828</v>
      </c>
      <c r="F63" s="32" t="s">
        <v>6</v>
      </c>
      <c r="G63" s="7" t="s">
        <v>2914</v>
      </c>
      <c r="H63" s="7" t="s">
        <v>781</v>
      </c>
      <c r="I63" s="7" t="s">
        <v>39</v>
      </c>
      <c r="J63" s="14" t="s">
        <v>2915</v>
      </c>
      <c r="K63" s="14" t="s">
        <v>2916</v>
      </c>
      <c r="L63" s="28" t="s">
        <v>2917</v>
      </c>
      <c r="M63" s="14" t="s">
        <v>39</v>
      </c>
      <c r="N63" s="32" t="s">
        <v>912</v>
      </c>
      <c r="O63" s="32" t="s">
        <v>1190</v>
      </c>
      <c r="P63" s="7"/>
      <c r="Q63" s="43"/>
      <c r="R63" s="7" t="s">
        <v>4</v>
      </c>
      <c r="S63" s="7"/>
      <c r="T63" s="4"/>
      <c r="U63" s="98"/>
    </row>
    <row r="64" spans="1:21">
      <c r="A64" s="17" t="s">
        <v>2918</v>
      </c>
      <c r="B64" s="257">
        <v>46359</v>
      </c>
      <c r="C64" s="17" t="s">
        <v>746</v>
      </c>
      <c r="D64" s="17" t="s">
        <v>906</v>
      </c>
      <c r="E64" s="65" t="s">
        <v>755</v>
      </c>
      <c r="F64" s="65" t="s">
        <v>6</v>
      </c>
      <c r="G64" s="17" t="s">
        <v>2919</v>
      </c>
      <c r="H64" s="17" t="s">
        <v>781</v>
      </c>
      <c r="I64" s="17" t="s">
        <v>39</v>
      </c>
      <c r="J64" s="46" t="s">
        <v>2920</v>
      </c>
      <c r="K64" s="46" t="s">
        <v>2921</v>
      </c>
      <c r="L64" s="64" t="s">
        <v>2922</v>
      </c>
      <c r="M64" s="64" t="s">
        <v>2923</v>
      </c>
      <c r="N64" s="65" t="s">
        <v>1009</v>
      </c>
      <c r="O64" s="65" t="s">
        <v>752</v>
      </c>
      <c r="P64" s="17"/>
      <c r="Q64" s="50"/>
      <c r="R64" s="30" t="s">
        <v>3</v>
      </c>
      <c r="S64" s="30" t="s">
        <v>490</v>
      </c>
      <c r="T64" s="122" t="s">
        <v>2924</v>
      </c>
      <c r="U64" s="268"/>
    </row>
    <row r="65" spans="1:38">
      <c r="A65" s="7" t="s">
        <v>2925</v>
      </c>
      <c r="B65" s="7" t="s">
        <v>2580</v>
      </c>
      <c r="C65" s="7" t="s">
        <v>746</v>
      </c>
      <c r="D65" s="7" t="s">
        <v>906</v>
      </c>
      <c r="E65" s="32" t="s">
        <v>828</v>
      </c>
      <c r="F65" s="32" t="s">
        <v>6</v>
      </c>
      <c r="G65" s="7" t="s">
        <v>1085</v>
      </c>
      <c r="H65" s="7" t="s">
        <v>781</v>
      </c>
      <c r="I65" s="7" t="s">
        <v>39</v>
      </c>
      <c r="J65" s="14" t="s">
        <v>2926</v>
      </c>
      <c r="K65" s="14" t="s">
        <v>2927</v>
      </c>
      <c r="L65" s="14"/>
      <c r="M65" s="14" t="s">
        <v>39</v>
      </c>
      <c r="N65" s="32" t="s">
        <v>749</v>
      </c>
      <c r="O65" s="32" t="s">
        <v>752</v>
      </c>
      <c r="P65" s="7"/>
      <c r="Q65" s="43"/>
      <c r="R65" s="9" t="s">
        <v>4</v>
      </c>
      <c r="S65" s="9"/>
      <c r="T65" s="121"/>
      <c r="U65" s="98"/>
    </row>
    <row r="66" spans="1:38">
      <c r="A66" s="7" t="s">
        <v>2928</v>
      </c>
      <c r="B66" s="7" t="s">
        <v>701</v>
      </c>
      <c r="C66" s="7" t="s">
        <v>746</v>
      </c>
      <c r="D66" s="7" t="s">
        <v>906</v>
      </c>
      <c r="E66" s="32" t="s">
        <v>828</v>
      </c>
      <c r="F66" s="32" t="s">
        <v>6</v>
      </c>
      <c r="G66" s="7" t="s">
        <v>907</v>
      </c>
      <c r="H66" s="7" t="s">
        <v>781</v>
      </c>
      <c r="I66" s="7" t="s">
        <v>39</v>
      </c>
      <c r="J66" s="14" t="s">
        <v>2929</v>
      </c>
      <c r="K66" s="14" t="s">
        <v>2930</v>
      </c>
      <c r="L66" s="28" t="s">
        <v>2931</v>
      </c>
      <c r="M66" s="14" t="s">
        <v>39</v>
      </c>
      <c r="N66" s="32" t="s">
        <v>749</v>
      </c>
      <c r="O66" s="32" t="s">
        <v>752</v>
      </c>
      <c r="P66" s="7"/>
      <c r="Q66" s="43"/>
      <c r="R66" s="9" t="s">
        <v>4</v>
      </c>
      <c r="S66" s="9" t="s">
        <v>701</v>
      </c>
      <c r="T66" s="121" t="s">
        <v>2932</v>
      </c>
      <c r="U66" s="98"/>
    </row>
    <row r="67" spans="1:38">
      <c r="A67" s="7" t="s">
        <v>2933</v>
      </c>
      <c r="B67" s="7" t="s">
        <v>701</v>
      </c>
      <c r="C67" s="7" t="s">
        <v>746</v>
      </c>
      <c r="D67" s="7" t="s">
        <v>906</v>
      </c>
      <c r="E67" s="32" t="s">
        <v>755</v>
      </c>
      <c r="F67" s="32" t="s">
        <v>6</v>
      </c>
      <c r="G67" s="7" t="s">
        <v>1050</v>
      </c>
      <c r="H67" s="7" t="s">
        <v>37</v>
      </c>
      <c r="I67" s="7" t="s">
        <v>39</v>
      </c>
      <c r="J67" s="14" t="s">
        <v>2934</v>
      </c>
      <c r="K67" s="14" t="s">
        <v>2935</v>
      </c>
      <c r="L67" s="28" t="s">
        <v>2936</v>
      </c>
      <c r="M67" s="14" t="s">
        <v>39</v>
      </c>
      <c r="N67" s="32" t="s">
        <v>1009</v>
      </c>
      <c r="O67" s="32" t="s">
        <v>752</v>
      </c>
      <c r="P67" s="7"/>
      <c r="Q67" s="43"/>
      <c r="R67" s="9" t="s">
        <v>4</v>
      </c>
      <c r="S67" s="9"/>
      <c r="T67" s="121"/>
      <c r="U67" s="98"/>
    </row>
    <row r="68" spans="1:38">
      <c r="A68" s="7"/>
      <c r="B68" s="7"/>
      <c r="C68" s="7"/>
      <c r="D68" s="7"/>
      <c r="E68" s="32"/>
      <c r="F68" s="32"/>
      <c r="G68" s="7"/>
      <c r="H68" s="7"/>
      <c r="I68" s="7"/>
      <c r="J68" s="14"/>
      <c r="K68" s="14"/>
      <c r="L68" s="14"/>
      <c r="M68" s="14"/>
      <c r="N68" s="32"/>
      <c r="O68" s="32"/>
      <c r="P68" s="7"/>
      <c r="Q68" s="43"/>
      <c r="R68" s="9"/>
      <c r="S68" s="9"/>
      <c r="T68" s="121"/>
      <c r="U68" s="98"/>
    </row>
    <row r="69" spans="1:38">
      <c r="A69" s="7"/>
      <c r="B69" s="7"/>
      <c r="C69" s="7"/>
      <c r="D69" s="7"/>
      <c r="E69" s="32"/>
      <c r="F69" s="32"/>
      <c r="G69" s="7"/>
      <c r="H69" s="7"/>
      <c r="I69" s="7"/>
      <c r="J69" s="14"/>
      <c r="K69" s="14"/>
      <c r="L69" s="14"/>
      <c r="M69" s="14"/>
      <c r="N69" s="32"/>
      <c r="O69" s="32"/>
      <c r="P69" s="7"/>
      <c r="Q69" s="43"/>
      <c r="R69" s="9"/>
      <c r="S69" s="9"/>
      <c r="T69" s="121"/>
      <c r="U69" s="98"/>
    </row>
    <row r="70" spans="1:38">
      <c r="A70" s="7"/>
      <c r="B70" s="7"/>
      <c r="C70" s="7"/>
      <c r="D70" s="7"/>
      <c r="E70" s="32"/>
      <c r="F70" s="32"/>
      <c r="G70" s="7"/>
      <c r="H70" s="7"/>
      <c r="I70" s="7"/>
      <c r="J70" s="28"/>
      <c r="K70" s="14"/>
      <c r="L70" s="14"/>
      <c r="M70" s="14"/>
      <c r="N70" s="32"/>
      <c r="O70" s="32"/>
      <c r="P70" s="7"/>
      <c r="Q70" s="43"/>
      <c r="R70" s="9"/>
      <c r="S70" s="9"/>
      <c r="T70" s="121"/>
      <c r="U70" s="98"/>
    </row>
    <row r="71" spans="1:38">
      <c r="A71" s="7"/>
      <c r="B71" s="7"/>
      <c r="C71" s="7"/>
      <c r="D71" s="7"/>
      <c r="E71" s="32"/>
      <c r="F71" s="32"/>
      <c r="G71" s="7"/>
      <c r="H71" s="7"/>
      <c r="I71" s="7"/>
      <c r="J71" s="14"/>
      <c r="K71" s="14"/>
      <c r="L71" s="14"/>
      <c r="M71" s="14"/>
      <c r="N71" s="32"/>
      <c r="O71" s="32"/>
      <c r="P71" s="7"/>
      <c r="Q71" s="43"/>
      <c r="R71" s="9"/>
      <c r="S71" s="9"/>
      <c r="T71" s="121"/>
      <c r="U71" s="98"/>
    </row>
    <row r="72" spans="1:38">
      <c r="A72" s="7"/>
      <c r="B72" s="7"/>
      <c r="C72" s="7"/>
      <c r="D72" s="7"/>
      <c r="E72" s="32"/>
      <c r="F72" s="32"/>
      <c r="G72" s="7"/>
      <c r="H72" s="7"/>
      <c r="I72" s="7"/>
      <c r="J72" s="14"/>
      <c r="K72" s="14"/>
      <c r="L72" s="14"/>
      <c r="M72" s="14"/>
      <c r="N72" s="32"/>
      <c r="O72" s="32"/>
      <c r="P72" s="7"/>
      <c r="Q72" s="43"/>
      <c r="R72" s="9"/>
      <c r="S72" s="9"/>
      <c r="T72" s="121"/>
      <c r="U72" s="98"/>
    </row>
    <row r="73" spans="1:38">
      <c r="A73" s="7"/>
      <c r="B73" s="7"/>
      <c r="C73" s="7"/>
      <c r="D73" s="7"/>
      <c r="E73" s="32"/>
      <c r="F73" s="32"/>
      <c r="G73" s="7"/>
      <c r="H73" s="7"/>
      <c r="I73" s="7"/>
      <c r="J73" s="14"/>
      <c r="K73" s="14"/>
      <c r="L73" s="14"/>
      <c r="M73" s="14"/>
      <c r="N73" s="32"/>
      <c r="O73" s="32"/>
      <c r="P73" s="7"/>
      <c r="Q73" s="43"/>
      <c r="R73" s="9"/>
      <c r="S73" s="9"/>
      <c r="T73" s="121"/>
      <c r="U73" s="98"/>
    </row>
    <row r="74" spans="1:38">
      <c r="A74" s="7"/>
      <c r="B74" s="7"/>
      <c r="C74" s="7"/>
      <c r="D74" s="7"/>
      <c r="E74" s="32"/>
      <c r="F74" s="32"/>
      <c r="G74" s="7"/>
      <c r="H74" s="7"/>
      <c r="I74" s="7"/>
      <c r="J74" s="14"/>
      <c r="K74" s="14"/>
      <c r="L74" s="14"/>
      <c r="M74" s="14"/>
      <c r="N74" s="32"/>
      <c r="O74" s="32"/>
      <c r="P74" s="7"/>
      <c r="Q74" s="43"/>
      <c r="R74" s="9"/>
      <c r="S74" s="9"/>
      <c r="T74" s="121"/>
      <c r="U74" s="98"/>
    </row>
    <row r="75" spans="1:38">
      <c r="A75" s="7"/>
      <c r="B75" s="7"/>
      <c r="C75" s="7"/>
      <c r="D75" s="7"/>
      <c r="E75" s="32"/>
      <c r="F75" s="32"/>
      <c r="G75" s="7"/>
      <c r="H75" s="7"/>
      <c r="I75" s="7"/>
      <c r="J75" s="14"/>
      <c r="K75" s="14"/>
      <c r="L75" s="14"/>
      <c r="M75" s="14"/>
      <c r="N75" s="32"/>
      <c r="O75" s="32"/>
      <c r="P75" s="7"/>
      <c r="Q75" s="43"/>
      <c r="R75" s="9"/>
      <c r="S75" s="9"/>
      <c r="T75" s="121"/>
      <c r="U75" s="98"/>
      <c r="AD75" t="s">
        <v>467</v>
      </c>
    </row>
    <row r="76" spans="1:38">
      <c r="A76" s="7"/>
      <c r="B76" s="7"/>
      <c r="C76" s="7"/>
      <c r="D76" s="7"/>
      <c r="E76" s="32"/>
      <c r="F76" s="32"/>
      <c r="G76" s="7"/>
      <c r="H76" s="7"/>
      <c r="I76" s="7"/>
      <c r="J76" s="14"/>
      <c r="K76" s="14"/>
      <c r="L76" s="14"/>
      <c r="M76" s="14"/>
      <c r="N76" s="32"/>
      <c r="O76" s="32"/>
      <c r="P76" s="7"/>
      <c r="Q76" s="43"/>
      <c r="R76" s="9"/>
      <c r="S76" s="9"/>
      <c r="T76" s="121"/>
      <c r="U76" s="98"/>
      <c r="AD76" s="234"/>
      <c r="AE76" s="234"/>
      <c r="AF76" s="234"/>
      <c r="AG76" s="234"/>
      <c r="AH76" s="234"/>
      <c r="AI76" s="234"/>
      <c r="AJ76" s="234"/>
      <c r="AK76" s="234"/>
      <c r="AL76" s="234"/>
    </row>
    <row r="77" spans="1:38">
      <c r="A77" s="7"/>
      <c r="B77" s="7"/>
      <c r="C77" s="7"/>
      <c r="D77" s="7"/>
      <c r="E77" s="32"/>
      <c r="F77" s="32"/>
      <c r="G77" s="7"/>
      <c r="H77" s="7"/>
      <c r="I77" s="7"/>
      <c r="J77" s="14"/>
      <c r="K77" s="14"/>
      <c r="L77" s="14"/>
      <c r="M77" s="14"/>
      <c r="N77" s="32"/>
      <c r="O77" s="32"/>
      <c r="P77" s="7"/>
      <c r="Q77" s="43"/>
      <c r="R77" s="9"/>
      <c r="S77" s="9"/>
      <c r="T77" s="121"/>
      <c r="U77" s="98"/>
      <c r="AD77" s="234"/>
    </row>
    <row r="78" spans="1:38">
      <c r="A78" s="7"/>
      <c r="B78" s="7"/>
      <c r="C78" s="7"/>
      <c r="D78" s="7"/>
      <c r="E78" s="32"/>
      <c r="F78" s="32"/>
      <c r="G78" s="7"/>
      <c r="H78" s="7"/>
      <c r="I78" s="7"/>
      <c r="J78" s="14"/>
      <c r="K78" s="14"/>
      <c r="L78" s="14"/>
      <c r="M78" s="14"/>
      <c r="N78" s="32"/>
      <c r="O78" s="32"/>
      <c r="P78" s="7"/>
      <c r="Q78" s="43"/>
      <c r="R78" s="9"/>
      <c r="S78" s="9"/>
      <c r="T78" s="121"/>
      <c r="U78" s="98"/>
      <c r="AD78" s="234"/>
    </row>
    <row r="79" spans="1:38">
      <c r="A79" s="7"/>
      <c r="B79" s="7"/>
      <c r="C79" s="7"/>
      <c r="D79" s="7"/>
      <c r="E79" s="32"/>
      <c r="F79" s="32"/>
      <c r="G79" s="7"/>
      <c r="H79" s="7"/>
      <c r="I79" s="7"/>
      <c r="J79" s="14"/>
      <c r="K79" s="14"/>
      <c r="L79" s="14"/>
      <c r="M79" s="14"/>
      <c r="N79" s="32"/>
      <c r="O79" s="32"/>
      <c r="P79" s="7"/>
      <c r="Q79" s="43"/>
      <c r="R79" s="9"/>
      <c r="S79" s="9"/>
      <c r="T79" s="121"/>
      <c r="U79" s="98"/>
      <c r="AD79" s="234"/>
    </row>
    <row r="80" spans="1:38">
      <c r="A80" s="7"/>
      <c r="B80" s="7"/>
      <c r="C80" s="7"/>
      <c r="D80" s="7"/>
      <c r="E80" s="32"/>
      <c r="F80" s="32"/>
      <c r="G80" s="7"/>
      <c r="H80" s="7"/>
      <c r="I80" s="7"/>
      <c r="J80" s="14"/>
      <c r="K80" s="14"/>
      <c r="L80" s="14"/>
      <c r="M80" s="14"/>
      <c r="N80" s="32"/>
      <c r="O80" s="32"/>
      <c r="P80" s="7"/>
      <c r="Q80" s="43"/>
      <c r="R80" s="9"/>
      <c r="S80" s="9"/>
      <c r="T80" s="121"/>
      <c r="U80" s="98"/>
      <c r="AD80" s="234"/>
    </row>
    <row r="81" spans="1:30">
      <c r="A81" s="7"/>
      <c r="B81" s="7"/>
      <c r="C81" s="7"/>
      <c r="D81" s="7"/>
      <c r="E81" s="32"/>
      <c r="F81" s="32"/>
      <c r="G81" s="7"/>
      <c r="H81" s="7"/>
      <c r="I81" s="7"/>
      <c r="J81" s="14"/>
      <c r="K81" s="14"/>
      <c r="L81" s="14"/>
      <c r="M81" s="14"/>
      <c r="N81" s="32"/>
      <c r="O81" s="32"/>
      <c r="P81" s="7"/>
      <c r="Q81" s="43"/>
      <c r="R81" s="9"/>
      <c r="S81" s="9"/>
      <c r="T81" s="121"/>
      <c r="U81" s="98"/>
      <c r="AD81" s="234"/>
    </row>
    <row r="82" spans="1:30">
      <c r="A82" s="7"/>
      <c r="B82" s="7"/>
      <c r="C82" s="7"/>
      <c r="D82" s="7"/>
      <c r="E82" s="32"/>
      <c r="F82" s="32"/>
      <c r="G82" s="7"/>
      <c r="H82" s="7"/>
      <c r="I82" s="7"/>
      <c r="J82" s="14"/>
      <c r="K82" s="14"/>
      <c r="L82" s="14"/>
      <c r="M82" s="14"/>
      <c r="N82" s="32"/>
      <c r="O82" s="32"/>
      <c r="P82" s="7"/>
      <c r="Q82" s="43"/>
      <c r="R82" s="9"/>
      <c r="S82" s="9"/>
      <c r="T82" s="121"/>
      <c r="U82" s="98"/>
      <c r="AD82" s="234"/>
    </row>
    <row r="83" spans="1:30">
      <c r="A83" s="7"/>
      <c r="B83" s="7"/>
      <c r="C83" s="7"/>
      <c r="D83" s="7"/>
      <c r="E83" s="32"/>
      <c r="F83" s="32"/>
      <c r="G83" s="7"/>
      <c r="H83" s="7"/>
      <c r="I83" s="7"/>
      <c r="J83" s="14"/>
      <c r="K83" s="14"/>
      <c r="L83" s="14"/>
      <c r="M83" s="14"/>
      <c r="N83" s="32"/>
      <c r="O83" s="32"/>
      <c r="P83" s="7"/>
      <c r="Q83" s="43"/>
      <c r="R83" s="9"/>
      <c r="S83" s="9"/>
      <c r="T83" s="121"/>
      <c r="U83" s="98"/>
      <c r="AD83" s="234"/>
    </row>
    <row r="84" spans="1:30">
      <c r="A84" s="7"/>
      <c r="B84" s="7"/>
      <c r="C84" s="7"/>
      <c r="D84" s="7"/>
      <c r="E84" s="32"/>
      <c r="F84" s="32"/>
      <c r="G84" s="7"/>
      <c r="H84" s="7"/>
      <c r="I84" s="7"/>
      <c r="J84" s="14"/>
      <c r="K84" s="14"/>
      <c r="L84" s="14"/>
      <c r="M84" s="14"/>
      <c r="N84" s="32"/>
      <c r="O84" s="32"/>
      <c r="P84" s="7"/>
      <c r="Q84" s="43"/>
      <c r="R84" s="9"/>
      <c r="S84" s="9"/>
      <c r="T84" s="121"/>
      <c r="U84" s="98"/>
      <c r="AD84" s="234"/>
    </row>
    <row r="85" spans="1:30">
      <c r="A85" s="7"/>
      <c r="B85" s="7"/>
      <c r="C85" s="7"/>
      <c r="D85" s="7"/>
      <c r="E85" s="32"/>
      <c r="F85" s="32"/>
      <c r="G85" s="7"/>
      <c r="H85" s="7"/>
      <c r="I85" s="7"/>
      <c r="J85" s="14"/>
      <c r="K85" s="14"/>
      <c r="L85" s="14"/>
      <c r="M85" s="14"/>
      <c r="N85" s="32"/>
      <c r="O85" s="32"/>
      <c r="P85" s="7"/>
      <c r="Q85" s="43"/>
      <c r="R85" s="9"/>
      <c r="S85" s="9"/>
      <c r="T85" s="121"/>
      <c r="U85" s="98"/>
      <c r="AD85" s="234"/>
    </row>
    <row r="86" spans="1:30">
      <c r="A86" s="7"/>
      <c r="B86" s="7"/>
      <c r="C86" s="7"/>
      <c r="D86" s="7"/>
      <c r="E86" s="32"/>
      <c r="F86" s="32"/>
      <c r="G86" s="7"/>
      <c r="H86" s="7"/>
      <c r="I86" s="7"/>
      <c r="J86" s="14"/>
      <c r="K86" s="14"/>
      <c r="L86" s="14"/>
      <c r="M86" s="14"/>
      <c r="N86" s="32"/>
      <c r="O86" s="32"/>
      <c r="P86" s="7"/>
      <c r="Q86" s="43"/>
      <c r="R86" s="9"/>
      <c r="S86" s="9"/>
      <c r="T86" s="121"/>
      <c r="U86" s="98"/>
      <c r="AD86" t="s">
        <v>467</v>
      </c>
    </row>
    <row r="87" spans="1:30">
      <c r="A87" s="7"/>
      <c r="B87" s="7"/>
      <c r="C87" s="7"/>
      <c r="D87" s="7"/>
      <c r="E87" s="32"/>
      <c r="F87" s="32"/>
      <c r="G87" s="7"/>
      <c r="H87" s="7"/>
      <c r="I87" s="7"/>
      <c r="J87" s="14"/>
      <c r="K87" s="14"/>
      <c r="L87" s="14"/>
      <c r="M87" s="14"/>
      <c r="N87" s="32"/>
      <c r="O87" s="32"/>
      <c r="P87" s="7"/>
      <c r="Q87" s="43"/>
      <c r="R87" s="9"/>
      <c r="S87" s="9"/>
      <c r="T87" s="121"/>
      <c r="U87" s="98"/>
    </row>
    <row r="88" spans="1:30">
      <c r="A88" s="7"/>
      <c r="B88" s="7"/>
      <c r="C88" s="7"/>
      <c r="D88" s="7"/>
      <c r="E88" s="32"/>
      <c r="F88" s="32"/>
      <c r="G88" s="7"/>
      <c r="H88" s="7"/>
      <c r="I88" s="7"/>
      <c r="J88" s="14"/>
      <c r="K88" s="14"/>
      <c r="L88" s="14"/>
      <c r="M88" s="14"/>
      <c r="N88" s="32"/>
      <c r="O88" s="32"/>
      <c r="P88" s="7"/>
      <c r="Q88" s="43"/>
      <c r="R88" s="9"/>
      <c r="S88" s="9"/>
      <c r="T88" s="121"/>
      <c r="U88" s="98"/>
    </row>
    <row r="89" spans="1:30">
      <c r="A89" s="7"/>
      <c r="B89" s="7"/>
      <c r="C89" s="7"/>
      <c r="D89" s="7"/>
      <c r="E89" s="32"/>
      <c r="F89" s="32"/>
      <c r="G89" s="7"/>
      <c r="H89" s="7"/>
      <c r="I89" s="7"/>
      <c r="J89" s="14"/>
      <c r="K89" s="14"/>
      <c r="L89" s="14"/>
      <c r="M89" s="14"/>
      <c r="N89" s="32"/>
      <c r="O89" s="32"/>
      <c r="P89" s="7"/>
      <c r="Q89" s="43"/>
      <c r="R89" s="9"/>
      <c r="S89" s="9"/>
      <c r="T89" s="121"/>
      <c r="U89" s="98"/>
    </row>
    <row r="90" spans="1:30">
      <c r="A90" s="7"/>
      <c r="B90" s="7"/>
      <c r="C90" s="7"/>
      <c r="D90" s="7"/>
      <c r="E90" s="32"/>
      <c r="F90" s="32"/>
      <c r="G90" s="7"/>
      <c r="H90" s="7"/>
      <c r="I90" s="7"/>
      <c r="J90" s="14"/>
      <c r="K90" s="14"/>
      <c r="L90" s="14"/>
      <c r="M90" s="14"/>
      <c r="N90" s="32"/>
      <c r="O90" s="32"/>
      <c r="P90" s="7"/>
      <c r="Q90" s="43"/>
      <c r="R90" s="9"/>
      <c r="S90" s="9"/>
      <c r="T90" s="121"/>
      <c r="U90" s="98"/>
    </row>
    <row r="91" spans="1:30">
      <c r="A91" s="7"/>
      <c r="B91" s="7"/>
      <c r="C91" s="7"/>
      <c r="D91" s="7"/>
      <c r="E91" s="32"/>
      <c r="F91" s="32"/>
      <c r="G91" s="7"/>
      <c r="H91" s="7"/>
      <c r="I91" s="7"/>
      <c r="J91" s="14"/>
      <c r="K91" s="14"/>
      <c r="L91" s="14"/>
      <c r="M91" s="14"/>
      <c r="N91" s="32"/>
      <c r="O91" s="32"/>
      <c r="P91" s="7"/>
      <c r="Q91" s="43"/>
      <c r="R91" s="9"/>
      <c r="S91" s="9"/>
      <c r="T91" s="121"/>
      <c r="U91" s="98"/>
    </row>
    <row r="92" spans="1:30">
      <c r="A92" s="7"/>
      <c r="B92" s="7"/>
      <c r="C92" s="7"/>
      <c r="D92" s="7"/>
      <c r="E92" s="32"/>
      <c r="F92" s="32"/>
      <c r="G92" s="7"/>
      <c r="H92" s="7"/>
      <c r="I92" s="7"/>
      <c r="J92" s="14"/>
      <c r="K92" s="14"/>
      <c r="L92" s="14"/>
      <c r="M92" s="14"/>
      <c r="N92" s="32"/>
      <c r="O92" s="32"/>
      <c r="P92" s="7"/>
      <c r="Q92" s="43"/>
      <c r="R92" s="9"/>
      <c r="S92" s="9"/>
      <c r="T92" s="121"/>
      <c r="U92" s="98"/>
    </row>
    <row r="93" spans="1:30">
      <c r="A93" s="7"/>
      <c r="B93" s="7"/>
      <c r="C93" s="7"/>
      <c r="D93" s="7"/>
      <c r="E93" s="32"/>
      <c r="F93" s="32"/>
      <c r="G93" s="7"/>
      <c r="H93" s="7"/>
      <c r="I93" s="7"/>
      <c r="J93" s="14"/>
      <c r="K93" s="14"/>
      <c r="L93" s="14"/>
      <c r="M93" s="14"/>
      <c r="N93" s="32"/>
      <c r="O93" s="32"/>
      <c r="P93" s="7"/>
      <c r="Q93" s="43"/>
      <c r="R93" s="9"/>
      <c r="S93" s="9"/>
      <c r="T93" s="121"/>
      <c r="U93" s="98"/>
    </row>
    <row r="94" spans="1:30">
      <c r="A94" s="7"/>
      <c r="B94" s="7"/>
      <c r="C94" s="7"/>
      <c r="D94" s="7"/>
      <c r="E94" s="32"/>
      <c r="F94" s="32"/>
      <c r="G94" s="7"/>
      <c r="H94" s="7"/>
      <c r="I94" s="7"/>
      <c r="J94" s="14"/>
      <c r="K94" s="14"/>
      <c r="L94" s="14"/>
      <c r="M94" s="14"/>
      <c r="N94" s="32"/>
      <c r="O94" s="32"/>
      <c r="P94" s="7"/>
      <c r="Q94" s="43"/>
      <c r="R94" s="9"/>
      <c r="S94" s="9"/>
      <c r="T94" s="121"/>
      <c r="U94" s="98"/>
    </row>
    <row r="95" spans="1:30">
      <c r="A95" s="7"/>
      <c r="B95" s="7"/>
      <c r="C95" s="7"/>
      <c r="D95" s="7"/>
      <c r="E95" s="32"/>
      <c r="F95" s="32"/>
      <c r="G95" s="7"/>
      <c r="H95" s="7"/>
      <c r="I95" s="7"/>
      <c r="J95" s="14"/>
      <c r="K95" s="14"/>
      <c r="L95" s="14"/>
      <c r="M95" s="14"/>
      <c r="N95" s="32"/>
      <c r="O95" s="32"/>
      <c r="P95" s="7"/>
      <c r="Q95" s="43"/>
      <c r="R95" s="9"/>
      <c r="S95" s="9"/>
      <c r="T95" s="121"/>
      <c r="U95" s="98"/>
    </row>
    <row r="96" spans="1:30">
      <c r="A96" s="7"/>
      <c r="B96" s="7"/>
      <c r="C96" s="7"/>
      <c r="D96" s="7"/>
      <c r="E96" s="32"/>
      <c r="F96" s="32"/>
      <c r="G96" s="7"/>
      <c r="H96" s="7"/>
      <c r="I96" s="7"/>
      <c r="J96" s="14"/>
      <c r="K96" s="14"/>
      <c r="L96" s="14"/>
      <c r="M96" s="14"/>
      <c r="N96" s="32"/>
      <c r="O96" s="32"/>
      <c r="P96" s="7"/>
      <c r="Q96" s="43"/>
      <c r="R96" s="9"/>
      <c r="S96" s="9"/>
      <c r="T96" s="121"/>
      <c r="U96" s="98"/>
    </row>
    <row r="97" spans="1:21">
      <c r="A97" s="7"/>
      <c r="B97" s="7"/>
      <c r="C97" s="7"/>
      <c r="D97" s="7"/>
      <c r="E97" s="32"/>
      <c r="F97" s="32"/>
      <c r="G97" s="7"/>
      <c r="H97" s="7"/>
      <c r="I97" s="7"/>
      <c r="J97" s="14"/>
      <c r="K97" s="14"/>
      <c r="L97" s="14"/>
      <c r="M97" s="14"/>
      <c r="N97" s="32"/>
      <c r="O97" s="32"/>
      <c r="P97" s="7"/>
      <c r="Q97" s="43"/>
      <c r="R97" s="9"/>
      <c r="S97" s="9"/>
      <c r="T97" s="121"/>
      <c r="U97" s="98"/>
    </row>
    <row r="98" spans="1:21">
      <c r="A98" s="7"/>
      <c r="B98" s="7"/>
      <c r="C98" s="7"/>
      <c r="D98" s="7"/>
      <c r="E98" s="32"/>
      <c r="F98" s="32"/>
      <c r="G98" s="7"/>
      <c r="H98" s="7"/>
      <c r="I98" s="7"/>
      <c r="J98" s="14"/>
      <c r="K98" s="14"/>
      <c r="L98" s="14"/>
      <c r="M98" s="14"/>
      <c r="N98" s="32"/>
      <c r="O98" s="32"/>
      <c r="P98" s="7"/>
      <c r="Q98" s="43"/>
      <c r="R98" s="9"/>
      <c r="S98" s="9"/>
      <c r="T98" s="121"/>
      <c r="U98" s="98"/>
    </row>
    <row r="99" spans="1:21">
      <c r="A99" s="7"/>
      <c r="B99" s="7"/>
      <c r="C99" s="7"/>
      <c r="D99" s="7"/>
      <c r="E99" s="32"/>
      <c r="F99" s="32"/>
      <c r="G99" s="7"/>
      <c r="H99" s="7"/>
      <c r="I99" s="7"/>
      <c r="J99" s="14"/>
      <c r="K99" s="14"/>
      <c r="L99" s="14"/>
      <c r="M99" s="14"/>
      <c r="N99" s="32"/>
      <c r="O99" s="32"/>
      <c r="P99" s="7"/>
      <c r="Q99" s="43"/>
      <c r="R99" s="9"/>
      <c r="S99" s="9"/>
      <c r="T99" s="121"/>
      <c r="U99" s="98"/>
    </row>
    <row r="100" spans="1:21">
      <c r="A100" s="7"/>
      <c r="B100" s="7"/>
      <c r="C100" s="7"/>
      <c r="D100" s="7"/>
      <c r="E100" s="32"/>
      <c r="F100" s="32"/>
      <c r="G100" s="7"/>
      <c r="H100" s="7"/>
      <c r="I100" s="7"/>
      <c r="J100" s="14"/>
      <c r="K100" s="14"/>
      <c r="L100" s="14"/>
      <c r="M100" s="14"/>
      <c r="N100" s="32"/>
      <c r="O100" s="32"/>
      <c r="P100" s="7"/>
      <c r="Q100" s="43"/>
      <c r="R100" s="9"/>
      <c r="S100" s="9"/>
      <c r="T100" s="121"/>
      <c r="U100" s="98"/>
    </row>
    <row r="101" spans="1:21">
      <c r="A101" s="7"/>
      <c r="B101" s="7"/>
      <c r="C101" s="7"/>
      <c r="D101" s="7"/>
      <c r="E101" s="32"/>
      <c r="F101" s="32"/>
      <c r="G101" s="7"/>
      <c r="H101" s="7"/>
      <c r="I101" s="7"/>
      <c r="J101" s="14"/>
      <c r="K101" s="14"/>
      <c r="L101" s="14"/>
      <c r="M101" s="14"/>
      <c r="N101" s="32"/>
      <c r="O101" s="32"/>
      <c r="P101" s="7"/>
      <c r="Q101" s="43"/>
      <c r="R101" s="9"/>
      <c r="S101" s="9"/>
      <c r="T101" s="121"/>
      <c r="U101" s="98"/>
    </row>
    <row r="102" spans="1:21">
      <c r="A102" s="7"/>
      <c r="B102" s="7"/>
      <c r="C102" s="7"/>
      <c r="D102" s="7"/>
      <c r="E102" s="32"/>
      <c r="F102" s="32"/>
      <c r="G102" s="7"/>
      <c r="H102" s="7"/>
      <c r="I102" s="7"/>
      <c r="J102" s="14"/>
      <c r="K102" s="14"/>
      <c r="L102" s="14"/>
      <c r="M102" s="14"/>
      <c r="N102" s="32"/>
      <c r="O102" s="32"/>
      <c r="P102" s="7"/>
      <c r="Q102" s="43"/>
      <c r="R102" s="9"/>
      <c r="S102" s="9"/>
      <c r="T102" s="121"/>
      <c r="U102" s="98"/>
    </row>
    <row r="103" spans="1:21">
      <c r="A103" s="7"/>
      <c r="B103" s="7"/>
      <c r="C103" s="7"/>
      <c r="D103" s="7"/>
      <c r="E103" s="32"/>
      <c r="F103" s="32"/>
      <c r="G103" s="7"/>
      <c r="H103" s="7"/>
      <c r="I103" s="7"/>
      <c r="J103" s="14"/>
      <c r="K103" s="14"/>
      <c r="L103" s="14"/>
      <c r="M103" s="14"/>
      <c r="N103" s="32"/>
      <c r="O103" s="32"/>
      <c r="P103" s="7"/>
      <c r="Q103" s="43"/>
      <c r="R103" s="9"/>
      <c r="S103" s="9"/>
      <c r="T103" s="121"/>
      <c r="U103" s="98"/>
    </row>
    <row r="104" spans="1:21">
      <c r="A104" s="7"/>
      <c r="B104" s="7"/>
      <c r="C104" s="7"/>
      <c r="D104" s="7"/>
      <c r="E104" s="32"/>
      <c r="F104" s="32"/>
      <c r="G104" s="7"/>
      <c r="H104" s="7"/>
      <c r="I104" s="7"/>
      <c r="J104" s="14"/>
      <c r="K104" s="14"/>
      <c r="L104" s="14"/>
      <c r="M104" s="14"/>
      <c r="N104" s="32"/>
      <c r="O104" s="32"/>
      <c r="P104" s="7"/>
      <c r="Q104" s="43"/>
      <c r="R104" s="9"/>
      <c r="S104" s="9"/>
      <c r="T104" s="121"/>
      <c r="U104" s="98"/>
    </row>
    <row r="105" spans="1:21">
      <c r="A105" s="7"/>
      <c r="B105" s="7"/>
      <c r="C105" s="7"/>
      <c r="D105" s="7"/>
      <c r="E105" s="32"/>
      <c r="F105" s="32"/>
      <c r="G105" s="7"/>
      <c r="H105" s="7"/>
      <c r="I105" s="7"/>
      <c r="J105" s="14"/>
      <c r="K105" s="14"/>
      <c r="L105" s="14"/>
      <c r="M105" s="14"/>
      <c r="N105" s="32"/>
      <c r="O105" s="32"/>
      <c r="P105" s="7"/>
      <c r="Q105" s="43"/>
      <c r="R105" s="9"/>
      <c r="S105" s="9"/>
      <c r="T105" s="121"/>
      <c r="U105" s="98"/>
    </row>
    <row r="106" spans="1:21">
      <c r="A106" s="7"/>
      <c r="B106" s="7"/>
      <c r="C106" s="7"/>
      <c r="D106" s="7"/>
      <c r="E106" s="32"/>
      <c r="F106" s="32"/>
      <c r="G106" s="7"/>
      <c r="H106" s="7"/>
      <c r="I106" s="7"/>
      <c r="J106" s="14"/>
      <c r="K106" s="14"/>
      <c r="L106" s="14"/>
      <c r="M106" s="14"/>
      <c r="N106" s="32"/>
      <c r="O106" s="32"/>
      <c r="P106" s="7"/>
      <c r="Q106" s="43"/>
      <c r="R106" s="9"/>
      <c r="S106" s="9"/>
      <c r="T106" s="121"/>
      <c r="U106" s="98"/>
    </row>
    <row r="107" spans="1:21">
      <c r="A107" s="7"/>
      <c r="B107" s="7"/>
      <c r="C107" s="7"/>
      <c r="D107" s="7"/>
      <c r="E107" s="32"/>
      <c r="F107" s="32"/>
      <c r="G107" s="7"/>
      <c r="H107" s="7"/>
      <c r="I107" s="7"/>
      <c r="J107" s="14"/>
      <c r="K107" s="14"/>
      <c r="L107" s="14"/>
      <c r="M107" s="14"/>
      <c r="N107" s="32"/>
      <c r="O107" s="32"/>
      <c r="P107" s="7"/>
      <c r="Q107" s="43"/>
      <c r="R107" s="9"/>
      <c r="S107" s="9"/>
      <c r="T107" s="121"/>
      <c r="U107" s="98"/>
    </row>
    <row r="108" spans="1:21">
      <c r="A108" s="7"/>
      <c r="B108" s="7"/>
      <c r="C108" s="7"/>
      <c r="D108" s="7"/>
      <c r="E108" s="32"/>
      <c r="F108" s="32"/>
      <c r="G108" s="7"/>
      <c r="H108" s="7"/>
      <c r="I108" s="7"/>
      <c r="J108" s="14"/>
      <c r="K108" s="14"/>
      <c r="L108" s="14"/>
      <c r="M108" s="14"/>
      <c r="N108" s="32"/>
      <c r="O108" s="32"/>
      <c r="P108" s="7"/>
      <c r="Q108" s="43"/>
      <c r="R108" s="9"/>
      <c r="S108" s="9"/>
      <c r="T108" s="121"/>
      <c r="U108" s="98"/>
    </row>
    <row r="109" spans="1:21">
      <c r="A109" s="7"/>
      <c r="B109" s="7"/>
      <c r="C109" s="7"/>
      <c r="D109" s="7"/>
      <c r="E109" s="32"/>
      <c r="F109" s="32"/>
      <c r="G109" s="7"/>
      <c r="H109" s="7"/>
      <c r="I109" s="7"/>
      <c r="J109" s="14"/>
      <c r="K109" s="14"/>
      <c r="L109" s="14"/>
      <c r="M109" s="14"/>
      <c r="N109" s="32"/>
      <c r="O109" s="32"/>
      <c r="P109" s="7"/>
      <c r="Q109" s="43"/>
      <c r="R109" s="9"/>
      <c r="S109" s="9"/>
      <c r="T109" s="121"/>
      <c r="U109" s="98"/>
    </row>
    <row r="110" spans="1:21">
      <c r="A110" s="7"/>
      <c r="B110" s="7"/>
      <c r="C110" s="7"/>
      <c r="D110" s="7"/>
      <c r="E110" s="32"/>
      <c r="F110" s="32"/>
      <c r="G110" s="7"/>
      <c r="H110" s="7"/>
      <c r="I110" s="7"/>
      <c r="J110" s="14"/>
      <c r="K110" s="14"/>
      <c r="L110" s="14"/>
      <c r="M110" s="14"/>
      <c r="N110" s="32"/>
      <c r="O110" s="32"/>
      <c r="P110" s="7"/>
      <c r="Q110" s="43"/>
      <c r="R110" s="9"/>
      <c r="S110" s="9"/>
      <c r="T110" s="121"/>
      <c r="U110" s="98"/>
    </row>
    <row r="111" spans="1:21">
      <c r="A111" s="7"/>
      <c r="B111" s="7"/>
      <c r="C111" s="7"/>
      <c r="D111" s="7"/>
      <c r="E111" s="32"/>
      <c r="F111" s="32"/>
      <c r="G111" s="7"/>
      <c r="H111" s="7"/>
      <c r="I111" s="7"/>
      <c r="J111" s="14"/>
      <c r="K111" s="14"/>
      <c r="L111" s="14"/>
      <c r="M111" s="14"/>
      <c r="N111" s="32"/>
      <c r="O111" s="32"/>
      <c r="P111" s="7"/>
      <c r="Q111" s="43"/>
      <c r="R111" s="9"/>
      <c r="S111" s="9"/>
      <c r="T111" s="121"/>
      <c r="U111" s="98"/>
    </row>
    <row r="112" spans="1:21">
      <c r="A112" s="7"/>
      <c r="B112" s="7"/>
      <c r="C112" s="7"/>
      <c r="D112" s="7"/>
      <c r="E112" s="32"/>
      <c r="F112" s="32"/>
      <c r="G112" s="7"/>
      <c r="H112" s="7"/>
      <c r="I112" s="7"/>
      <c r="J112" s="14"/>
      <c r="K112" s="14"/>
      <c r="L112" s="14"/>
      <c r="M112" s="14"/>
      <c r="N112" s="32"/>
      <c r="O112" s="32"/>
      <c r="P112" s="7"/>
      <c r="Q112" s="43"/>
      <c r="R112" s="9"/>
      <c r="S112" s="9"/>
      <c r="T112" s="121"/>
      <c r="U112" s="98"/>
    </row>
    <row r="113" spans="1:21">
      <c r="A113" s="7"/>
      <c r="B113" s="7"/>
      <c r="C113" s="7"/>
      <c r="D113" s="7"/>
      <c r="E113" s="32"/>
      <c r="F113" s="32"/>
      <c r="G113" s="7"/>
      <c r="H113" s="7"/>
      <c r="I113" s="7"/>
      <c r="J113" s="14"/>
      <c r="K113" s="14"/>
      <c r="L113" s="14"/>
      <c r="M113" s="14"/>
      <c r="N113" s="32"/>
      <c r="O113" s="32"/>
      <c r="P113" s="7"/>
      <c r="Q113" s="43"/>
      <c r="R113" s="9"/>
      <c r="S113" s="9"/>
      <c r="T113" s="121"/>
      <c r="U113" s="98"/>
    </row>
    <row r="114" spans="1:21">
      <c r="A114" s="7"/>
      <c r="B114" s="7"/>
      <c r="C114" s="7"/>
      <c r="D114" s="7"/>
      <c r="E114" s="32"/>
      <c r="F114" s="32"/>
      <c r="G114" s="7"/>
      <c r="H114" s="7"/>
      <c r="I114" s="7"/>
      <c r="J114" s="14"/>
      <c r="K114" s="14"/>
      <c r="L114" s="14"/>
      <c r="M114" s="14"/>
      <c r="N114" s="32"/>
      <c r="O114" s="32"/>
      <c r="P114" s="7"/>
      <c r="Q114" s="43"/>
      <c r="R114" s="9"/>
      <c r="S114" s="9"/>
      <c r="T114" s="121"/>
      <c r="U114" s="98"/>
    </row>
    <row r="115" spans="1:21">
      <c r="A115" s="7"/>
      <c r="B115" s="7"/>
      <c r="C115" s="7"/>
      <c r="D115" s="7"/>
      <c r="E115" s="32"/>
      <c r="F115" s="32"/>
      <c r="G115" s="7"/>
      <c r="H115" s="7"/>
      <c r="I115" s="7"/>
      <c r="J115" s="14"/>
      <c r="K115" s="14"/>
      <c r="L115" s="14"/>
      <c r="M115" s="14"/>
      <c r="N115" s="32"/>
      <c r="O115" s="32"/>
      <c r="P115" s="7"/>
      <c r="Q115" s="43"/>
      <c r="R115" s="9"/>
      <c r="S115" s="9"/>
      <c r="T115" s="121"/>
      <c r="U115" s="98"/>
    </row>
    <row r="116" spans="1:21">
      <c r="A116" s="7"/>
      <c r="B116" s="7"/>
      <c r="C116" s="7"/>
      <c r="D116" s="7"/>
      <c r="E116" s="32"/>
      <c r="F116" s="32"/>
      <c r="G116" s="7"/>
      <c r="H116" s="7"/>
      <c r="I116" s="7"/>
      <c r="J116" s="14"/>
      <c r="K116" s="14"/>
      <c r="L116" s="14"/>
      <c r="M116" s="14"/>
      <c r="N116" s="32"/>
      <c r="O116" s="32"/>
      <c r="P116" s="7"/>
      <c r="Q116" s="43"/>
      <c r="R116" s="9"/>
      <c r="S116" s="9"/>
      <c r="T116" s="121"/>
      <c r="U116" s="98"/>
    </row>
    <row r="117" spans="1:21">
      <c r="A117" s="7"/>
      <c r="B117" s="7"/>
      <c r="C117" s="7"/>
      <c r="D117" s="7"/>
      <c r="E117" s="32"/>
      <c r="F117" s="32"/>
      <c r="G117" s="7"/>
      <c r="H117" s="7"/>
      <c r="I117" s="7"/>
      <c r="J117" s="14"/>
      <c r="K117" s="14"/>
      <c r="L117" s="14"/>
      <c r="M117" s="14"/>
      <c r="N117" s="32"/>
      <c r="O117" s="32"/>
      <c r="P117" s="7"/>
      <c r="Q117" s="43"/>
      <c r="R117" s="9"/>
      <c r="S117" s="9"/>
      <c r="T117" s="121"/>
      <c r="U117" s="98"/>
    </row>
    <row r="118" spans="1:21">
      <c r="A118" s="7"/>
      <c r="B118" s="7"/>
      <c r="C118" s="7"/>
      <c r="D118" s="7"/>
      <c r="E118" s="32"/>
      <c r="F118" s="32"/>
      <c r="G118" s="7"/>
      <c r="H118" s="7"/>
      <c r="I118" s="7"/>
      <c r="J118" s="14"/>
      <c r="K118" s="14"/>
      <c r="L118" s="14"/>
      <c r="M118" s="14"/>
      <c r="N118" s="32"/>
      <c r="O118" s="32"/>
      <c r="P118" s="7"/>
      <c r="Q118" s="43"/>
      <c r="R118" s="9"/>
      <c r="S118" s="9"/>
      <c r="T118" s="121"/>
      <c r="U118" s="98"/>
    </row>
    <row r="119" spans="1:21">
      <c r="A119" s="7"/>
      <c r="B119" s="7"/>
      <c r="C119" s="7"/>
      <c r="D119" s="7"/>
      <c r="E119" s="32"/>
      <c r="F119" s="32"/>
      <c r="G119" s="7"/>
      <c r="H119" s="7"/>
      <c r="I119" s="7"/>
      <c r="J119" s="14"/>
      <c r="K119" s="14"/>
      <c r="L119" s="14"/>
      <c r="M119" s="14"/>
      <c r="N119" s="32"/>
      <c r="O119" s="32"/>
      <c r="P119" s="7"/>
      <c r="Q119" s="43"/>
      <c r="R119" s="9"/>
      <c r="S119" s="9"/>
      <c r="T119" s="121"/>
      <c r="U119" s="98"/>
    </row>
    <row r="120" spans="1:21">
      <c r="A120" s="7"/>
      <c r="B120" s="7"/>
      <c r="C120" s="7"/>
      <c r="D120" s="7"/>
      <c r="E120" s="32"/>
      <c r="F120" s="32"/>
      <c r="G120" s="7"/>
      <c r="H120" s="7"/>
      <c r="I120" s="7"/>
      <c r="J120" s="14"/>
      <c r="K120" s="14"/>
      <c r="L120" s="14"/>
      <c r="M120" s="14"/>
      <c r="N120" s="32"/>
      <c r="O120" s="32"/>
      <c r="P120" s="7"/>
      <c r="Q120" s="43"/>
      <c r="R120" s="9"/>
      <c r="S120" s="9"/>
      <c r="T120" s="121"/>
      <c r="U120" s="98"/>
    </row>
    <row r="121" spans="1:21">
      <c r="A121" s="7"/>
      <c r="B121" s="7"/>
      <c r="C121" s="7"/>
      <c r="D121" s="7"/>
      <c r="E121" s="32"/>
      <c r="F121" s="32"/>
      <c r="G121" s="7"/>
      <c r="H121" s="7"/>
      <c r="I121" s="7"/>
      <c r="J121" s="14"/>
      <c r="K121" s="14"/>
      <c r="L121" s="14"/>
      <c r="M121" s="14"/>
      <c r="N121" s="32"/>
      <c r="O121" s="32"/>
      <c r="P121" s="7"/>
      <c r="Q121" s="43"/>
      <c r="R121" s="9"/>
      <c r="S121" s="9"/>
      <c r="T121" s="121"/>
      <c r="U121" s="98"/>
    </row>
    <row r="122" spans="1:21">
      <c r="A122" s="7"/>
      <c r="B122" s="7"/>
      <c r="C122" s="7"/>
      <c r="D122" s="7"/>
      <c r="E122" s="32"/>
      <c r="F122" s="32"/>
      <c r="G122" s="7"/>
      <c r="H122" s="7"/>
      <c r="I122" s="7"/>
      <c r="J122" s="14"/>
      <c r="K122" s="14"/>
      <c r="L122" s="14"/>
      <c r="M122" s="14"/>
      <c r="N122" s="32"/>
      <c r="O122" s="32"/>
      <c r="P122" s="7"/>
      <c r="Q122" s="43"/>
      <c r="R122" s="9"/>
      <c r="S122" s="9"/>
      <c r="T122" s="121"/>
      <c r="U122" s="98"/>
    </row>
    <row r="123" spans="1:21">
      <c r="A123" s="7"/>
      <c r="B123" s="7"/>
      <c r="C123" s="7"/>
      <c r="D123" s="7"/>
      <c r="E123" s="32"/>
      <c r="F123" s="32"/>
      <c r="G123" s="7"/>
      <c r="H123" s="7"/>
      <c r="I123" s="7"/>
      <c r="J123" s="14"/>
      <c r="K123" s="14"/>
      <c r="L123" s="14"/>
      <c r="M123" s="14"/>
      <c r="N123" s="32"/>
      <c r="O123" s="32"/>
      <c r="P123" s="7"/>
      <c r="Q123" s="43"/>
      <c r="R123" s="9"/>
      <c r="S123" s="9"/>
      <c r="T123" s="121"/>
      <c r="U123" s="98"/>
    </row>
    <row r="124" spans="1:21">
      <c r="A124" s="7"/>
      <c r="B124" s="7"/>
      <c r="C124" s="7"/>
      <c r="D124" s="7"/>
      <c r="E124" s="32"/>
      <c r="F124" s="32"/>
      <c r="G124" s="7"/>
      <c r="H124" s="7"/>
      <c r="I124" s="7"/>
      <c r="J124" s="14"/>
      <c r="K124" s="14"/>
      <c r="L124" s="14"/>
      <c r="M124" s="14"/>
      <c r="N124" s="32"/>
      <c r="O124" s="32"/>
      <c r="P124" s="7"/>
      <c r="Q124" s="43"/>
      <c r="R124" s="9"/>
      <c r="S124" s="9"/>
      <c r="T124" s="121"/>
      <c r="U124" s="98"/>
    </row>
    <row r="125" spans="1:21">
      <c r="A125" s="7"/>
      <c r="B125" s="7"/>
      <c r="C125" s="7"/>
      <c r="D125" s="7"/>
      <c r="E125" s="32"/>
      <c r="F125" s="32"/>
      <c r="G125" s="7"/>
      <c r="H125" s="7"/>
      <c r="I125" s="7"/>
      <c r="J125" s="14"/>
      <c r="K125" s="14"/>
      <c r="L125" s="14"/>
      <c r="M125" s="14"/>
      <c r="N125" s="32"/>
      <c r="O125" s="32"/>
      <c r="P125" s="7"/>
      <c r="Q125" s="43"/>
      <c r="R125" s="9"/>
      <c r="S125" s="9"/>
      <c r="T125" s="121"/>
      <c r="U125" s="98"/>
    </row>
    <row r="126" spans="1:21">
      <c r="A126" s="7"/>
      <c r="B126" s="7"/>
      <c r="C126" s="7"/>
      <c r="D126" s="7"/>
      <c r="E126" s="32"/>
      <c r="F126" s="32"/>
      <c r="G126" s="7"/>
      <c r="H126" s="7"/>
      <c r="I126" s="7"/>
      <c r="J126" s="14"/>
      <c r="K126" s="14"/>
      <c r="L126" s="14"/>
      <c r="M126" s="14"/>
      <c r="N126" s="32"/>
      <c r="O126" s="32"/>
      <c r="P126" s="7"/>
      <c r="Q126" s="43"/>
      <c r="R126" s="9"/>
      <c r="S126" s="9"/>
      <c r="T126" s="121"/>
      <c r="U126" s="98"/>
    </row>
    <row r="127" spans="1:21">
      <c r="A127" s="7"/>
      <c r="B127" s="7"/>
      <c r="C127" s="7"/>
      <c r="D127" s="7"/>
      <c r="E127" s="32"/>
      <c r="F127" s="32"/>
      <c r="G127" s="7"/>
      <c r="H127" s="7"/>
      <c r="I127" s="7"/>
      <c r="J127" s="14"/>
      <c r="K127" s="14"/>
      <c r="L127" s="14"/>
      <c r="M127" s="14"/>
      <c r="N127" s="32"/>
      <c r="O127" s="32"/>
      <c r="P127" s="7"/>
      <c r="Q127" s="43"/>
      <c r="R127" s="9"/>
      <c r="S127" s="9"/>
      <c r="T127" s="121"/>
      <c r="U127" s="98"/>
    </row>
    <row r="128" spans="1:21">
      <c r="A128" s="7"/>
      <c r="B128" s="7"/>
      <c r="C128" s="7"/>
      <c r="D128" s="7"/>
      <c r="E128" s="32"/>
      <c r="F128" s="32"/>
      <c r="G128" s="7"/>
      <c r="H128" s="7"/>
      <c r="I128" s="7"/>
      <c r="J128" s="14"/>
      <c r="K128" s="14"/>
      <c r="L128" s="14"/>
      <c r="M128" s="14"/>
      <c r="N128" s="32"/>
      <c r="O128" s="32"/>
      <c r="P128" s="7"/>
      <c r="Q128" s="43"/>
      <c r="R128" s="9"/>
      <c r="S128" s="9"/>
      <c r="T128" s="121"/>
      <c r="U128" s="98"/>
    </row>
    <row r="129" spans="1:21">
      <c r="A129" s="7"/>
      <c r="B129" s="7"/>
      <c r="C129" s="7"/>
      <c r="D129" s="7"/>
      <c r="E129" s="32"/>
      <c r="F129" s="32"/>
      <c r="G129" s="7"/>
      <c r="H129" s="7"/>
      <c r="I129" s="7"/>
      <c r="J129" s="14"/>
      <c r="K129" s="14"/>
      <c r="L129" s="14"/>
      <c r="M129" s="14"/>
      <c r="N129" s="32"/>
      <c r="O129" s="32"/>
      <c r="P129" s="7"/>
      <c r="Q129" s="43"/>
      <c r="R129" s="9"/>
      <c r="S129" s="9"/>
      <c r="T129" s="121"/>
      <c r="U129" s="98"/>
    </row>
    <row r="130" spans="1:21">
      <c r="A130" s="7"/>
      <c r="B130" s="7"/>
      <c r="C130" s="7"/>
      <c r="D130" s="7"/>
      <c r="E130" s="32"/>
      <c r="F130" s="32"/>
      <c r="G130" s="7"/>
      <c r="H130" s="7"/>
      <c r="I130" s="7"/>
      <c r="J130" s="14"/>
      <c r="K130" s="14"/>
      <c r="L130" s="14"/>
      <c r="M130" s="14"/>
      <c r="N130" s="32"/>
      <c r="O130" s="32"/>
      <c r="P130" s="7"/>
      <c r="Q130" s="43"/>
      <c r="R130" s="9"/>
      <c r="S130" s="9"/>
      <c r="T130" s="121"/>
      <c r="U130" s="98"/>
    </row>
    <row r="131" spans="1:21">
      <c r="A131" s="7"/>
      <c r="B131" s="7"/>
      <c r="C131" s="7"/>
      <c r="D131" s="7"/>
      <c r="E131" s="32"/>
      <c r="F131" s="32"/>
      <c r="G131" s="7"/>
      <c r="H131" s="7"/>
      <c r="I131" s="7"/>
      <c r="J131" s="14"/>
      <c r="K131" s="14"/>
      <c r="L131" s="14"/>
      <c r="M131" s="14"/>
      <c r="N131" s="32"/>
      <c r="O131" s="32"/>
      <c r="P131" s="7"/>
      <c r="Q131" s="43"/>
      <c r="R131" s="9"/>
      <c r="S131" s="9"/>
      <c r="T131" s="121"/>
      <c r="U131" s="98"/>
    </row>
    <row r="132" spans="1:21">
      <c r="A132" s="7"/>
      <c r="B132" s="7"/>
      <c r="C132" s="7"/>
      <c r="D132" s="7"/>
      <c r="E132" s="32"/>
      <c r="F132" s="32"/>
      <c r="G132" s="7"/>
      <c r="H132" s="7"/>
      <c r="I132" s="7"/>
      <c r="J132" s="14"/>
      <c r="K132" s="14"/>
      <c r="L132" s="14"/>
      <c r="M132" s="14"/>
      <c r="N132" s="32"/>
      <c r="O132" s="32"/>
      <c r="P132" s="7"/>
      <c r="Q132" s="43"/>
      <c r="R132" s="9"/>
      <c r="S132" s="9"/>
      <c r="T132" s="121"/>
      <c r="U132" s="98"/>
    </row>
    <row r="133" spans="1:21">
      <c r="A133" s="7"/>
      <c r="B133" s="7"/>
      <c r="C133" s="7"/>
      <c r="D133" s="7"/>
      <c r="E133" s="32"/>
      <c r="F133" s="32"/>
      <c r="G133" s="7"/>
      <c r="H133" s="7"/>
      <c r="I133" s="7"/>
      <c r="J133" s="14"/>
      <c r="K133" s="14"/>
      <c r="L133" s="14"/>
      <c r="M133" s="14"/>
      <c r="N133" s="32"/>
      <c r="O133" s="32"/>
      <c r="P133" s="7"/>
      <c r="Q133" s="43"/>
      <c r="R133" s="9"/>
      <c r="S133" s="9"/>
      <c r="T133" s="121"/>
      <c r="U133" s="98"/>
    </row>
  </sheetData>
  <autoFilter ref="A1:U133" xr:uid="{7CCDD16A-D981-4FFB-81EB-89771338AF39}"/>
  <dataValidations count="6">
    <dataValidation allowBlank="1" showInputMessage="1" showErrorMessage="1" sqref="D1:D14 N18:N19 D20:D21 D16:D17 D23:D1048576 S1:S1048576" xr:uid="{543D3AC2-B60D-458B-8098-F7657E5EE9AD}"/>
    <dataValidation type="list" allowBlank="1" showInputMessage="1" showErrorMessage="1" sqref="P2:P17 P20:P1048576" xr:uid="{6A7A2C7A-6498-4113-B805-A9CC5371C16A}">
      <formula1>"Fixed, In Progress, Need Discussion"</formula1>
    </dataValidation>
    <dataValidation type="list" allowBlank="1" showInputMessage="1" showErrorMessage="1" sqref="C2:C14 C16:C1048576" xr:uid="{49B5483B-6FF4-4126-B54A-0C2C8C1208F0}">
      <formula1>"P0, P1, P2, P3"</formula1>
    </dataValidation>
    <dataValidation type="list" allowBlank="1" showInputMessage="1" showErrorMessage="1" sqref="R2:R1048576" xr:uid="{9AC50A9E-FB9E-4FD6-9FD5-6DDA8A6A90AF}">
      <formula1>"Open, Hold, Resolved, Reopened, Need Discussion"</formula1>
    </dataValidation>
    <dataValidation type="list" allowBlank="1" showInputMessage="1" showErrorMessage="1" sqref="F2:F1048576" xr:uid="{64E9616E-937D-4757-9709-28714E43DD4C}">
      <formula1>"PVT, UAT, HTML/CSS"</formula1>
    </dataValidation>
    <dataValidation type="list" allowBlank="1" showInputMessage="1" showErrorMessage="1" sqref="U2:U1048576" xr:uid="{04450CD9-149F-49D1-AF6C-7F52163565E8}">
      <formula1>"Fixed, Pending, Reopen"</formula1>
    </dataValidation>
  </dataValidations>
  <hyperlinks>
    <hyperlink ref="M2" r:id="rId1" xr:uid="{4397DD9C-359C-4A7B-8797-306F1A050457}"/>
    <hyperlink ref="L2" r:id="rId2" xr:uid="{451EF827-C227-404D-BAD8-B7513560000B}"/>
    <hyperlink ref="L3" r:id="rId3" xr:uid="{F16A0FBA-45EB-45FC-8C48-93EE342A6953}"/>
    <hyperlink ref="L4" r:id="rId4" xr:uid="{C1CCFE8E-C8CB-47A8-86C6-C2E7AD0806F4}"/>
    <hyperlink ref="M4" r:id="rId5" xr:uid="{FB6BDF50-6975-419B-8F41-A290B2A5C42B}"/>
    <hyperlink ref="L12" r:id="rId6" xr:uid="{37DCF480-9A44-4E83-AAE0-3AB4B30E3CE5}"/>
    <hyperlink ref="M12" r:id="rId7" xr:uid="{9857CC90-C705-4805-8C81-3E264230781F}"/>
    <hyperlink ref="L13" r:id="rId8" xr:uid="{3B93B185-AD6C-480E-917C-B7675A85BC55}"/>
    <hyperlink ref="M13" r:id="rId9" xr:uid="{56D8268C-C368-4E28-809E-5797574186CA}"/>
    <hyperlink ref="L14" r:id="rId10" xr:uid="{CCAE3797-3C4E-41EA-A43D-7C35C05FA3BD}"/>
    <hyperlink ref="M15" r:id="rId11" xr:uid="{AFEA873E-BE96-4CB9-A42A-023646F239A5}"/>
    <hyperlink ref="L15" r:id="rId12" xr:uid="{81FC4348-FE01-4AB9-9C05-7935DF71D9D2}"/>
    <hyperlink ref="L16" r:id="rId13" xr:uid="{28C9CCA0-61C1-468A-9FE1-BAADF88E41A1}"/>
    <hyperlink ref="L17" r:id="rId14" xr:uid="{A42DCB05-22D5-4017-B0EA-1D9E53855920}"/>
    <hyperlink ref="L19" r:id="rId15" xr:uid="{9E751CDC-56D9-44C6-A590-1DF2E4E09520}"/>
    <hyperlink ref="L18" r:id="rId16" xr:uid="{C3164D46-5F90-421F-9F07-7BC1DFB877C5}"/>
    <hyperlink ref="L20" r:id="rId17" xr:uid="{C980A23C-9C1C-41E8-B4E0-62E67CA6FFB4}"/>
    <hyperlink ref="M20" r:id="rId18" xr:uid="{3681E76F-4C16-43F5-AFDA-388EB3E39D26}"/>
    <hyperlink ref="L21" r:id="rId19" xr:uid="{73229408-FF38-40AA-879B-C1A997AD4B3F}"/>
    <hyperlink ref="L22" r:id="rId20" xr:uid="{18D8C4E7-DF0E-4FE5-B7BD-B91924518250}"/>
    <hyperlink ref="L23" r:id="rId21" xr:uid="{14DF16EC-165A-4B1E-BDFE-1864EAA7B618}"/>
    <hyperlink ref="M23" r:id="rId22" xr:uid="{F98DCA76-B5A6-4289-805F-AC8BBCD1DD42}"/>
    <hyperlink ref="L24" r:id="rId23" xr:uid="{F4C7D797-253B-435E-860B-5F39250E111B}"/>
    <hyperlink ref="L26" r:id="rId24" xr:uid="{BA84D490-BB71-44C6-B184-C14542C628C9}"/>
    <hyperlink ref="M26" r:id="rId25" xr:uid="{6BF2BC8B-3F8E-4749-ACFD-0A7814C0D0E2}"/>
    <hyperlink ref="H27" r:id="rId26" xr:uid="{0DEE96F1-AFE3-491C-8617-F4779AF157B0}"/>
    <hyperlink ref="L27" r:id="rId27" xr:uid="{63610716-F48E-46F8-9C25-CA48C822F045}"/>
    <hyperlink ref="L28" r:id="rId28" xr:uid="{C873C50B-F481-465D-ABED-76BBC18907CA}"/>
    <hyperlink ref="H29" r:id="rId29" xr:uid="{46E157EE-536F-450A-9BCF-D3EB6233D900}"/>
    <hyperlink ref="L30" r:id="rId30" xr:uid="{ED627BF0-AA4E-4391-8853-4BE88AF9916C}"/>
    <hyperlink ref="H30" r:id="rId31" xr:uid="{AD0ECB21-6983-49EC-B87B-C2D6923CDCE7}"/>
    <hyperlink ref="L31" r:id="rId32" xr:uid="{F6CF97AB-0F5E-445E-9378-39FB35F683C4}"/>
    <hyperlink ref="H31" r:id="rId33" xr:uid="{4B910A63-9F55-4B5E-9A8E-6E62486F3BFA}"/>
    <hyperlink ref="L29" r:id="rId34" xr:uid="{9B2B64A7-FEA2-4FBF-BDB8-818E857693FA}"/>
    <hyperlink ref="L32" r:id="rId35" xr:uid="{E46E28E3-3F2D-4E9A-AE02-77805FE4FF09}"/>
    <hyperlink ref="H32" r:id="rId36" xr:uid="{390D8BFE-EDE0-4D5C-AE79-7262BB417A37}"/>
    <hyperlink ref="H33" r:id="rId37" xr:uid="{9DED00C2-1606-4479-9F3D-79EA25FB7019}"/>
    <hyperlink ref="H34" r:id="rId38" xr:uid="{B7FEB36D-32CB-4157-AFAA-983E9ECC5FAC}"/>
    <hyperlink ref="L34" r:id="rId39" xr:uid="{4CDE15A7-4872-47C7-81E2-A0E6E34C3D17}"/>
    <hyperlink ref="L33" r:id="rId40" xr:uid="{2CE59931-DAD6-4352-ABC5-344CC1999276}"/>
    <hyperlink ref="L35" r:id="rId41" xr:uid="{8E4FA413-0DD2-4ECF-A924-6D0CE83E4466}"/>
    <hyperlink ref="L36" r:id="rId42" xr:uid="{8793C634-C379-4C72-8A67-904EB94AB77F}"/>
    <hyperlink ref="L37" r:id="rId43" xr:uid="{86F3412B-87C5-4A52-8DD5-3ADCC69ACF9A}"/>
    <hyperlink ref="L38" r:id="rId44" xr:uid="{19BF72CE-3732-4F11-898B-8BDF1639B4D4}"/>
    <hyperlink ref="L39" r:id="rId45" xr:uid="{FC1F4693-9050-4615-8361-0E95B8C67BC0}"/>
    <hyperlink ref="L40" r:id="rId46" xr:uid="{0D97A662-8482-4061-872B-30AFF49197F7}"/>
    <hyperlink ref="L41" r:id="rId47" xr:uid="{2CBF2C5F-BD7D-401A-8C08-CB66DE82F774}"/>
    <hyperlink ref="H41" r:id="rId48" xr:uid="{0EB6E6B1-A106-46A6-9DF5-CFCE30BB864F}"/>
    <hyperlink ref="L42" r:id="rId49" xr:uid="{67FD7438-2D97-48DD-927B-A85F70DD3628}"/>
    <hyperlink ref="L43" r:id="rId50" xr:uid="{8420095D-13D4-4BC1-8FEC-0BAE9B83276E}"/>
    <hyperlink ref="L44" r:id="rId51" xr:uid="{0250A2B2-E481-49CB-BBC9-B09522C9BE42}"/>
    <hyperlink ref="L45" r:id="rId52" xr:uid="{F7F569DD-3217-4176-B81C-C79BF67419CB}"/>
    <hyperlink ref="L46" r:id="rId53" xr:uid="{D5DAC3FA-80CA-4D03-9C00-CA3768E69A92}"/>
    <hyperlink ref="L47" r:id="rId54" xr:uid="{B2A43F01-C71E-4144-A2FC-177A4CA68120}"/>
    <hyperlink ref="L48" r:id="rId55" xr:uid="{42E0D559-7CE4-411B-8581-2D8D48129CC6}"/>
    <hyperlink ref="L49" r:id="rId56" xr:uid="{7DE2FD47-8895-438F-8352-2810B3AA5262}"/>
    <hyperlink ref="L50" r:id="rId57" xr:uid="{51FC5513-9FB8-4F9F-A695-84CAE89ED0A9}"/>
    <hyperlink ref="L51" r:id="rId58" xr:uid="{6BAD2CDC-C34B-4B68-8DD6-C22090DDD0E6}"/>
    <hyperlink ref="L52" r:id="rId59" xr:uid="{11910E1B-C69E-4AC5-82C9-27D1930FEAF0}"/>
    <hyperlink ref="L53" r:id="rId60" xr:uid="{A99ECFDD-EAF5-48A8-A92C-FA23F7EDFD57}"/>
    <hyperlink ref="L54" r:id="rId61" xr:uid="{EFF441A6-907B-4760-BEB6-FE228A6C7314}"/>
    <hyperlink ref="L55" r:id="rId62" xr:uid="{0EEE2E06-B086-493B-81F1-F4B59C3D6546}"/>
    <hyperlink ref="L56" r:id="rId63" xr:uid="{1750BCBA-D903-4540-BE97-64CB2FBA26F8}"/>
    <hyperlink ref="L57" r:id="rId64" xr:uid="{926F5990-135E-410C-A4F8-8E5A016FB992}"/>
    <hyperlink ref="L58" r:id="rId65" xr:uid="{B55FAB8E-AA6C-401D-99FA-3511A0EB3B94}"/>
    <hyperlink ref="L59" r:id="rId66" xr:uid="{F2905C56-F73C-48D4-8F45-37657D0011C8}"/>
    <hyperlink ref="L60" r:id="rId67" xr:uid="{887C1A9E-620D-4490-89C7-2B1251F5D253}"/>
    <hyperlink ref="L61" r:id="rId68" xr:uid="{51B6BBD6-E88F-4C95-BB95-74FB464B61E1}"/>
    <hyperlink ref="L62" r:id="rId69" xr:uid="{4D961FDB-5DA3-472A-846C-E0AF0B61DF6C}"/>
    <hyperlink ref="L63" r:id="rId70" xr:uid="{98D64052-8BB3-4E4D-9586-2EE49AB5594C}"/>
    <hyperlink ref="L64" r:id="rId71" xr:uid="{902E5273-4ACC-4A5E-AFF2-D89947E2A170}"/>
    <hyperlink ref="M64" r:id="rId72" xr:uid="{C72CB6E7-E68C-4B94-AE26-F9100958D554}"/>
    <hyperlink ref="L66" r:id="rId73" xr:uid="{05F02CDE-6E1B-4129-9B09-C1EFF0E18E8F}"/>
    <hyperlink ref="L67" r:id="rId74" xr:uid="{0B3C8A4D-35F6-47CA-87EF-C13A4F9F5434}"/>
  </hyperlinks>
  <pageMargins left="0.7" right="0.7" top="0.75" bottom="0.75" header="0.3" footer="0.3"/>
  <headerFooter>
    <oddFooter>&amp;C_x000D_&amp;1#&amp;"Aptos"&amp;12&amp;K000000 SBI Card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6DD4-3CCC-49DE-B7EE-7BFE3ADD869D}">
  <dimension ref="A1:U400"/>
  <sheetViews>
    <sheetView topLeftCell="K1" workbookViewId="0">
      <pane ySplit="1" topLeftCell="P189" activePane="bottomLeft" state="frozen"/>
      <selection pane="bottomLeft" activeCell="A339" sqref="A339"/>
    </sheetView>
  </sheetViews>
  <sheetFormatPr defaultColWidth="9.140625" defaultRowHeight="15"/>
  <cols>
    <col min="1" max="1" width="11.42578125" style="8" customWidth="1"/>
    <col min="2" max="2" width="15.85546875" style="8" customWidth="1"/>
    <col min="3" max="3" width="12.5703125" style="8" customWidth="1"/>
    <col min="4" max="4" width="21.5703125" style="8" customWidth="1"/>
    <col min="5" max="5" width="25.85546875" style="40" customWidth="1"/>
    <col min="6" max="6" width="19" style="40" customWidth="1"/>
    <col min="7" max="7" width="18" style="8" customWidth="1"/>
    <col min="8" max="8" width="39" style="15" customWidth="1"/>
    <col min="9" max="9" width="44" style="15" customWidth="1"/>
    <col min="10" max="10" width="73.7109375" style="15" customWidth="1"/>
    <col min="11" max="12" width="39.7109375" style="15" customWidth="1"/>
    <col min="13" max="13" width="14.42578125" style="8" customWidth="1"/>
    <col min="14" max="15" width="16" style="40" customWidth="1"/>
    <col min="16" max="16" width="18.42578125" style="8" customWidth="1"/>
    <col min="17" max="17" width="46.5703125" style="15" customWidth="1"/>
    <col min="18" max="19" width="15.85546875" style="8" customWidth="1"/>
    <col min="20" max="20" width="50.28515625" style="5" customWidth="1"/>
    <col min="21" max="21" width="17.28515625" style="129" customWidth="1"/>
  </cols>
  <sheetData>
    <row r="1" spans="1:21" ht="24.75" customHeight="1">
      <c r="A1" s="2" t="s">
        <v>889</v>
      </c>
      <c r="B1" s="2" t="s">
        <v>890</v>
      </c>
      <c r="C1" s="2" t="s">
        <v>739</v>
      </c>
      <c r="D1" s="2" t="s">
        <v>891</v>
      </c>
      <c r="E1" s="2" t="s">
        <v>740</v>
      </c>
      <c r="F1" s="2" t="s">
        <v>892</v>
      </c>
      <c r="G1" s="2" t="s">
        <v>893</v>
      </c>
      <c r="H1" s="2" t="s">
        <v>2937</v>
      </c>
      <c r="I1" s="2" t="s">
        <v>894</v>
      </c>
      <c r="J1" s="126" t="s">
        <v>895</v>
      </c>
      <c r="K1" s="126" t="s">
        <v>896</v>
      </c>
      <c r="L1" s="126" t="s">
        <v>897</v>
      </c>
      <c r="M1" s="2" t="s">
        <v>460</v>
      </c>
      <c r="N1" s="126" t="s">
        <v>898</v>
      </c>
      <c r="O1" s="127" t="s">
        <v>744</v>
      </c>
      <c r="P1" s="2" t="s">
        <v>899</v>
      </c>
      <c r="Q1" s="34" t="s">
        <v>900</v>
      </c>
      <c r="R1" s="2" t="s">
        <v>901</v>
      </c>
      <c r="S1" s="2" t="s">
        <v>902</v>
      </c>
      <c r="T1" s="2" t="s">
        <v>276</v>
      </c>
      <c r="U1" s="123" t="s">
        <v>1520</v>
      </c>
    </row>
    <row r="2" spans="1:21">
      <c r="A2" s="7" t="s">
        <v>2938</v>
      </c>
      <c r="B2" s="7" t="s">
        <v>1126</v>
      </c>
      <c r="C2" s="7" t="s">
        <v>769</v>
      </c>
      <c r="D2" s="7" t="s">
        <v>906</v>
      </c>
      <c r="E2" s="32" t="s">
        <v>828</v>
      </c>
      <c r="F2" s="32" t="s">
        <v>12</v>
      </c>
      <c r="G2" s="7" t="s">
        <v>2302</v>
      </c>
      <c r="H2" s="14" t="s">
        <v>2939</v>
      </c>
      <c r="I2" s="14" t="s">
        <v>2940</v>
      </c>
      <c r="J2" s="14" t="s">
        <v>2941</v>
      </c>
      <c r="K2" s="28" t="s">
        <v>2942</v>
      </c>
      <c r="L2" s="28" t="s">
        <v>39</v>
      </c>
      <c r="M2" s="7" t="s">
        <v>39</v>
      </c>
      <c r="N2" s="32" t="s">
        <v>912</v>
      </c>
      <c r="O2" s="32"/>
      <c r="P2" s="7"/>
      <c r="Q2" s="14"/>
      <c r="R2" s="7" t="s">
        <v>3</v>
      </c>
      <c r="S2" s="7" t="s">
        <v>2943</v>
      </c>
      <c r="T2" s="4" t="s">
        <v>2944</v>
      </c>
      <c r="U2" s="178"/>
    </row>
    <row r="3" spans="1:21">
      <c r="A3" s="7" t="s">
        <v>2945</v>
      </c>
      <c r="B3" s="7" t="s">
        <v>1126</v>
      </c>
      <c r="C3" s="7" t="s">
        <v>769</v>
      </c>
      <c r="D3" s="7" t="s">
        <v>906</v>
      </c>
      <c r="E3" s="32" t="s">
        <v>2946</v>
      </c>
      <c r="F3" s="32" t="s">
        <v>12</v>
      </c>
      <c r="G3" s="7" t="s">
        <v>1004</v>
      </c>
      <c r="H3" s="14" t="s">
        <v>2947</v>
      </c>
      <c r="I3" s="14" t="s">
        <v>2948</v>
      </c>
      <c r="J3" s="14" t="s">
        <v>2949</v>
      </c>
      <c r="K3" s="28" t="s">
        <v>2950</v>
      </c>
      <c r="L3" s="14" t="s">
        <v>39</v>
      </c>
      <c r="M3" s="7" t="s">
        <v>39</v>
      </c>
      <c r="N3" s="32" t="s">
        <v>912</v>
      </c>
      <c r="O3" s="32"/>
      <c r="P3" s="7"/>
      <c r="Q3" s="14"/>
      <c r="R3" s="7" t="s">
        <v>3</v>
      </c>
      <c r="S3" s="47" t="s">
        <v>2943</v>
      </c>
      <c r="T3" s="4" t="s">
        <v>2951</v>
      </c>
      <c r="U3" s="178"/>
    </row>
    <row r="4" spans="1:21">
      <c r="A4" s="7" t="s">
        <v>2952</v>
      </c>
      <c r="B4" s="7" t="s">
        <v>1126</v>
      </c>
      <c r="C4" s="7" t="s">
        <v>769</v>
      </c>
      <c r="D4" s="7" t="s">
        <v>906</v>
      </c>
      <c r="E4" s="32" t="s">
        <v>828</v>
      </c>
      <c r="F4" s="32" t="s">
        <v>12</v>
      </c>
      <c r="G4" s="7" t="s">
        <v>907</v>
      </c>
      <c r="H4" s="28" t="s">
        <v>539</v>
      </c>
      <c r="I4" s="14" t="s">
        <v>2953</v>
      </c>
      <c r="J4" s="14" t="s">
        <v>2954</v>
      </c>
      <c r="K4" s="28" t="s">
        <v>2955</v>
      </c>
      <c r="L4" s="28" t="s">
        <v>39</v>
      </c>
      <c r="M4" s="7" t="s">
        <v>39</v>
      </c>
      <c r="N4" s="32" t="s">
        <v>912</v>
      </c>
      <c r="O4" s="32"/>
      <c r="P4" s="7"/>
      <c r="Q4" s="14"/>
      <c r="R4" s="7" t="s">
        <v>3</v>
      </c>
      <c r="S4" s="47" t="s">
        <v>2943</v>
      </c>
      <c r="T4" s="4"/>
      <c r="U4" s="178"/>
    </row>
    <row r="5" spans="1:21">
      <c r="A5" s="7" t="s">
        <v>2956</v>
      </c>
      <c r="B5" s="7" t="s">
        <v>1126</v>
      </c>
      <c r="C5" s="7" t="s">
        <v>769</v>
      </c>
      <c r="D5" s="7" t="s">
        <v>906</v>
      </c>
      <c r="E5" s="32" t="s">
        <v>828</v>
      </c>
      <c r="F5" s="32" t="s">
        <v>12</v>
      </c>
      <c r="G5" s="7" t="s">
        <v>2302</v>
      </c>
      <c r="H5" s="14" t="s">
        <v>2957</v>
      </c>
      <c r="I5" s="14" t="s">
        <v>2958</v>
      </c>
      <c r="J5" s="14" t="s">
        <v>2959</v>
      </c>
      <c r="K5" s="28" t="s">
        <v>2960</v>
      </c>
      <c r="L5" s="14" t="s">
        <v>39</v>
      </c>
      <c r="M5" s="7" t="s">
        <v>39</v>
      </c>
      <c r="N5" s="32" t="s">
        <v>912</v>
      </c>
      <c r="O5" s="32"/>
      <c r="P5" s="7"/>
      <c r="Q5" s="14"/>
      <c r="R5" s="7" t="s">
        <v>3</v>
      </c>
      <c r="S5" s="47" t="s">
        <v>2943</v>
      </c>
      <c r="T5" s="4" t="s">
        <v>2961</v>
      </c>
      <c r="U5" s="178"/>
    </row>
    <row r="6" spans="1:21">
      <c r="A6" s="7" t="s">
        <v>2962</v>
      </c>
      <c r="B6" s="7" t="s">
        <v>1126</v>
      </c>
      <c r="C6" s="7" t="s">
        <v>769</v>
      </c>
      <c r="D6" s="7" t="s">
        <v>906</v>
      </c>
      <c r="E6" s="32" t="s">
        <v>828</v>
      </c>
      <c r="F6" s="32" t="s">
        <v>12</v>
      </c>
      <c r="G6" s="7" t="s">
        <v>2302</v>
      </c>
      <c r="H6" s="14" t="s">
        <v>2963</v>
      </c>
      <c r="I6" s="14" t="s">
        <v>2964</v>
      </c>
      <c r="J6" s="14" t="s">
        <v>2965</v>
      </c>
      <c r="K6" s="28" t="s">
        <v>2966</v>
      </c>
      <c r="L6" s="14" t="s">
        <v>39</v>
      </c>
      <c r="M6" s="7" t="s">
        <v>39</v>
      </c>
      <c r="N6" s="32" t="s">
        <v>912</v>
      </c>
      <c r="O6" s="32"/>
      <c r="P6" s="7"/>
      <c r="Q6" s="14"/>
      <c r="R6" s="7" t="s">
        <v>3</v>
      </c>
      <c r="S6" s="47" t="s">
        <v>2943</v>
      </c>
      <c r="T6" s="4" t="s">
        <v>2961</v>
      </c>
      <c r="U6" s="178"/>
    </row>
    <row r="7" spans="1:21">
      <c r="A7" s="7" t="s">
        <v>2967</v>
      </c>
      <c r="B7" s="7" t="s">
        <v>1126</v>
      </c>
      <c r="C7" s="7" t="s">
        <v>769</v>
      </c>
      <c r="D7" s="7" t="s">
        <v>906</v>
      </c>
      <c r="E7" s="32" t="s">
        <v>828</v>
      </c>
      <c r="F7" s="32" t="s">
        <v>12</v>
      </c>
      <c r="G7" s="7" t="s">
        <v>1085</v>
      </c>
      <c r="H7" s="14" t="s">
        <v>2968</v>
      </c>
      <c r="I7" s="14" t="s">
        <v>2969</v>
      </c>
      <c r="J7" s="14" t="s">
        <v>2970</v>
      </c>
      <c r="K7" s="28" t="s">
        <v>2971</v>
      </c>
      <c r="L7" s="14" t="s">
        <v>39</v>
      </c>
      <c r="M7" s="7" t="s">
        <v>39</v>
      </c>
      <c r="N7" s="32" t="s">
        <v>912</v>
      </c>
      <c r="O7" s="32"/>
      <c r="P7" s="7"/>
      <c r="Q7" s="14"/>
      <c r="R7" s="7" t="s">
        <v>3</v>
      </c>
      <c r="S7" s="47" t="s">
        <v>1796</v>
      </c>
      <c r="T7" s="4" t="s">
        <v>2972</v>
      </c>
      <c r="U7" s="178"/>
    </row>
    <row r="8" spans="1:21">
      <c r="A8" s="7" t="s">
        <v>2973</v>
      </c>
      <c r="B8" s="7" t="s">
        <v>1126</v>
      </c>
      <c r="C8" s="7" t="s">
        <v>769</v>
      </c>
      <c r="D8" s="7" t="s">
        <v>906</v>
      </c>
      <c r="E8" s="32" t="s">
        <v>828</v>
      </c>
      <c r="F8" s="32" t="s">
        <v>12</v>
      </c>
      <c r="G8" s="7" t="s">
        <v>2302</v>
      </c>
      <c r="H8" s="28" t="s">
        <v>58</v>
      </c>
      <c r="I8" s="14" t="s">
        <v>2974</v>
      </c>
      <c r="J8" s="14" t="s">
        <v>2975</v>
      </c>
      <c r="K8" s="28" t="s">
        <v>2976</v>
      </c>
      <c r="L8" s="28" t="s">
        <v>2977</v>
      </c>
      <c r="M8" s="7" t="s">
        <v>39</v>
      </c>
      <c r="N8" s="32" t="s">
        <v>912</v>
      </c>
      <c r="O8" s="32"/>
      <c r="P8" s="7"/>
      <c r="Q8" s="14"/>
      <c r="R8" s="7" t="s">
        <v>3</v>
      </c>
      <c r="S8" s="47" t="s">
        <v>1154</v>
      </c>
      <c r="T8" s="4"/>
      <c r="U8" s="178"/>
    </row>
    <row r="9" spans="1:21">
      <c r="A9" s="7" t="s">
        <v>2978</v>
      </c>
      <c r="B9" s="7" t="s">
        <v>1126</v>
      </c>
      <c r="C9" s="7" t="s">
        <v>769</v>
      </c>
      <c r="D9" s="7" t="s">
        <v>906</v>
      </c>
      <c r="E9" s="32" t="s">
        <v>828</v>
      </c>
      <c r="F9" s="32" t="s">
        <v>12</v>
      </c>
      <c r="G9" s="7" t="s">
        <v>2302</v>
      </c>
      <c r="H9" s="28" t="s">
        <v>58</v>
      </c>
      <c r="I9" s="14" t="s">
        <v>2979</v>
      </c>
      <c r="J9" s="14" t="s">
        <v>2980</v>
      </c>
      <c r="K9" s="28" t="s">
        <v>2981</v>
      </c>
      <c r="L9" s="28" t="s">
        <v>2982</v>
      </c>
      <c r="M9" s="7" t="s">
        <v>39</v>
      </c>
      <c r="N9" s="32" t="s">
        <v>912</v>
      </c>
      <c r="O9" s="32"/>
      <c r="P9" s="7"/>
      <c r="Q9" s="14"/>
      <c r="R9" s="7" t="s">
        <v>3</v>
      </c>
      <c r="S9" s="47" t="s">
        <v>1154</v>
      </c>
      <c r="T9" s="4"/>
      <c r="U9" s="178"/>
    </row>
    <row r="10" spans="1:21">
      <c r="A10" s="7" t="s">
        <v>2983</v>
      </c>
      <c r="B10" s="7" t="s">
        <v>1126</v>
      </c>
      <c r="C10" s="7" t="s">
        <v>769</v>
      </c>
      <c r="D10" s="7" t="s">
        <v>906</v>
      </c>
      <c r="E10" s="32" t="s">
        <v>828</v>
      </c>
      <c r="F10" s="32" t="s">
        <v>12</v>
      </c>
      <c r="G10" s="7" t="s">
        <v>2302</v>
      </c>
      <c r="H10" s="28" t="s">
        <v>58</v>
      </c>
      <c r="I10" s="14" t="s">
        <v>2984</v>
      </c>
      <c r="J10" s="14" t="s">
        <v>2980</v>
      </c>
      <c r="K10" s="28" t="s">
        <v>2985</v>
      </c>
      <c r="L10" s="28" t="s">
        <v>2986</v>
      </c>
      <c r="M10" s="7" t="s">
        <v>39</v>
      </c>
      <c r="N10" s="32" t="s">
        <v>912</v>
      </c>
      <c r="O10" s="32"/>
      <c r="P10" s="7"/>
      <c r="Q10" s="14"/>
      <c r="R10" s="7" t="s">
        <v>3</v>
      </c>
      <c r="S10" s="47" t="s">
        <v>1154</v>
      </c>
      <c r="T10" s="4"/>
      <c r="U10" s="178"/>
    </row>
    <row r="11" spans="1:21">
      <c r="A11" s="7" t="s">
        <v>2987</v>
      </c>
      <c r="B11" s="7" t="s">
        <v>1126</v>
      </c>
      <c r="C11" s="7" t="s">
        <v>769</v>
      </c>
      <c r="D11" s="7" t="s">
        <v>906</v>
      </c>
      <c r="E11" s="32" t="s">
        <v>828</v>
      </c>
      <c r="F11" s="32" t="s">
        <v>12</v>
      </c>
      <c r="G11" s="7" t="s">
        <v>2302</v>
      </c>
      <c r="H11" s="28" t="s">
        <v>58</v>
      </c>
      <c r="I11" s="14" t="s">
        <v>2988</v>
      </c>
      <c r="J11" s="14" t="s">
        <v>2980</v>
      </c>
      <c r="K11" s="28" t="s">
        <v>2989</v>
      </c>
      <c r="L11" s="28" t="s">
        <v>2990</v>
      </c>
      <c r="M11" s="7" t="s">
        <v>39</v>
      </c>
      <c r="N11" s="32" t="s">
        <v>912</v>
      </c>
      <c r="O11" s="32"/>
      <c r="P11" s="45"/>
      <c r="Q11" s="14"/>
      <c r="R11" s="7" t="s">
        <v>3</v>
      </c>
      <c r="S11" s="7" t="s">
        <v>1154</v>
      </c>
      <c r="T11" s="4"/>
      <c r="U11" s="178"/>
    </row>
    <row r="12" spans="1:21" s="27" customFormat="1">
      <c r="A12" s="7" t="s">
        <v>2991</v>
      </c>
      <c r="B12" s="7" t="s">
        <v>1126</v>
      </c>
      <c r="C12" s="7" t="s">
        <v>769</v>
      </c>
      <c r="D12" s="7" t="s">
        <v>906</v>
      </c>
      <c r="E12" s="32" t="s">
        <v>828</v>
      </c>
      <c r="F12" s="32" t="s">
        <v>12</v>
      </c>
      <c r="G12" s="7" t="s">
        <v>2302</v>
      </c>
      <c r="H12" s="28" t="s">
        <v>50</v>
      </c>
      <c r="I12" s="14" t="s">
        <v>2992</v>
      </c>
      <c r="J12" s="14" t="s">
        <v>2993</v>
      </c>
      <c r="K12" s="28" t="s">
        <v>2994</v>
      </c>
      <c r="L12" s="28" t="s">
        <v>2995</v>
      </c>
      <c r="M12" s="7" t="s">
        <v>39</v>
      </c>
      <c r="N12" s="32" t="s">
        <v>912</v>
      </c>
      <c r="O12" s="32" t="s">
        <v>1009</v>
      </c>
      <c r="P12" s="7" t="s">
        <v>2996</v>
      </c>
      <c r="Q12" s="14" t="s">
        <v>2997</v>
      </c>
      <c r="R12" s="7" t="s">
        <v>3</v>
      </c>
      <c r="S12" s="47">
        <v>46175</v>
      </c>
      <c r="T12" s="4" t="s">
        <v>2998</v>
      </c>
      <c r="U12" s="59"/>
    </row>
    <row r="13" spans="1:21">
      <c r="A13" s="7" t="s">
        <v>2999</v>
      </c>
      <c r="B13" s="7" t="s">
        <v>1126</v>
      </c>
      <c r="C13" s="7" t="s">
        <v>746</v>
      </c>
      <c r="D13" s="7" t="s">
        <v>906</v>
      </c>
      <c r="E13" s="32" t="s">
        <v>828</v>
      </c>
      <c r="F13" s="32" t="s">
        <v>12</v>
      </c>
      <c r="G13" s="7" t="s">
        <v>2302</v>
      </c>
      <c r="H13" s="14" t="s">
        <v>3000</v>
      </c>
      <c r="I13" s="14" t="s">
        <v>2992</v>
      </c>
      <c r="J13" s="14" t="s">
        <v>2993</v>
      </c>
      <c r="K13" s="28" t="s">
        <v>3001</v>
      </c>
      <c r="L13" s="28" t="s">
        <v>3002</v>
      </c>
      <c r="M13" s="7" t="s">
        <v>39</v>
      </c>
      <c r="N13" s="32" t="s">
        <v>912</v>
      </c>
      <c r="O13" s="32" t="s">
        <v>912</v>
      </c>
      <c r="P13" s="7"/>
      <c r="Q13" s="14"/>
      <c r="R13" s="7" t="s">
        <v>3</v>
      </c>
      <c r="S13" s="7" t="s">
        <v>2943</v>
      </c>
      <c r="T13" s="4" t="s">
        <v>3003</v>
      </c>
      <c r="U13" s="178"/>
    </row>
    <row r="14" spans="1:21">
      <c r="A14" s="7" t="s">
        <v>3004</v>
      </c>
      <c r="B14" s="7" t="s">
        <v>1126</v>
      </c>
      <c r="C14" s="7" t="s">
        <v>769</v>
      </c>
      <c r="D14" s="7" t="s">
        <v>906</v>
      </c>
      <c r="E14" s="32" t="s">
        <v>828</v>
      </c>
      <c r="F14" s="32" t="s">
        <v>12</v>
      </c>
      <c r="G14" s="7" t="s">
        <v>2302</v>
      </c>
      <c r="H14" s="28" t="s">
        <v>85</v>
      </c>
      <c r="I14" s="14" t="s">
        <v>2992</v>
      </c>
      <c r="J14" s="14" t="s">
        <v>2993</v>
      </c>
      <c r="K14" s="28" t="s">
        <v>3005</v>
      </c>
      <c r="L14" s="28" t="s">
        <v>3006</v>
      </c>
      <c r="M14" s="7" t="s">
        <v>39</v>
      </c>
      <c r="N14" s="32" t="s">
        <v>912</v>
      </c>
      <c r="O14" s="32" t="s">
        <v>912</v>
      </c>
      <c r="P14" s="32" t="s">
        <v>3007</v>
      </c>
      <c r="Q14" s="14" t="s">
        <v>3008</v>
      </c>
      <c r="R14" s="7" t="s">
        <v>3</v>
      </c>
      <c r="S14" s="47">
        <v>46175</v>
      </c>
      <c r="T14" s="4" t="s">
        <v>3009</v>
      </c>
      <c r="U14" s="178"/>
    </row>
    <row r="15" spans="1:21">
      <c r="A15" s="7" t="s">
        <v>3010</v>
      </c>
      <c r="B15" s="7" t="s">
        <v>1126</v>
      </c>
      <c r="C15" s="7" t="s">
        <v>769</v>
      </c>
      <c r="D15" s="7" t="s">
        <v>906</v>
      </c>
      <c r="E15" s="32" t="s">
        <v>828</v>
      </c>
      <c r="F15" s="32" t="s">
        <v>12</v>
      </c>
      <c r="G15" s="7" t="s">
        <v>2302</v>
      </c>
      <c r="H15" s="28" t="s">
        <v>170</v>
      </c>
      <c r="I15" s="14" t="s">
        <v>2992</v>
      </c>
      <c r="J15" s="14" t="s">
        <v>2993</v>
      </c>
      <c r="K15" s="28" t="s">
        <v>3011</v>
      </c>
      <c r="L15" s="28" t="s">
        <v>3012</v>
      </c>
      <c r="M15" s="7" t="s">
        <v>39</v>
      </c>
      <c r="N15" s="32" t="s">
        <v>912</v>
      </c>
      <c r="O15" s="32" t="s">
        <v>912</v>
      </c>
      <c r="P15" s="32" t="s">
        <v>3007</v>
      </c>
      <c r="Q15" s="14" t="s">
        <v>3008</v>
      </c>
      <c r="R15" s="7" t="s">
        <v>3</v>
      </c>
      <c r="S15" s="47">
        <v>46175</v>
      </c>
      <c r="T15" s="4" t="s">
        <v>3013</v>
      </c>
      <c r="U15" s="178"/>
    </row>
    <row r="16" spans="1:21">
      <c r="A16" s="7" t="s">
        <v>3014</v>
      </c>
      <c r="B16" s="7" t="s">
        <v>1126</v>
      </c>
      <c r="C16" s="7" t="s">
        <v>769</v>
      </c>
      <c r="D16" s="7" t="s">
        <v>906</v>
      </c>
      <c r="E16" s="32" t="s">
        <v>828</v>
      </c>
      <c r="F16" s="32" t="s">
        <v>12</v>
      </c>
      <c r="G16" s="7" t="s">
        <v>2302</v>
      </c>
      <c r="H16" s="28" t="s">
        <v>148</v>
      </c>
      <c r="I16" s="14" t="s">
        <v>2992</v>
      </c>
      <c r="J16" s="14" t="s">
        <v>2993</v>
      </c>
      <c r="K16" s="28" t="s">
        <v>3015</v>
      </c>
      <c r="L16" s="28" t="s">
        <v>3016</v>
      </c>
      <c r="M16" s="7" t="s">
        <v>39</v>
      </c>
      <c r="N16" s="32" t="s">
        <v>912</v>
      </c>
      <c r="O16" s="32" t="s">
        <v>912</v>
      </c>
      <c r="P16" s="32" t="s">
        <v>3007</v>
      </c>
      <c r="Q16" s="14" t="s">
        <v>3008</v>
      </c>
      <c r="R16" s="7" t="s">
        <v>3</v>
      </c>
      <c r="S16" s="47">
        <v>46175</v>
      </c>
      <c r="T16" s="4" t="s">
        <v>3017</v>
      </c>
      <c r="U16" s="178"/>
    </row>
    <row r="17" spans="1:21">
      <c r="A17" s="7" t="s">
        <v>3018</v>
      </c>
      <c r="B17" s="7" t="s">
        <v>1126</v>
      </c>
      <c r="C17" s="7" t="s">
        <v>746</v>
      </c>
      <c r="D17" s="7" t="s">
        <v>3019</v>
      </c>
      <c r="E17" s="32" t="s">
        <v>2946</v>
      </c>
      <c r="F17" s="32" t="s">
        <v>12</v>
      </c>
      <c r="G17" s="7" t="s">
        <v>804</v>
      </c>
      <c r="H17" s="14" t="s">
        <v>3020</v>
      </c>
      <c r="I17" s="14" t="s">
        <v>3021</v>
      </c>
      <c r="J17" s="14" t="s">
        <v>3022</v>
      </c>
      <c r="K17" s="28" t="s">
        <v>3023</v>
      </c>
      <c r="L17" s="14" t="s">
        <v>39</v>
      </c>
      <c r="M17" s="7" t="s">
        <v>39</v>
      </c>
      <c r="N17" s="32" t="s">
        <v>912</v>
      </c>
      <c r="O17" s="32"/>
      <c r="P17" s="7"/>
      <c r="Q17" s="14"/>
      <c r="R17" s="7" t="s">
        <v>3</v>
      </c>
      <c r="S17" s="7" t="s">
        <v>2943</v>
      </c>
      <c r="T17" s="4" t="s">
        <v>3003</v>
      </c>
      <c r="U17" s="178"/>
    </row>
    <row r="18" spans="1:21">
      <c r="A18" s="7" t="s">
        <v>3024</v>
      </c>
      <c r="B18" s="7" t="s">
        <v>1126</v>
      </c>
      <c r="C18" s="7" t="s">
        <v>769</v>
      </c>
      <c r="D18" s="7" t="s">
        <v>906</v>
      </c>
      <c r="E18" s="32" t="s">
        <v>828</v>
      </c>
      <c r="F18" s="32" t="s">
        <v>12</v>
      </c>
      <c r="G18" s="7" t="s">
        <v>1004</v>
      </c>
      <c r="H18" s="28" t="s">
        <v>539</v>
      </c>
      <c r="I18" s="14" t="s">
        <v>3025</v>
      </c>
      <c r="J18" s="14" t="s">
        <v>3026</v>
      </c>
      <c r="K18" s="28" t="s">
        <v>3027</v>
      </c>
      <c r="L18" s="14" t="s">
        <v>39</v>
      </c>
      <c r="M18" s="7" t="s">
        <v>39</v>
      </c>
      <c r="N18" s="32" t="s">
        <v>912</v>
      </c>
      <c r="O18" s="32"/>
      <c r="P18" s="7"/>
      <c r="Q18" s="14"/>
      <c r="R18" s="7" t="s">
        <v>3</v>
      </c>
      <c r="S18" s="7" t="s">
        <v>2943</v>
      </c>
      <c r="T18" s="4"/>
      <c r="U18" s="178"/>
    </row>
    <row r="19" spans="1:21">
      <c r="A19" s="7" t="s">
        <v>3028</v>
      </c>
      <c r="B19" s="7" t="s">
        <v>1796</v>
      </c>
      <c r="C19" s="7" t="s">
        <v>754</v>
      </c>
      <c r="D19" s="7" t="s">
        <v>906</v>
      </c>
      <c r="E19" s="32" t="s">
        <v>828</v>
      </c>
      <c r="F19" s="32" t="s">
        <v>12</v>
      </c>
      <c r="G19" s="7" t="s">
        <v>907</v>
      </c>
      <c r="H19" s="28" t="s">
        <v>50</v>
      </c>
      <c r="I19" s="14" t="s">
        <v>3029</v>
      </c>
      <c r="J19" s="14" t="s">
        <v>3030</v>
      </c>
      <c r="K19" s="28" t="s">
        <v>3031</v>
      </c>
      <c r="L19" s="14" t="s">
        <v>39</v>
      </c>
      <c r="M19" s="7" t="s">
        <v>39</v>
      </c>
      <c r="N19" s="32" t="s">
        <v>912</v>
      </c>
      <c r="O19" s="32"/>
      <c r="P19" s="7"/>
      <c r="Q19" s="14"/>
      <c r="R19" s="7" t="s">
        <v>3</v>
      </c>
      <c r="S19" s="47" t="s">
        <v>1010</v>
      </c>
      <c r="T19" s="4"/>
      <c r="U19" s="178"/>
    </row>
    <row r="20" spans="1:21">
      <c r="A20" s="7" t="s">
        <v>3032</v>
      </c>
      <c r="B20" s="7" t="s">
        <v>1796</v>
      </c>
      <c r="C20" s="7" t="s">
        <v>754</v>
      </c>
      <c r="D20" s="7" t="s">
        <v>906</v>
      </c>
      <c r="E20" s="32" t="s">
        <v>828</v>
      </c>
      <c r="F20" s="32" t="s">
        <v>12</v>
      </c>
      <c r="G20" s="7" t="s">
        <v>907</v>
      </c>
      <c r="H20" s="28" t="s">
        <v>50</v>
      </c>
      <c r="I20" s="14" t="s">
        <v>3033</v>
      </c>
      <c r="J20" s="14" t="s">
        <v>3034</v>
      </c>
      <c r="K20" s="28" t="s">
        <v>3035</v>
      </c>
      <c r="L20" s="14" t="s">
        <v>39</v>
      </c>
      <c r="M20" s="7" t="s">
        <v>39</v>
      </c>
      <c r="N20" s="32" t="s">
        <v>912</v>
      </c>
      <c r="O20" s="32"/>
      <c r="P20" s="7"/>
      <c r="Q20" s="14"/>
      <c r="R20" s="7" t="s">
        <v>3</v>
      </c>
      <c r="S20" s="47">
        <v>46267</v>
      </c>
      <c r="T20" s="4" t="s">
        <v>3036</v>
      </c>
      <c r="U20" s="178"/>
    </row>
    <row r="21" spans="1:21">
      <c r="A21" s="7" t="s">
        <v>3037</v>
      </c>
      <c r="B21" s="7" t="s">
        <v>1796</v>
      </c>
      <c r="C21" s="7" t="s">
        <v>746</v>
      </c>
      <c r="D21" s="7" t="s">
        <v>906</v>
      </c>
      <c r="E21" s="32" t="s">
        <v>828</v>
      </c>
      <c r="F21" s="32" t="s">
        <v>12</v>
      </c>
      <c r="G21" s="7" t="s">
        <v>1799</v>
      </c>
      <c r="H21" s="28" t="s">
        <v>50</v>
      </c>
      <c r="I21" s="14" t="s">
        <v>3038</v>
      </c>
      <c r="J21" s="14" t="s">
        <v>3039</v>
      </c>
      <c r="K21" s="28" t="s">
        <v>3040</v>
      </c>
      <c r="L21" s="14" t="s">
        <v>39</v>
      </c>
      <c r="M21" s="7" t="s">
        <v>39</v>
      </c>
      <c r="N21" s="32" t="s">
        <v>912</v>
      </c>
      <c r="O21" s="32" t="s">
        <v>3041</v>
      </c>
      <c r="P21" s="7" t="s">
        <v>1028</v>
      </c>
      <c r="Q21" s="14" t="s">
        <v>3042</v>
      </c>
      <c r="R21" s="7" t="s">
        <v>3</v>
      </c>
      <c r="S21" s="47" t="s">
        <v>1073</v>
      </c>
      <c r="T21" s="4" t="s">
        <v>3043</v>
      </c>
      <c r="U21" s="178"/>
    </row>
    <row r="22" spans="1:21">
      <c r="A22" s="7" t="s">
        <v>3044</v>
      </c>
      <c r="B22" s="7" t="s">
        <v>1796</v>
      </c>
      <c r="C22" s="7" t="s">
        <v>746</v>
      </c>
      <c r="D22" s="7" t="s">
        <v>906</v>
      </c>
      <c r="E22" s="32" t="s">
        <v>828</v>
      </c>
      <c r="F22" s="32" t="s">
        <v>12</v>
      </c>
      <c r="G22" s="7" t="s">
        <v>1799</v>
      </c>
      <c r="H22" s="28" t="s">
        <v>50</v>
      </c>
      <c r="I22" s="14" t="s">
        <v>3045</v>
      </c>
      <c r="J22" s="14" t="s">
        <v>3046</v>
      </c>
      <c r="K22" s="28" t="s">
        <v>3047</v>
      </c>
      <c r="L22" s="14" t="s">
        <v>39</v>
      </c>
      <c r="M22" s="7" t="s">
        <v>39</v>
      </c>
      <c r="N22" s="32" t="s">
        <v>912</v>
      </c>
      <c r="O22" s="32" t="s">
        <v>3041</v>
      </c>
      <c r="P22" s="7" t="s">
        <v>1028</v>
      </c>
      <c r="Q22" s="14" t="s">
        <v>3042</v>
      </c>
      <c r="R22" s="7" t="s">
        <v>3</v>
      </c>
      <c r="S22" s="47" t="s">
        <v>1073</v>
      </c>
      <c r="T22" s="4" t="s">
        <v>3043</v>
      </c>
      <c r="U22" s="178"/>
    </row>
    <row r="23" spans="1:21">
      <c r="A23" s="7" t="s">
        <v>3048</v>
      </c>
      <c r="B23" s="7" t="s">
        <v>1796</v>
      </c>
      <c r="C23" s="7" t="s">
        <v>769</v>
      </c>
      <c r="D23" s="7" t="s">
        <v>906</v>
      </c>
      <c r="E23" s="32" t="s">
        <v>1003</v>
      </c>
      <c r="F23" s="32" t="s">
        <v>12</v>
      </c>
      <c r="G23" s="7" t="s">
        <v>870</v>
      </c>
      <c r="H23" s="28" t="s">
        <v>50</v>
      </c>
      <c r="I23" s="14" t="s">
        <v>3049</v>
      </c>
      <c r="J23" s="14" t="s">
        <v>3050</v>
      </c>
      <c r="K23" s="28" t="s">
        <v>3051</v>
      </c>
      <c r="L23" s="14" t="s">
        <v>39</v>
      </c>
      <c r="M23" s="7" t="s">
        <v>39</v>
      </c>
      <c r="N23" s="32" t="s">
        <v>912</v>
      </c>
      <c r="O23" s="32"/>
      <c r="P23" s="7"/>
      <c r="Q23" s="14"/>
      <c r="R23" s="7" t="s">
        <v>3</v>
      </c>
      <c r="S23" s="7" t="s">
        <v>1010</v>
      </c>
      <c r="T23" s="4"/>
      <c r="U23" s="178"/>
    </row>
    <row r="24" spans="1:21">
      <c r="A24" s="7" t="s">
        <v>3052</v>
      </c>
      <c r="B24" s="7" t="s">
        <v>1796</v>
      </c>
      <c r="C24" s="7" t="s">
        <v>754</v>
      </c>
      <c r="D24" s="7" t="s">
        <v>906</v>
      </c>
      <c r="E24" s="32" t="s">
        <v>828</v>
      </c>
      <c r="F24" s="32" t="s">
        <v>12</v>
      </c>
      <c r="G24" s="7" t="s">
        <v>907</v>
      </c>
      <c r="H24" s="28" t="s">
        <v>50</v>
      </c>
      <c r="I24" s="14" t="s">
        <v>3053</v>
      </c>
      <c r="J24" s="14" t="s">
        <v>3054</v>
      </c>
      <c r="K24" s="28" t="s">
        <v>3055</v>
      </c>
      <c r="L24" s="14" t="s">
        <v>39</v>
      </c>
      <c r="M24" s="7" t="s">
        <v>39</v>
      </c>
      <c r="N24" s="32" t="s">
        <v>912</v>
      </c>
      <c r="O24" s="32"/>
      <c r="P24" s="7"/>
      <c r="Q24" s="14"/>
      <c r="R24" s="7" t="s">
        <v>3</v>
      </c>
      <c r="S24" s="7" t="s">
        <v>1010</v>
      </c>
      <c r="T24" s="4"/>
      <c r="U24" s="178"/>
    </row>
    <row r="25" spans="1:21">
      <c r="A25" s="7" t="s">
        <v>3056</v>
      </c>
      <c r="B25" s="7" t="s">
        <v>1796</v>
      </c>
      <c r="C25" s="7" t="s">
        <v>746</v>
      </c>
      <c r="D25" s="7" t="s">
        <v>906</v>
      </c>
      <c r="E25" s="32" t="s">
        <v>828</v>
      </c>
      <c r="F25" s="32" t="s">
        <v>12</v>
      </c>
      <c r="G25" s="7" t="s">
        <v>2302</v>
      </c>
      <c r="H25" s="28" t="s">
        <v>50</v>
      </c>
      <c r="I25" s="14" t="s">
        <v>2974</v>
      </c>
      <c r="J25" s="14" t="s">
        <v>3057</v>
      </c>
      <c r="K25" s="28" t="s">
        <v>3058</v>
      </c>
      <c r="L25" s="14" t="s">
        <v>39</v>
      </c>
      <c r="M25" s="7" t="s">
        <v>39</v>
      </c>
      <c r="N25" s="32" t="s">
        <v>912</v>
      </c>
      <c r="O25" s="32"/>
      <c r="P25" s="7"/>
      <c r="Q25" s="14"/>
      <c r="R25" s="7" t="s">
        <v>3</v>
      </c>
      <c r="S25" s="7" t="s">
        <v>1010</v>
      </c>
      <c r="T25" s="4"/>
      <c r="U25" s="178"/>
    </row>
    <row r="26" spans="1:21">
      <c r="A26" s="7" t="s">
        <v>3059</v>
      </c>
      <c r="B26" s="7" t="s">
        <v>1796</v>
      </c>
      <c r="C26" s="7" t="s">
        <v>746</v>
      </c>
      <c r="D26" s="7" t="s">
        <v>906</v>
      </c>
      <c r="E26" s="32" t="s">
        <v>828</v>
      </c>
      <c r="F26" s="32" t="s">
        <v>12</v>
      </c>
      <c r="G26" s="7" t="s">
        <v>3060</v>
      </c>
      <c r="H26" s="28" t="s">
        <v>50</v>
      </c>
      <c r="I26" s="14" t="s">
        <v>3061</v>
      </c>
      <c r="J26" s="14" t="s">
        <v>3062</v>
      </c>
      <c r="K26" s="28" t="s">
        <v>3063</v>
      </c>
      <c r="L26" s="14" t="s">
        <v>39</v>
      </c>
      <c r="M26" s="7" t="s">
        <v>39</v>
      </c>
      <c r="N26" s="32" t="s">
        <v>912</v>
      </c>
      <c r="O26" s="32"/>
      <c r="P26" s="7"/>
      <c r="Q26" s="14"/>
      <c r="R26" s="7" t="s">
        <v>3</v>
      </c>
      <c r="S26" s="47">
        <v>46175</v>
      </c>
      <c r="T26" s="4" t="s">
        <v>3064</v>
      </c>
      <c r="U26" s="178"/>
    </row>
    <row r="27" spans="1:21">
      <c r="A27" s="7" t="s">
        <v>3065</v>
      </c>
      <c r="B27" s="7" t="s">
        <v>1796</v>
      </c>
      <c r="C27" s="7" t="s">
        <v>769</v>
      </c>
      <c r="D27" s="7" t="s">
        <v>906</v>
      </c>
      <c r="E27" s="32" t="s">
        <v>828</v>
      </c>
      <c r="F27" s="32" t="s">
        <v>12</v>
      </c>
      <c r="G27" s="7" t="s">
        <v>2302</v>
      </c>
      <c r="H27" s="28" t="s">
        <v>145</v>
      </c>
      <c r="I27" s="14" t="s">
        <v>2992</v>
      </c>
      <c r="J27" s="14" t="s">
        <v>2993</v>
      </c>
      <c r="K27" s="28" t="s">
        <v>3066</v>
      </c>
      <c r="L27" s="14" t="s">
        <v>39</v>
      </c>
      <c r="M27" s="7" t="s">
        <v>39</v>
      </c>
      <c r="N27" s="32" t="s">
        <v>912</v>
      </c>
      <c r="O27" s="32" t="s">
        <v>912</v>
      </c>
      <c r="P27" s="32" t="s">
        <v>3007</v>
      </c>
      <c r="Q27" s="14" t="s">
        <v>3008</v>
      </c>
      <c r="R27" s="7" t="s">
        <v>3</v>
      </c>
      <c r="S27" s="47">
        <v>46175</v>
      </c>
      <c r="T27" s="4" t="s">
        <v>3067</v>
      </c>
      <c r="U27" s="178"/>
    </row>
    <row r="28" spans="1:21">
      <c r="A28" s="7" t="s">
        <v>3068</v>
      </c>
      <c r="B28" s="7" t="s">
        <v>1796</v>
      </c>
      <c r="C28" s="7" t="s">
        <v>746</v>
      </c>
      <c r="D28" s="7" t="s">
        <v>3069</v>
      </c>
      <c r="E28" s="32" t="s">
        <v>828</v>
      </c>
      <c r="F28" s="32" t="s">
        <v>12</v>
      </c>
      <c r="G28" s="7" t="s">
        <v>2302</v>
      </c>
      <c r="H28" s="28" t="s">
        <v>145</v>
      </c>
      <c r="I28" s="14" t="s">
        <v>2974</v>
      </c>
      <c r="J28" s="14" t="s">
        <v>3070</v>
      </c>
      <c r="K28" s="28" t="s">
        <v>3071</v>
      </c>
      <c r="L28" s="14" t="s">
        <v>39</v>
      </c>
      <c r="M28" s="7" t="s">
        <v>39</v>
      </c>
      <c r="N28" s="32" t="s">
        <v>912</v>
      </c>
      <c r="O28" s="32"/>
      <c r="P28" s="7"/>
      <c r="Q28" s="14"/>
      <c r="R28" s="7" t="s">
        <v>3</v>
      </c>
      <c r="S28" s="7" t="s">
        <v>1010</v>
      </c>
      <c r="T28" s="4"/>
      <c r="U28" s="178"/>
    </row>
    <row r="29" spans="1:21">
      <c r="A29" s="7" t="s">
        <v>3072</v>
      </c>
      <c r="B29" s="7" t="s">
        <v>1796</v>
      </c>
      <c r="C29" s="7" t="s">
        <v>746</v>
      </c>
      <c r="D29" s="7" t="s">
        <v>3019</v>
      </c>
      <c r="E29" s="32" t="s">
        <v>2946</v>
      </c>
      <c r="F29" s="32" t="s">
        <v>12</v>
      </c>
      <c r="G29" s="7" t="s">
        <v>804</v>
      </c>
      <c r="H29" s="28" t="s">
        <v>145</v>
      </c>
      <c r="I29" s="14" t="s">
        <v>3029</v>
      </c>
      <c r="J29" s="14" t="s">
        <v>3073</v>
      </c>
      <c r="K29" s="28" t="s">
        <v>3074</v>
      </c>
      <c r="L29" s="14" t="s">
        <v>39</v>
      </c>
      <c r="M29" s="7" t="s">
        <v>39</v>
      </c>
      <c r="N29" s="32" t="s">
        <v>912</v>
      </c>
      <c r="O29" s="32"/>
      <c r="P29" s="7"/>
      <c r="Q29" s="14"/>
      <c r="R29" s="7" t="s">
        <v>3</v>
      </c>
      <c r="S29" s="7" t="s">
        <v>1010</v>
      </c>
      <c r="T29" s="4"/>
      <c r="U29" s="178"/>
    </row>
    <row r="30" spans="1:21">
      <c r="A30" s="7" t="s">
        <v>3075</v>
      </c>
      <c r="B30" s="7" t="s">
        <v>1796</v>
      </c>
      <c r="C30" s="7" t="s">
        <v>746</v>
      </c>
      <c r="D30" s="7" t="s">
        <v>906</v>
      </c>
      <c r="E30" s="32" t="s">
        <v>828</v>
      </c>
      <c r="F30" s="32" t="s">
        <v>12</v>
      </c>
      <c r="G30" s="7" t="s">
        <v>1799</v>
      </c>
      <c r="H30" s="28" t="s">
        <v>145</v>
      </c>
      <c r="I30" s="14" t="s">
        <v>3076</v>
      </c>
      <c r="J30" s="14" t="s">
        <v>3077</v>
      </c>
      <c r="K30" s="28" t="s">
        <v>3078</v>
      </c>
      <c r="L30" s="14" t="s">
        <v>39</v>
      </c>
      <c r="M30" s="7" t="s">
        <v>39</v>
      </c>
      <c r="N30" s="32" t="s">
        <v>912</v>
      </c>
      <c r="O30" s="32"/>
      <c r="P30" s="7"/>
      <c r="Q30" s="14"/>
      <c r="R30" s="7" t="s">
        <v>3</v>
      </c>
      <c r="S30" s="7" t="s">
        <v>1010</v>
      </c>
      <c r="T30" s="4"/>
      <c r="U30" s="178"/>
    </row>
    <row r="31" spans="1:21">
      <c r="A31" s="7" t="s">
        <v>3079</v>
      </c>
      <c r="B31" s="7" t="s">
        <v>1796</v>
      </c>
      <c r="C31" s="7" t="s">
        <v>754</v>
      </c>
      <c r="D31" s="7" t="s">
        <v>906</v>
      </c>
      <c r="E31" s="32" t="s">
        <v>828</v>
      </c>
      <c r="F31" s="32" t="s">
        <v>12</v>
      </c>
      <c r="G31" s="7" t="s">
        <v>907</v>
      </c>
      <c r="H31" s="28" t="s">
        <v>145</v>
      </c>
      <c r="I31" s="14" t="s">
        <v>3080</v>
      </c>
      <c r="J31" s="14" t="s">
        <v>3081</v>
      </c>
      <c r="K31" s="28" t="s">
        <v>3082</v>
      </c>
      <c r="L31" s="14" t="s">
        <v>39</v>
      </c>
      <c r="M31" s="7" t="s">
        <v>39</v>
      </c>
      <c r="N31" s="32" t="s">
        <v>912</v>
      </c>
      <c r="O31" s="32"/>
      <c r="P31" s="7"/>
      <c r="Q31" s="14"/>
      <c r="R31" s="7" t="s">
        <v>3</v>
      </c>
      <c r="S31" s="47">
        <v>46267</v>
      </c>
      <c r="T31" s="4" t="s">
        <v>3083</v>
      </c>
      <c r="U31" s="178"/>
    </row>
    <row r="32" spans="1:21">
      <c r="A32" s="7" t="s">
        <v>3084</v>
      </c>
      <c r="B32" s="7" t="s">
        <v>1796</v>
      </c>
      <c r="C32" s="7" t="s">
        <v>769</v>
      </c>
      <c r="D32" s="7" t="s">
        <v>906</v>
      </c>
      <c r="E32" s="32" t="s">
        <v>1003</v>
      </c>
      <c r="F32" s="32" t="s">
        <v>12</v>
      </c>
      <c r="G32" s="7" t="s">
        <v>870</v>
      </c>
      <c r="H32" s="28" t="s">
        <v>145</v>
      </c>
      <c r="I32" s="14" t="s">
        <v>3049</v>
      </c>
      <c r="J32" s="14" t="s">
        <v>3085</v>
      </c>
      <c r="K32" s="28" t="s">
        <v>3086</v>
      </c>
      <c r="L32" s="14" t="s">
        <v>39</v>
      </c>
      <c r="M32" s="7" t="s">
        <v>39</v>
      </c>
      <c r="N32" s="32" t="s">
        <v>912</v>
      </c>
      <c r="O32" s="32"/>
      <c r="P32" s="7"/>
      <c r="Q32" s="14"/>
      <c r="R32" s="7" t="s">
        <v>3</v>
      </c>
      <c r="S32" s="7" t="s">
        <v>1010</v>
      </c>
      <c r="T32" s="4"/>
      <c r="U32" s="178"/>
    </row>
    <row r="33" spans="1:21">
      <c r="A33" s="7" t="s">
        <v>3087</v>
      </c>
      <c r="B33" s="7" t="s">
        <v>1796</v>
      </c>
      <c r="C33" s="7" t="s">
        <v>746</v>
      </c>
      <c r="D33" s="7" t="s">
        <v>906</v>
      </c>
      <c r="E33" s="32" t="s">
        <v>828</v>
      </c>
      <c r="F33" s="32" t="s">
        <v>12</v>
      </c>
      <c r="G33" s="7" t="s">
        <v>1799</v>
      </c>
      <c r="H33" s="28" t="s">
        <v>145</v>
      </c>
      <c r="I33" s="14" t="s">
        <v>3038</v>
      </c>
      <c r="J33" s="14" t="s">
        <v>3039</v>
      </c>
      <c r="K33" s="28" t="s">
        <v>3088</v>
      </c>
      <c r="L33" s="14" t="s">
        <v>39</v>
      </c>
      <c r="M33" s="7" t="s">
        <v>39</v>
      </c>
      <c r="N33" s="32" t="s">
        <v>912</v>
      </c>
      <c r="O33" s="32" t="s">
        <v>912</v>
      </c>
      <c r="P33" s="7" t="s">
        <v>1028</v>
      </c>
      <c r="Q33" s="14" t="s">
        <v>3089</v>
      </c>
      <c r="R33" s="7" t="s">
        <v>3</v>
      </c>
      <c r="S33" s="47">
        <v>46145</v>
      </c>
      <c r="T33" s="4" t="s">
        <v>3090</v>
      </c>
      <c r="U33" s="178"/>
    </row>
    <row r="34" spans="1:21">
      <c r="A34" s="7" t="s">
        <v>3091</v>
      </c>
      <c r="B34" s="7" t="s">
        <v>1796</v>
      </c>
      <c r="C34" s="7" t="s">
        <v>754</v>
      </c>
      <c r="D34" s="7" t="s">
        <v>3069</v>
      </c>
      <c r="E34" s="32" t="s">
        <v>828</v>
      </c>
      <c r="F34" s="32" t="s">
        <v>12</v>
      </c>
      <c r="G34" s="7" t="s">
        <v>907</v>
      </c>
      <c r="H34" s="28" t="s">
        <v>145</v>
      </c>
      <c r="I34" s="14" t="s">
        <v>3092</v>
      </c>
      <c r="J34" s="14" t="s">
        <v>3093</v>
      </c>
      <c r="K34" s="28" t="s">
        <v>3094</v>
      </c>
      <c r="L34" s="14" t="s">
        <v>39</v>
      </c>
      <c r="M34" s="7" t="s">
        <v>39</v>
      </c>
      <c r="N34" s="32" t="s">
        <v>912</v>
      </c>
      <c r="O34" s="32"/>
      <c r="P34" s="7"/>
      <c r="Q34" s="14"/>
      <c r="R34" s="7" t="s">
        <v>3</v>
      </c>
      <c r="S34" s="7" t="s">
        <v>1010</v>
      </c>
      <c r="T34" s="4"/>
      <c r="U34" s="178"/>
    </row>
    <row r="35" spans="1:21">
      <c r="A35" s="7" t="s">
        <v>3095</v>
      </c>
      <c r="B35" s="7" t="s">
        <v>1796</v>
      </c>
      <c r="C35" s="7" t="s">
        <v>754</v>
      </c>
      <c r="D35" s="7" t="s">
        <v>906</v>
      </c>
      <c r="E35" s="32" t="s">
        <v>828</v>
      </c>
      <c r="F35" s="32" t="s">
        <v>12</v>
      </c>
      <c r="G35" s="7" t="s">
        <v>907</v>
      </c>
      <c r="H35" s="28" t="s">
        <v>145</v>
      </c>
      <c r="I35" s="14" t="s">
        <v>3053</v>
      </c>
      <c r="J35" s="14" t="s">
        <v>3096</v>
      </c>
      <c r="K35" s="28" t="s">
        <v>3097</v>
      </c>
      <c r="L35" s="14" t="s">
        <v>39</v>
      </c>
      <c r="M35" s="7" t="s">
        <v>39</v>
      </c>
      <c r="N35" s="32" t="s">
        <v>912</v>
      </c>
      <c r="O35" s="32"/>
      <c r="P35" s="7"/>
      <c r="Q35" s="14"/>
      <c r="R35" s="7" t="s">
        <v>3</v>
      </c>
      <c r="S35" s="7" t="s">
        <v>1010</v>
      </c>
      <c r="T35" s="4"/>
      <c r="U35" s="178"/>
    </row>
    <row r="36" spans="1:21">
      <c r="A36" s="7" t="s">
        <v>3098</v>
      </c>
      <c r="B36" s="7" t="s">
        <v>1796</v>
      </c>
      <c r="C36" s="7" t="s">
        <v>746</v>
      </c>
      <c r="D36" s="7" t="s">
        <v>3069</v>
      </c>
      <c r="E36" s="32" t="s">
        <v>828</v>
      </c>
      <c r="F36" s="32" t="s">
        <v>12</v>
      </c>
      <c r="G36" s="7" t="s">
        <v>3060</v>
      </c>
      <c r="H36" s="28" t="s">
        <v>145</v>
      </c>
      <c r="I36" s="14" t="s">
        <v>3099</v>
      </c>
      <c r="J36" s="14" t="s">
        <v>3100</v>
      </c>
      <c r="K36" s="28" t="s">
        <v>3101</v>
      </c>
      <c r="L36" s="14" t="s">
        <v>39</v>
      </c>
      <c r="M36" s="7" t="s">
        <v>39</v>
      </c>
      <c r="N36" s="32" t="s">
        <v>912</v>
      </c>
      <c r="O36" s="32"/>
      <c r="P36" s="7"/>
      <c r="Q36" s="14"/>
      <c r="R36" s="7" t="s">
        <v>3</v>
      </c>
      <c r="S36" s="7" t="s">
        <v>1010</v>
      </c>
      <c r="T36" s="4"/>
      <c r="U36" s="178"/>
    </row>
    <row r="37" spans="1:21">
      <c r="A37" s="7" t="s">
        <v>3102</v>
      </c>
      <c r="B37" s="7" t="s">
        <v>1796</v>
      </c>
      <c r="C37" s="7" t="s">
        <v>746</v>
      </c>
      <c r="D37" s="7" t="s">
        <v>3069</v>
      </c>
      <c r="E37" s="32" t="s">
        <v>828</v>
      </c>
      <c r="F37" s="32" t="s">
        <v>12</v>
      </c>
      <c r="G37" s="7" t="s">
        <v>3060</v>
      </c>
      <c r="H37" s="28" t="s">
        <v>70</v>
      </c>
      <c r="I37" s="14" t="s">
        <v>3103</v>
      </c>
      <c r="J37" s="14" t="s">
        <v>3104</v>
      </c>
      <c r="K37" s="28" t="s">
        <v>3105</v>
      </c>
      <c r="L37" s="14" t="s">
        <v>39</v>
      </c>
      <c r="M37" s="7" t="s">
        <v>39</v>
      </c>
      <c r="N37" s="32" t="s">
        <v>912</v>
      </c>
      <c r="O37" s="32"/>
      <c r="P37" s="7"/>
      <c r="Q37" s="14"/>
      <c r="R37" s="7" t="s">
        <v>3</v>
      </c>
      <c r="S37" s="47">
        <v>46175</v>
      </c>
      <c r="T37" s="4" t="s">
        <v>3106</v>
      </c>
      <c r="U37" s="178"/>
    </row>
    <row r="38" spans="1:21">
      <c r="A38" s="7" t="s">
        <v>3107</v>
      </c>
      <c r="B38" s="7" t="s">
        <v>1796</v>
      </c>
      <c r="C38" s="7" t="s">
        <v>769</v>
      </c>
      <c r="D38" s="7" t="s">
        <v>906</v>
      </c>
      <c r="E38" s="32" t="s">
        <v>828</v>
      </c>
      <c r="F38" s="32" t="s">
        <v>12</v>
      </c>
      <c r="G38" s="7" t="s">
        <v>2302</v>
      </c>
      <c r="H38" s="28" t="s">
        <v>70</v>
      </c>
      <c r="I38" s="14" t="s">
        <v>3108</v>
      </c>
      <c r="J38" s="14" t="s">
        <v>3109</v>
      </c>
      <c r="K38" s="28" t="s">
        <v>3110</v>
      </c>
      <c r="L38" s="28" t="s">
        <v>3111</v>
      </c>
      <c r="M38" s="7" t="s">
        <v>39</v>
      </c>
      <c r="N38" s="32" t="s">
        <v>912</v>
      </c>
      <c r="O38" s="32"/>
      <c r="P38" s="7"/>
      <c r="Q38" s="14"/>
      <c r="R38" s="7" t="s">
        <v>3</v>
      </c>
      <c r="S38" s="7" t="s">
        <v>1154</v>
      </c>
      <c r="T38" s="4"/>
      <c r="U38" s="178"/>
    </row>
    <row r="39" spans="1:21">
      <c r="A39" s="7" t="s">
        <v>3112</v>
      </c>
      <c r="B39" s="7" t="s">
        <v>1796</v>
      </c>
      <c r="C39" s="7" t="s">
        <v>746</v>
      </c>
      <c r="D39" s="7" t="s">
        <v>906</v>
      </c>
      <c r="E39" s="32" t="s">
        <v>828</v>
      </c>
      <c r="F39" s="32" t="s">
        <v>12</v>
      </c>
      <c r="G39" s="7" t="s">
        <v>2302</v>
      </c>
      <c r="H39" s="28" t="s">
        <v>70</v>
      </c>
      <c r="I39" s="14" t="s">
        <v>2992</v>
      </c>
      <c r="J39" s="14" t="s">
        <v>2993</v>
      </c>
      <c r="K39" s="28" t="s">
        <v>3113</v>
      </c>
      <c r="L39" s="14" t="s">
        <v>39</v>
      </c>
      <c r="M39" s="7"/>
      <c r="N39" s="32" t="s">
        <v>912</v>
      </c>
      <c r="O39" s="32"/>
      <c r="P39" s="7"/>
      <c r="Q39" s="14"/>
      <c r="R39" s="7" t="s">
        <v>3</v>
      </c>
      <c r="S39" s="7" t="s">
        <v>1154</v>
      </c>
      <c r="T39" s="4"/>
      <c r="U39" s="178"/>
    </row>
    <row r="40" spans="1:21">
      <c r="A40" s="7" t="s">
        <v>3114</v>
      </c>
      <c r="B40" s="7" t="s">
        <v>1796</v>
      </c>
      <c r="C40" s="7" t="s">
        <v>746</v>
      </c>
      <c r="D40" s="7" t="s">
        <v>906</v>
      </c>
      <c r="E40" s="32" t="s">
        <v>828</v>
      </c>
      <c r="F40" s="32" t="s">
        <v>12</v>
      </c>
      <c r="G40" s="7" t="s">
        <v>2302</v>
      </c>
      <c r="H40" s="28" t="s">
        <v>70</v>
      </c>
      <c r="I40" s="14" t="s">
        <v>2974</v>
      </c>
      <c r="J40" s="14" t="s">
        <v>3115</v>
      </c>
      <c r="K40" s="28" t="s">
        <v>3116</v>
      </c>
      <c r="L40" s="14" t="s">
        <v>39</v>
      </c>
      <c r="M40" s="7" t="s">
        <v>39</v>
      </c>
      <c r="N40" s="32" t="s">
        <v>912</v>
      </c>
      <c r="O40" s="32"/>
      <c r="P40" s="7"/>
      <c r="Q40" s="14"/>
      <c r="R40" s="7" t="s">
        <v>3</v>
      </c>
      <c r="S40" s="7" t="s">
        <v>1154</v>
      </c>
      <c r="T40" s="4"/>
      <c r="U40" s="178"/>
    </row>
    <row r="41" spans="1:21">
      <c r="A41" s="7" t="s">
        <v>3117</v>
      </c>
      <c r="B41" s="7" t="s">
        <v>1796</v>
      </c>
      <c r="C41" s="7" t="s">
        <v>746</v>
      </c>
      <c r="D41" s="7" t="s">
        <v>906</v>
      </c>
      <c r="E41" s="32" t="s">
        <v>828</v>
      </c>
      <c r="F41" s="32" t="s">
        <v>12</v>
      </c>
      <c r="G41" s="7" t="s">
        <v>2302</v>
      </c>
      <c r="H41" s="28" t="s">
        <v>70</v>
      </c>
      <c r="I41" s="14" t="s">
        <v>2988</v>
      </c>
      <c r="J41" s="14" t="s">
        <v>3115</v>
      </c>
      <c r="K41" s="28" t="s">
        <v>3118</v>
      </c>
      <c r="L41" s="14" t="s">
        <v>39</v>
      </c>
      <c r="M41" s="7" t="s">
        <v>39</v>
      </c>
      <c r="N41" s="32" t="s">
        <v>912</v>
      </c>
      <c r="O41" s="32"/>
      <c r="P41" s="7"/>
      <c r="Q41" s="14"/>
      <c r="R41" s="7" t="s">
        <v>3</v>
      </c>
      <c r="S41" s="7" t="s">
        <v>1154</v>
      </c>
      <c r="T41" s="4"/>
      <c r="U41" s="178"/>
    </row>
    <row r="42" spans="1:21" s="27" customFormat="1">
      <c r="A42" s="7" t="s">
        <v>3119</v>
      </c>
      <c r="B42" s="7" t="s">
        <v>1796</v>
      </c>
      <c r="C42" s="7" t="s">
        <v>746</v>
      </c>
      <c r="D42" s="7" t="s">
        <v>3019</v>
      </c>
      <c r="E42" s="32" t="s">
        <v>2946</v>
      </c>
      <c r="F42" s="32" t="s">
        <v>12</v>
      </c>
      <c r="G42" s="7" t="s">
        <v>804</v>
      </c>
      <c r="H42" s="28" t="s">
        <v>70</v>
      </c>
      <c r="I42" s="14" t="s">
        <v>3120</v>
      </c>
      <c r="J42" s="14" t="s">
        <v>3121</v>
      </c>
      <c r="K42" s="28" t="s">
        <v>3122</v>
      </c>
      <c r="L42" s="14" t="s">
        <v>39</v>
      </c>
      <c r="M42" s="7" t="s">
        <v>39</v>
      </c>
      <c r="N42" s="32" t="s">
        <v>912</v>
      </c>
      <c r="O42" s="32" t="s">
        <v>1009</v>
      </c>
      <c r="P42" s="32" t="s">
        <v>1017</v>
      </c>
      <c r="Q42" s="14" t="s">
        <v>3123</v>
      </c>
      <c r="R42" s="7" t="s">
        <v>4</v>
      </c>
      <c r="S42" s="7" t="s">
        <v>1658</v>
      </c>
      <c r="T42" s="4" t="s">
        <v>3124</v>
      </c>
      <c r="U42" s="59"/>
    </row>
    <row r="43" spans="1:21">
      <c r="A43" s="7" t="s">
        <v>3125</v>
      </c>
      <c r="B43" s="7" t="s">
        <v>1796</v>
      </c>
      <c r="C43" s="7" t="s">
        <v>754</v>
      </c>
      <c r="D43" s="7" t="s">
        <v>906</v>
      </c>
      <c r="E43" s="32" t="s">
        <v>828</v>
      </c>
      <c r="F43" s="32" t="s">
        <v>12</v>
      </c>
      <c r="G43" s="7" t="s">
        <v>907</v>
      </c>
      <c r="H43" s="28" t="s">
        <v>70</v>
      </c>
      <c r="I43" s="14" t="s">
        <v>3126</v>
      </c>
      <c r="J43" s="61" t="s">
        <v>3127</v>
      </c>
      <c r="K43" s="28" t="s">
        <v>3128</v>
      </c>
      <c r="L43" s="14" t="s">
        <v>39</v>
      </c>
      <c r="M43" s="7" t="s">
        <v>39</v>
      </c>
      <c r="N43" s="32" t="s">
        <v>912</v>
      </c>
      <c r="O43" s="32"/>
      <c r="P43" s="7"/>
      <c r="Q43" s="14"/>
      <c r="R43" s="7" t="s">
        <v>3</v>
      </c>
      <c r="S43" s="7" t="s">
        <v>1154</v>
      </c>
      <c r="T43" s="4"/>
      <c r="U43" s="178"/>
    </row>
    <row r="44" spans="1:21">
      <c r="A44" s="7" t="s">
        <v>3129</v>
      </c>
      <c r="B44" s="7" t="s">
        <v>1796</v>
      </c>
      <c r="C44" s="7" t="s">
        <v>746</v>
      </c>
      <c r="D44" s="7" t="s">
        <v>906</v>
      </c>
      <c r="E44" s="32" t="s">
        <v>828</v>
      </c>
      <c r="F44" s="32" t="s">
        <v>12</v>
      </c>
      <c r="G44" s="7" t="s">
        <v>1013</v>
      </c>
      <c r="H44" s="28" t="s">
        <v>70</v>
      </c>
      <c r="I44" s="14" t="s">
        <v>3130</v>
      </c>
      <c r="J44" s="61" t="s">
        <v>3131</v>
      </c>
      <c r="K44" s="28" t="s">
        <v>3132</v>
      </c>
      <c r="L44" s="14" t="s">
        <v>39</v>
      </c>
      <c r="M44" s="7" t="s">
        <v>39</v>
      </c>
      <c r="N44" s="32" t="s">
        <v>912</v>
      </c>
      <c r="O44" s="32"/>
      <c r="P44" s="7"/>
      <c r="Q44" s="14"/>
      <c r="R44" s="7" t="s">
        <v>3</v>
      </c>
      <c r="S44" s="7" t="s">
        <v>1154</v>
      </c>
      <c r="T44" s="4"/>
      <c r="U44" s="178"/>
    </row>
    <row r="45" spans="1:21">
      <c r="A45" s="7" t="s">
        <v>3133</v>
      </c>
      <c r="B45" s="7" t="s">
        <v>1796</v>
      </c>
      <c r="C45" s="7" t="s">
        <v>754</v>
      </c>
      <c r="D45" s="7" t="s">
        <v>906</v>
      </c>
      <c r="E45" s="32" t="s">
        <v>828</v>
      </c>
      <c r="F45" s="32" t="s">
        <v>12</v>
      </c>
      <c r="G45" s="7" t="s">
        <v>907</v>
      </c>
      <c r="H45" s="28" t="s">
        <v>70</v>
      </c>
      <c r="I45" s="14" t="s">
        <v>3134</v>
      </c>
      <c r="J45" s="61" t="s">
        <v>3135</v>
      </c>
      <c r="K45" s="28" t="s">
        <v>3136</v>
      </c>
      <c r="L45" s="14" t="s">
        <v>39</v>
      </c>
      <c r="M45" s="7" t="s">
        <v>39</v>
      </c>
      <c r="N45" s="32" t="s">
        <v>912</v>
      </c>
      <c r="O45" s="32"/>
      <c r="P45" s="7"/>
      <c r="Q45" s="14"/>
      <c r="R45" s="7" t="s">
        <v>3</v>
      </c>
      <c r="S45" s="7" t="s">
        <v>1154</v>
      </c>
      <c r="T45" s="4"/>
      <c r="U45" s="178"/>
    </row>
    <row r="46" spans="1:21">
      <c r="A46" s="7" t="s">
        <v>3137</v>
      </c>
      <c r="B46" s="7" t="s">
        <v>1796</v>
      </c>
      <c r="C46" s="7" t="s">
        <v>754</v>
      </c>
      <c r="D46" s="7" t="s">
        <v>906</v>
      </c>
      <c r="E46" s="32" t="s">
        <v>828</v>
      </c>
      <c r="F46" s="32" t="s">
        <v>12</v>
      </c>
      <c r="G46" s="7" t="s">
        <v>907</v>
      </c>
      <c r="H46" s="28" t="s">
        <v>70</v>
      </c>
      <c r="I46" s="14" t="s">
        <v>3138</v>
      </c>
      <c r="J46" s="61" t="s">
        <v>3139</v>
      </c>
      <c r="K46" s="28" t="s">
        <v>3140</v>
      </c>
      <c r="L46" s="14" t="s">
        <v>39</v>
      </c>
      <c r="M46" s="7" t="s">
        <v>39</v>
      </c>
      <c r="N46" s="32" t="s">
        <v>912</v>
      </c>
      <c r="O46" s="32"/>
      <c r="P46" s="7"/>
      <c r="Q46" s="14"/>
      <c r="R46" s="7" t="s">
        <v>3</v>
      </c>
      <c r="S46" s="7" t="s">
        <v>1154</v>
      </c>
      <c r="T46" s="4"/>
      <c r="U46" s="178"/>
    </row>
    <row r="47" spans="1:21">
      <c r="A47" s="7" t="s">
        <v>3141</v>
      </c>
      <c r="B47" s="7" t="s">
        <v>1796</v>
      </c>
      <c r="C47" s="7" t="s">
        <v>769</v>
      </c>
      <c r="D47" s="7" t="s">
        <v>906</v>
      </c>
      <c r="E47" s="32" t="s">
        <v>1003</v>
      </c>
      <c r="F47" s="32" t="s">
        <v>12</v>
      </c>
      <c r="G47" s="7" t="s">
        <v>870</v>
      </c>
      <c r="H47" s="28" t="s">
        <v>70</v>
      </c>
      <c r="I47" s="14" t="s">
        <v>3049</v>
      </c>
      <c r="J47" s="61" t="s">
        <v>3142</v>
      </c>
      <c r="K47" s="28" t="s">
        <v>3143</v>
      </c>
      <c r="L47" s="14" t="s">
        <v>39</v>
      </c>
      <c r="M47" s="7" t="s">
        <v>39</v>
      </c>
      <c r="N47" s="32" t="s">
        <v>912</v>
      </c>
      <c r="O47" s="32"/>
      <c r="P47" s="7"/>
      <c r="Q47" s="14"/>
      <c r="R47" s="7" t="s">
        <v>3</v>
      </c>
      <c r="S47" s="7" t="s">
        <v>1154</v>
      </c>
      <c r="T47" s="4"/>
      <c r="U47" s="178"/>
    </row>
    <row r="48" spans="1:21">
      <c r="A48" s="7" t="s">
        <v>3144</v>
      </c>
      <c r="B48" s="7" t="s">
        <v>1796</v>
      </c>
      <c r="C48" s="7" t="s">
        <v>746</v>
      </c>
      <c r="D48" s="7" t="s">
        <v>906</v>
      </c>
      <c r="E48" s="32" t="s">
        <v>828</v>
      </c>
      <c r="F48" s="32" t="s">
        <v>12</v>
      </c>
      <c r="G48" s="7" t="s">
        <v>1013</v>
      </c>
      <c r="H48" s="28" t="s">
        <v>70</v>
      </c>
      <c r="I48" s="14" t="s">
        <v>3145</v>
      </c>
      <c r="J48" s="61" t="s">
        <v>3131</v>
      </c>
      <c r="K48" s="28" t="s">
        <v>3146</v>
      </c>
      <c r="L48" s="14" t="s">
        <v>39</v>
      </c>
      <c r="M48" s="7" t="s">
        <v>39</v>
      </c>
      <c r="N48" s="32" t="s">
        <v>912</v>
      </c>
      <c r="O48" s="32"/>
      <c r="P48" s="7"/>
      <c r="Q48" s="14"/>
      <c r="R48" s="7" t="s">
        <v>3</v>
      </c>
      <c r="S48" s="7" t="s">
        <v>1154</v>
      </c>
      <c r="T48" s="4"/>
      <c r="U48" s="178"/>
    </row>
    <row r="49" spans="1:21">
      <c r="A49" s="7" t="s">
        <v>3147</v>
      </c>
      <c r="B49" s="7" t="s">
        <v>1796</v>
      </c>
      <c r="C49" s="7" t="s">
        <v>754</v>
      </c>
      <c r="D49" s="7" t="s">
        <v>906</v>
      </c>
      <c r="E49" s="32" t="s">
        <v>828</v>
      </c>
      <c r="F49" s="32" t="s">
        <v>12</v>
      </c>
      <c r="G49" s="7" t="s">
        <v>907</v>
      </c>
      <c r="H49" s="28" t="s">
        <v>70</v>
      </c>
      <c r="I49" s="14" t="s">
        <v>3148</v>
      </c>
      <c r="J49" s="14" t="s">
        <v>3096</v>
      </c>
      <c r="K49" s="28" t="s">
        <v>3149</v>
      </c>
      <c r="L49" s="14" t="s">
        <v>39</v>
      </c>
      <c r="M49" s="7" t="s">
        <v>39</v>
      </c>
      <c r="N49" s="32" t="s">
        <v>912</v>
      </c>
      <c r="O49" s="32"/>
      <c r="P49" s="7"/>
      <c r="Q49" s="14"/>
      <c r="R49" s="7" t="s">
        <v>3</v>
      </c>
      <c r="S49" s="47">
        <v>46267</v>
      </c>
      <c r="T49" s="4" t="s">
        <v>3150</v>
      </c>
      <c r="U49" s="178"/>
    </row>
    <row r="50" spans="1:21">
      <c r="A50" s="7" t="s">
        <v>3151</v>
      </c>
      <c r="B50" s="7" t="s">
        <v>1796</v>
      </c>
      <c r="C50" s="7" t="s">
        <v>746</v>
      </c>
      <c r="D50" s="7" t="s">
        <v>906</v>
      </c>
      <c r="E50" s="32" t="s">
        <v>828</v>
      </c>
      <c r="F50" s="32" t="s">
        <v>12</v>
      </c>
      <c r="G50" s="7" t="s">
        <v>1013</v>
      </c>
      <c r="H50" s="28" t="s">
        <v>70</v>
      </c>
      <c r="I50" s="14" t="s">
        <v>3152</v>
      </c>
      <c r="J50" s="61" t="s">
        <v>3153</v>
      </c>
      <c r="K50" s="28" t="s">
        <v>3154</v>
      </c>
      <c r="L50" s="14" t="s">
        <v>39</v>
      </c>
      <c r="M50" s="7" t="s">
        <v>39</v>
      </c>
      <c r="N50" s="32" t="s">
        <v>912</v>
      </c>
      <c r="O50" s="32"/>
      <c r="P50" s="7"/>
      <c r="Q50" s="14"/>
      <c r="R50" s="7" t="s">
        <v>3</v>
      </c>
      <c r="S50" s="7" t="s">
        <v>1154</v>
      </c>
      <c r="T50" s="4"/>
      <c r="U50" s="178"/>
    </row>
    <row r="51" spans="1:21">
      <c r="A51" s="7" t="s">
        <v>3155</v>
      </c>
      <c r="B51" s="7" t="s">
        <v>1796</v>
      </c>
      <c r="C51" s="7" t="s">
        <v>746</v>
      </c>
      <c r="D51" s="7" t="s">
        <v>906</v>
      </c>
      <c r="E51" s="32" t="s">
        <v>828</v>
      </c>
      <c r="F51" s="32" t="s">
        <v>12</v>
      </c>
      <c r="G51" s="7" t="s">
        <v>1013</v>
      </c>
      <c r="H51" s="28" t="s">
        <v>70</v>
      </c>
      <c r="I51" s="14" t="s">
        <v>3156</v>
      </c>
      <c r="J51" s="61" t="s">
        <v>3157</v>
      </c>
      <c r="K51" s="28" t="s">
        <v>3158</v>
      </c>
      <c r="L51" s="14" t="s">
        <v>39</v>
      </c>
      <c r="M51" s="7" t="s">
        <v>39</v>
      </c>
      <c r="N51" s="32" t="s">
        <v>912</v>
      </c>
      <c r="O51" s="32"/>
      <c r="P51" s="7"/>
      <c r="Q51" s="14"/>
      <c r="R51" s="7" t="s">
        <v>3</v>
      </c>
      <c r="S51" s="7" t="s">
        <v>1154</v>
      </c>
      <c r="T51" s="4"/>
      <c r="U51" s="178"/>
    </row>
    <row r="52" spans="1:21">
      <c r="A52" s="7" t="s">
        <v>3159</v>
      </c>
      <c r="B52" s="7" t="s">
        <v>1796</v>
      </c>
      <c r="C52" s="7" t="s">
        <v>746</v>
      </c>
      <c r="D52" s="7" t="s">
        <v>3069</v>
      </c>
      <c r="E52" s="32" t="s">
        <v>828</v>
      </c>
      <c r="F52" s="32" t="s">
        <v>12</v>
      </c>
      <c r="G52" s="7" t="s">
        <v>3060</v>
      </c>
      <c r="H52" s="28" t="s">
        <v>154</v>
      </c>
      <c r="I52" s="14" t="s">
        <v>3160</v>
      </c>
      <c r="J52" s="14" t="s">
        <v>3100</v>
      </c>
      <c r="K52" s="28" t="s">
        <v>3161</v>
      </c>
      <c r="L52" s="14" t="s">
        <v>39</v>
      </c>
      <c r="M52" s="7" t="s">
        <v>39</v>
      </c>
      <c r="N52" s="32" t="s">
        <v>912</v>
      </c>
      <c r="O52" s="32"/>
      <c r="P52" s="7"/>
      <c r="Q52" s="14"/>
      <c r="R52" s="7" t="s">
        <v>3</v>
      </c>
      <c r="S52" s="47">
        <v>46175</v>
      </c>
      <c r="T52" s="4" t="s">
        <v>3162</v>
      </c>
      <c r="U52" s="178"/>
    </row>
    <row r="53" spans="1:21" s="27" customFormat="1">
      <c r="A53" s="7" t="s">
        <v>3163</v>
      </c>
      <c r="B53" s="7" t="s">
        <v>1796</v>
      </c>
      <c r="C53" s="7" t="s">
        <v>746</v>
      </c>
      <c r="D53" s="7" t="s">
        <v>3019</v>
      </c>
      <c r="E53" s="32" t="s">
        <v>2946</v>
      </c>
      <c r="F53" s="32" t="s">
        <v>12</v>
      </c>
      <c r="G53" s="7" t="s">
        <v>804</v>
      </c>
      <c r="H53" s="28" t="s">
        <v>154</v>
      </c>
      <c r="I53" s="14" t="s">
        <v>3164</v>
      </c>
      <c r="J53" s="14" t="s">
        <v>3165</v>
      </c>
      <c r="K53" s="28" t="s">
        <v>3166</v>
      </c>
      <c r="L53" s="14" t="s">
        <v>39</v>
      </c>
      <c r="M53" s="7" t="s">
        <v>466</v>
      </c>
      <c r="N53" s="32" t="s">
        <v>912</v>
      </c>
      <c r="O53" s="32" t="s">
        <v>1009</v>
      </c>
      <c r="P53" s="32" t="s">
        <v>1017</v>
      </c>
      <c r="Q53" s="14" t="s">
        <v>3123</v>
      </c>
      <c r="R53" s="7" t="s">
        <v>4</v>
      </c>
      <c r="S53" s="7" t="s">
        <v>1658</v>
      </c>
      <c r="T53" s="4" t="s">
        <v>3124</v>
      </c>
      <c r="U53" s="59"/>
    </row>
    <row r="54" spans="1:21" s="27" customFormat="1">
      <c r="A54" s="7" t="s">
        <v>3167</v>
      </c>
      <c r="B54" s="7" t="s">
        <v>1796</v>
      </c>
      <c r="C54" s="7" t="s">
        <v>746</v>
      </c>
      <c r="D54" s="7" t="s">
        <v>3019</v>
      </c>
      <c r="E54" s="32" t="s">
        <v>2946</v>
      </c>
      <c r="F54" s="32" t="s">
        <v>12</v>
      </c>
      <c r="G54" s="7" t="s">
        <v>804</v>
      </c>
      <c r="H54" s="28" t="s">
        <v>154</v>
      </c>
      <c r="I54" s="14" t="s">
        <v>3029</v>
      </c>
      <c r="J54" s="14" t="s">
        <v>3073</v>
      </c>
      <c r="K54" s="28" t="s">
        <v>3168</v>
      </c>
      <c r="L54" s="14" t="s">
        <v>39</v>
      </c>
      <c r="M54" s="7" t="s">
        <v>3169</v>
      </c>
      <c r="N54" s="32" t="s">
        <v>912</v>
      </c>
      <c r="O54" s="32" t="s">
        <v>1009</v>
      </c>
      <c r="P54" s="32" t="s">
        <v>1017</v>
      </c>
      <c r="Q54" s="14" t="s">
        <v>3123</v>
      </c>
      <c r="R54" s="7" t="s">
        <v>4</v>
      </c>
      <c r="S54" s="7" t="s">
        <v>1658</v>
      </c>
      <c r="T54" s="4" t="s">
        <v>3124</v>
      </c>
      <c r="U54" s="59"/>
    </row>
    <row r="55" spans="1:21">
      <c r="A55" s="7" t="s">
        <v>3170</v>
      </c>
      <c r="B55" s="7" t="s">
        <v>1796</v>
      </c>
      <c r="C55" s="7" t="s">
        <v>754</v>
      </c>
      <c r="D55" s="7" t="s">
        <v>906</v>
      </c>
      <c r="E55" s="32" t="s">
        <v>828</v>
      </c>
      <c r="F55" s="32" t="s">
        <v>12</v>
      </c>
      <c r="G55" s="7" t="s">
        <v>907</v>
      </c>
      <c r="H55" s="28" t="s">
        <v>154</v>
      </c>
      <c r="I55" s="14" t="s">
        <v>3171</v>
      </c>
      <c r="J55" s="14" t="s">
        <v>3172</v>
      </c>
      <c r="K55" s="28" t="s">
        <v>3173</v>
      </c>
      <c r="L55" s="14"/>
      <c r="M55" s="7"/>
      <c r="N55" s="32" t="s">
        <v>912</v>
      </c>
      <c r="O55" s="32"/>
      <c r="P55" s="7"/>
      <c r="Q55" s="14"/>
      <c r="R55" s="7" t="s">
        <v>3</v>
      </c>
      <c r="S55" s="7" t="s">
        <v>3174</v>
      </c>
      <c r="T55" s="4" t="s">
        <v>3175</v>
      </c>
      <c r="U55" s="178"/>
    </row>
    <row r="56" spans="1:21">
      <c r="A56" s="7" t="s">
        <v>3176</v>
      </c>
      <c r="B56" s="7" t="s">
        <v>1154</v>
      </c>
      <c r="C56" s="7" t="s">
        <v>746</v>
      </c>
      <c r="D56" s="7" t="s">
        <v>906</v>
      </c>
      <c r="E56" s="32" t="s">
        <v>828</v>
      </c>
      <c r="F56" s="32" t="s">
        <v>12</v>
      </c>
      <c r="G56" s="7" t="s">
        <v>2302</v>
      </c>
      <c r="H56" s="28" t="s">
        <v>58</v>
      </c>
      <c r="I56" s="14" t="s">
        <v>3177</v>
      </c>
      <c r="J56" s="14" t="s">
        <v>2980</v>
      </c>
      <c r="K56" s="28" t="s">
        <v>3178</v>
      </c>
      <c r="L56" s="14" t="s">
        <v>39</v>
      </c>
      <c r="M56" s="7" t="s">
        <v>39</v>
      </c>
      <c r="N56" s="32" t="s">
        <v>912</v>
      </c>
      <c r="O56" s="32"/>
      <c r="P56" s="7"/>
      <c r="Q56" s="14"/>
      <c r="R56" s="7" t="s">
        <v>3</v>
      </c>
      <c r="S56" s="7" t="s">
        <v>2943</v>
      </c>
      <c r="T56" s="4"/>
      <c r="U56" s="178"/>
    </row>
    <row r="57" spans="1:21">
      <c r="A57" s="7" t="s">
        <v>3179</v>
      </c>
      <c r="B57" s="7" t="s">
        <v>1154</v>
      </c>
      <c r="C57" s="7" t="s">
        <v>769</v>
      </c>
      <c r="D57" s="7" t="s">
        <v>906</v>
      </c>
      <c r="E57" s="32" t="s">
        <v>828</v>
      </c>
      <c r="F57" s="32" t="s">
        <v>12</v>
      </c>
      <c r="G57" s="7" t="s">
        <v>1799</v>
      </c>
      <c r="H57" s="28" t="s">
        <v>58</v>
      </c>
      <c r="I57" s="14" t="s">
        <v>3180</v>
      </c>
      <c r="J57" s="14" t="s">
        <v>3181</v>
      </c>
      <c r="K57" s="28" t="s">
        <v>3182</v>
      </c>
      <c r="L57" s="28" t="s">
        <v>3183</v>
      </c>
      <c r="M57" s="7" t="s">
        <v>39</v>
      </c>
      <c r="N57" s="32" t="s">
        <v>912</v>
      </c>
      <c r="O57" s="32"/>
      <c r="P57" s="7"/>
      <c r="Q57" s="14"/>
      <c r="R57" s="7" t="s">
        <v>3</v>
      </c>
      <c r="S57" s="7" t="s">
        <v>2943</v>
      </c>
      <c r="T57" s="4"/>
      <c r="U57" s="178"/>
    </row>
    <row r="58" spans="1:21">
      <c r="A58" s="7" t="s">
        <v>3184</v>
      </c>
      <c r="B58" s="7" t="s">
        <v>1154</v>
      </c>
      <c r="C58" s="7" t="s">
        <v>746</v>
      </c>
      <c r="D58" s="7" t="s">
        <v>906</v>
      </c>
      <c r="E58" s="32" t="s">
        <v>1003</v>
      </c>
      <c r="F58" s="7" t="s">
        <v>16</v>
      </c>
      <c r="G58" s="7" t="s">
        <v>1245</v>
      </c>
      <c r="H58" s="28" t="s">
        <v>58</v>
      </c>
      <c r="I58" s="14" t="s">
        <v>3185</v>
      </c>
      <c r="J58" s="14" t="s">
        <v>3186</v>
      </c>
      <c r="K58" s="28" t="s">
        <v>3187</v>
      </c>
      <c r="L58" s="28" t="s">
        <v>3188</v>
      </c>
      <c r="M58" s="7" t="s">
        <v>39</v>
      </c>
      <c r="N58" s="32" t="s">
        <v>912</v>
      </c>
      <c r="O58" s="32" t="s">
        <v>973</v>
      </c>
      <c r="P58" s="7"/>
      <c r="Q58" s="14"/>
      <c r="R58" s="7" t="s">
        <v>3</v>
      </c>
      <c r="S58" s="7" t="s">
        <v>1164</v>
      </c>
      <c r="T58" s="4" t="s">
        <v>3189</v>
      </c>
      <c r="U58" s="160" t="s">
        <v>1028</v>
      </c>
    </row>
    <row r="59" spans="1:21">
      <c r="A59" s="7" t="s">
        <v>3190</v>
      </c>
      <c r="B59" s="7" t="s">
        <v>1154</v>
      </c>
      <c r="C59" s="7" t="s">
        <v>769</v>
      </c>
      <c r="D59" s="7" t="s">
        <v>906</v>
      </c>
      <c r="E59" s="32" t="s">
        <v>828</v>
      </c>
      <c r="F59" s="32" t="s">
        <v>12</v>
      </c>
      <c r="G59" s="7" t="s">
        <v>1085</v>
      </c>
      <c r="H59" s="28" t="s">
        <v>58</v>
      </c>
      <c r="I59" s="14" t="s">
        <v>3191</v>
      </c>
      <c r="J59" s="14" t="s">
        <v>3192</v>
      </c>
      <c r="K59" s="28" t="s">
        <v>3193</v>
      </c>
      <c r="L59" s="28" t="s">
        <v>3194</v>
      </c>
      <c r="M59" s="7" t="s">
        <v>39</v>
      </c>
      <c r="N59" s="32" t="s">
        <v>912</v>
      </c>
      <c r="O59" s="32"/>
      <c r="P59" s="7"/>
      <c r="Q59" s="14"/>
      <c r="R59" s="7" t="s">
        <v>3</v>
      </c>
      <c r="S59" s="7" t="s">
        <v>2943</v>
      </c>
      <c r="T59" s="4"/>
      <c r="U59" s="178"/>
    </row>
    <row r="60" spans="1:21">
      <c r="A60" s="7" t="s">
        <v>3195</v>
      </c>
      <c r="B60" s="7" t="s">
        <v>1154</v>
      </c>
      <c r="C60" s="7" t="s">
        <v>746</v>
      </c>
      <c r="D60" s="7" t="s">
        <v>906</v>
      </c>
      <c r="E60" s="32" t="s">
        <v>2946</v>
      </c>
      <c r="F60" s="32" t="s">
        <v>12</v>
      </c>
      <c r="G60" s="7" t="s">
        <v>804</v>
      </c>
      <c r="H60" s="28" t="s">
        <v>58</v>
      </c>
      <c r="I60" s="14" t="s">
        <v>3196</v>
      </c>
      <c r="J60" s="14" t="s">
        <v>3197</v>
      </c>
      <c r="K60" s="28" t="s">
        <v>3198</v>
      </c>
      <c r="L60" s="14" t="s">
        <v>39</v>
      </c>
      <c r="M60" s="7" t="s">
        <v>466</v>
      </c>
      <c r="N60" s="32" t="s">
        <v>912</v>
      </c>
      <c r="O60" s="32" t="s">
        <v>1009</v>
      </c>
      <c r="P60" s="7" t="s">
        <v>3199</v>
      </c>
      <c r="Q60" s="14" t="s">
        <v>3200</v>
      </c>
      <c r="R60" s="7" t="s">
        <v>4</v>
      </c>
      <c r="S60" s="7" t="s">
        <v>1658</v>
      </c>
      <c r="T60" s="4" t="s">
        <v>3201</v>
      </c>
      <c r="U60" s="178"/>
    </row>
    <row r="61" spans="1:21">
      <c r="A61" s="7" t="s">
        <v>3202</v>
      </c>
      <c r="B61" s="7" t="s">
        <v>1154</v>
      </c>
      <c r="C61" s="7" t="s">
        <v>754</v>
      </c>
      <c r="D61" s="7" t="s">
        <v>906</v>
      </c>
      <c r="E61" s="32" t="s">
        <v>2946</v>
      </c>
      <c r="F61" s="32" t="s">
        <v>16</v>
      </c>
      <c r="G61" s="7" t="s">
        <v>1076</v>
      </c>
      <c r="H61" s="56" t="s">
        <v>58</v>
      </c>
      <c r="I61" s="14" t="s">
        <v>3203</v>
      </c>
      <c r="J61" s="14" t="s">
        <v>3204</v>
      </c>
      <c r="K61" s="56" t="s">
        <v>3205</v>
      </c>
      <c r="L61" s="14" t="s">
        <v>39</v>
      </c>
      <c r="M61" s="7" t="s">
        <v>466</v>
      </c>
      <c r="N61" s="32" t="s">
        <v>912</v>
      </c>
      <c r="O61" s="33" t="s">
        <v>973</v>
      </c>
      <c r="P61" s="7" t="s">
        <v>1017</v>
      </c>
      <c r="Q61" s="13" t="s">
        <v>3123</v>
      </c>
      <c r="R61" s="7" t="s">
        <v>4</v>
      </c>
      <c r="S61" s="47" t="s">
        <v>1278</v>
      </c>
      <c r="T61" s="14" t="s">
        <v>3206</v>
      </c>
      <c r="U61" s="9" t="s">
        <v>868</v>
      </c>
    </row>
    <row r="62" spans="1:21">
      <c r="A62" s="7" t="s">
        <v>3207</v>
      </c>
      <c r="B62" s="7" t="s">
        <v>1154</v>
      </c>
      <c r="C62" s="7" t="s">
        <v>746</v>
      </c>
      <c r="D62" s="7" t="s">
        <v>906</v>
      </c>
      <c r="E62" s="32" t="s">
        <v>2946</v>
      </c>
      <c r="F62" s="7" t="s">
        <v>16</v>
      </c>
      <c r="G62" s="7" t="s">
        <v>3208</v>
      </c>
      <c r="H62" s="28" t="s">
        <v>58</v>
      </c>
      <c r="I62" s="14" t="s">
        <v>3209</v>
      </c>
      <c r="J62" s="14" t="s">
        <v>3210</v>
      </c>
      <c r="K62" s="28" t="s">
        <v>3211</v>
      </c>
      <c r="L62" s="14" t="s">
        <v>39</v>
      </c>
      <c r="M62" s="7" t="s">
        <v>39</v>
      </c>
      <c r="N62" s="32" t="s">
        <v>912</v>
      </c>
      <c r="O62" s="32" t="s">
        <v>973</v>
      </c>
      <c r="P62" s="7"/>
      <c r="Q62" s="14"/>
      <c r="R62" s="7" t="s">
        <v>3</v>
      </c>
      <c r="S62" s="7" t="s">
        <v>1164</v>
      </c>
      <c r="T62" s="4" t="s">
        <v>3212</v>
      </c>
      <c r="U62" s="160" t="s">
        <v>1028</v>
      </c>
    </row>
    <row r="63" spans="1:21">
      <c r="A63" s="7" t="s">
        <v>3213</v>
      </c>
      <c r="B63" s="7" t="s">
        <v>1154</v>
      </c>
      <c r="C63" s="7" t="s">
        <v>754</v>
      </c>
      <c r="D63" s="7" t="s">
        <v>906</v>
      </c>
      <c r="E63" s="32" t="s">
        <v>828</v>
      </c>
      <c r="F63" s="32" t="s">
        <v>12</v>
      </c>
      <c r="G63" s="7" t="s">
        <v>907</v>
      </c>
      <c r="H63" s="28" t="s">
        <v>58</v>
      </c>
      <c r="I63" s="14" t="s">
        <v>3214</v>
      </c>
      <c r="J63" s="14" t="s">
        <v>3215</v>
      </c>
      <c r="K63" s="28" t="s">
        <v>3216</v>
      </c>
      <c r="L63" s="14" t="s">
        <v>39</v>
      </c>
      <c r="M63" s="7" t="s">
        <v>39</v>
      </c>
      <c r="N63" s="32" t="s">
        <v>912</v>
      </c>
      <c r="O63" s="32" t="s">
        <v>912</v>
      </c>
      <c r="P63" s="7" t="s">
        <v>1028</v>
      </c>
      <c r="Q63" s="14"/>
      <c r="R63" s="7" t="s">
        <v>3</v>
      </c>
      <c r="S63" s="47">
        <v>46144</v>
      </c>
      <c r="T63" s="4" t="s">
        <v>3217</v>
      </c>
      <c r="U63" s="178"/>
    </row>
    <row r="64" spans="1:21">
      <c r="A64" s="7" t="s">
        <v>3218</v>
      </c>
      <c r="B64" s="7" t="s">
        <v>1154</v>
      </c>
      <c r="C64" s="7" t="s">
        <v>754</v>
      </c>
      <c r="D64" s="7" t="s">
        <v>906</v>
      </c>
      <c r="E64" s="32" t="s">
        <v>828</v>
      </c>
      <c r="F64" s="32" t="s">
        <v>12</v>
      </c>
      <c r="G64" s="7" t="s">
        <v>907</v>
      </c>
      <c r="H64" s="28" t="s">
        <v>58</v>
      </c>
      <c r="I64" s="14" t="s">
        <v>3219</v>
      </c>
      <c r="J64" s="14" t="s">
        <v>3220</v>
      </c>
      <c r="K64" s="28" t="s">
        <v>3221</v>
      </c>
      <c r="L64" s="14" t="s">
        <v>39</v>
      </c>
      <c r="M64" s="7" t="s">
        <v>39</v>
      </c>
      <c r="N64" s="32" t="s">
        <v>912</v>
      </c>
      <c r="O64" s="32" t="s">
        <v>912</v>
      </c>
      <c r="P64" s="7" t="s">
        <v>1028</v>
      </c>
      <c r="Q64" s="32" t="s">
        <v>1028</v>
      </c>
      <c r="R64" s="7" t="s">
        <v>3</v>
      </c>
      <c r="S64" s="7" t="s">
        <v>1658</v>
      </c>
      <c r="T64" s="4" t="s">
        <v>3222</v>
      </c>
      <c r="U64" s="178"/>
    </row>
    <row r="65" spans="1:21">
      <c r="A65" s="7" t="s">
        <v>3223</v>
      </c>
      <c r="B65" s="7" t="s">
        <v>1154</v>
      </c>
      <c r="C65" s="7" t="s">
        <v>754</v>
      </c>
      <c r="D65" s="7" t="s">
        <v>906</v>
      </c>
      <c r="E65" s="32" t="s">
        <v>828</v>
      </c>
      <c r="F65" s="32" t="s">
        <v>12</v>
      </c>
      <c r="G65" s="7" t="s">
        <v>907</v>
      </c>
      <c r="H65" s="56" t="s">
        <v>58</v>
      </c>
      <c r="I65" s="14" t="s">
        <v>3224</v>
      </c>
      <c r="J65" s="14" t="s">
        <v>3225</v>
      </c>
      <c r="K65" s="56" t="s">
        <v>3226</v>
      </c>
      <c r="L65" s="14" t="s">
        <v>39</v>
      </c>
      <c r="M65" s="7" t="s">
        <v>39</v>
      </c>
      <c r="N65" s="32" t="s">
        <v>912</v>
      </c>
      <c r="O65" s="32" t="s">
        <v>912</v>
      </c>
      <c r="P65" s="7" t="s">
        <v>1028</v>
      </c>
      <c r="Q65" s="14" t="s">
        <v>3227</v>
      </c>
      <c r="R65" s="7" t="s">
        <v>3</v>
      </c>
      <c r="S65" s="47">
        <v>46145</v>
      </c>
      <c r="T65" s="4" t="s">
        <v>3228</v>
      </c>
      <c r="U65" s="178"/>
    </row>
    <row r="66" spans="1:21">
      <c r="A66" s="7" t="s">
        <v>3229</v>
      </c>
      <c r="B66" s="7" t="s">
        <v>1154</v>
      </c>
      <c r="C66" s="7" t="s">
        <v>746</v>
      </c>
      <c r="D66" s="7" t="s">
        <v>906</v>
      </c>
      <c r="E66" s="32" t="s">
        <v>2946</v>
      </c>
      <c r="F66" s="7" t="s">
        <v>16</v>
      </c>
      <c r="G66" s="7" t="s">
        <v>1076</v>
      </c>
      <c r="H66" s="28" t="s">
        <v>58</v>
      </c>
      <c r="I66" s="14" t="s">
        <v>3230</v>
      </c>
      <c r="J66" s="14" t="s">
        <v>3231</v>
      </c>
      <c r="K66" s="28" t="s">
        <v>3232</v>
      </c>
      <c r="L66" s="14" t="s">
        <v>39</v>
      </c>
      <c r="M66" s="7" t="s">
        <v>39</v>
      </c>
      <c r="N66" s="32" t="s">
        <v>912</v>
      </c>
      <c r="O66" s="32" t="s">
        <v>973</v>
      </c>
      <c r="P66" s="7"/>
      <c r="Q66" s="14"/>
      <c r="R66" s="7" t="s">
        <v>4</v>
      </c>
      <c r="S66" s="89" t="s">
        <v>1089</v>
      </c>
      <c r="T66" s="49" t="s">
        <v>3233</v>
      </c>
      <c r="U66" s="9" t="s">
        <v>868</v>
      </c>
    </row>
    <row r="67" spans="1:21">
      <c r="A67" s="7" t="s">
        <v>3234</v>
      </c>
      <c r="B67" s="7" t="s">
        <v>1154</v>
      </c>
      <c r="C67" s="7" t="s">
        <v>769</v>
      </c>
      <c r="D67" s="7" t="s">
        <v>906</v>
      </c>
      <c r="E67" s="32" t="s">
        <v>1003</v>
      </c>
      <c r="F67" s="32" t="s">
        <v>12</v>
      </c>
      <c r="G67" s="7" t="s">
        <v>1085</v>
      </c>
      <c r="H67" s="28" t="s">
        <v>58</v>
      </c>
      <c r="I67" s="14" t="s">
        <v>3235</v>
      </c>
      <c r="J67" s="14" t="s">
        <v>3236</v>
      </c>
      <c r="K67" s="28" t="s">
        <v>3237</v>
      </c>
      <c r="L67" s="14" t="s">
        <v>39</v>
      </c>
      <c r="M67" s="7" t="s">
        <v>39</v>
      </c>
      <c r="N67" s="32" t="s">
        <v>912</v>
      </c>
      <c r="O67" s="32"/>
      <c r="P67" s="7"/>
      <c r="Q67" s="32"/>
      <c r="R67" s="7" t="s">
        <v>3</v>
      </c>
      <c r="S67" s="7" t="s">
        <v>2943</v>
      </c>
      <c r="T67" s="4"/>
      <c r="U67" s="178"/>
    </row>
    <row r="68" spans="1:21">
      <c r="A68" s="7" t="s">
        <v>3238</v>
      </c>
      <c r="B68" s="7" t="s">
        <v>1154</v>
      </c>
      <c r="C68" s="7" t="s">
        <v>746</v>
      </c>
      <c r="D68" s="7" t="s">
        <v>906</v>
      </c>
      <c r="E68" s="32" t="s">
        <v>828</v>
      </c>
      <c r="F68" s="32" t="s">
        <v>12</v>
      </c>
      <c r="G68" s="7" t="s">
        <v>907</v>
      </c>
      <c r="H68" s="28" t="s">
        <v>58</v>
      </c>
      <c r="I68" s="14" t="s">
        <v>3239</v>
      </c>
      <c r="J68" s="14" t="s">
        <v>3240</v>
      </c>
      <c r="K68" s="28" t="s">
        <v>3241</v>
      </c>
      <c r="L68" s="14" t="s">
        <v>39</v>
      </c>
      <c r="M68" s="7" t="s">
        <v>39</v>
      </c>
      <c r="N68" s="32" t="s">
        <v>912</v>
      </c>
      <c r="O68" s="32"/>
      <c r="P68" s="7"/>
      <c r="Q68" s="32"/>
      <c r="R68" s="7" t="s">
        <v>3</v>
      </c>
      <c r="S68" s="47">
        <v>46267</v>
      </c>
      <c r="T68" s="4" t="s">
        <v>3242</v>
      </c>
      <c r="U68" s="178"/>
    </row>
    <row r="69" spans="1:21">
      <c r="A69" s="7" t="s">
        <v>3243</v>
      </c>
      <c r="B69" s="7" t="s">
        <v>1154</v>
      </c>
      <c r="C69" s="7" t="s">
        <v>754</v>
      </c>
      <c r="D69" s="7" t="s">
        <v>906</v>
      </c>
      <c r="E69" s="32" t="s">
        <v>828</v>
      </c>
      <c r="F69" s="32" t="s">
        <v>12</v>
      </c>
      <c r="G69" s="7" t="s">
        <v>907</v>
      </c>
      <c r="H69" s="28" t="s">
        <v>58</v>
      </c>
      <c r="I69" s="14" t="s">
        <v>3244</v>
      </c>
      <c r="J69" s="14" t="s">
        <v>3245</v>
      </c>
      <c r="K69" s="28" t="s">
        <v>3246</v>
      </c>
      <c r="L69" s="14" t="s">
        <v>39</v>
      </c>
      <c r="M69" s="7" t="s">
        <v>39</v>
      </c>
      <c r="N69" s="32" t="s">
        <v>912</v>
      </c>
      <c r="O69" s="32"/>
      <c r="P69" s="7"/>
      <c r="Q69" s="32"/>
      <c r="R69" s="7" t="s">
        <v>3</v>
      </c>
      <c r="S69" s="47">
        <v>46267</v>
      </c>
      <c r="T69" s="4" t="s">
        <v>3242</v>
      </c>
      <c r="U69" s="178"/>
    </row>
    <row r="70" spans="1:21">
      <c r="A70" s="7" t="s">
        <v>3247</v>
      </c>
      <c r="B70" s="7" t="s">
        <v>1154</v>
      </c>
      <c r="C70" s="7" t="s">
        <v>746</v>
      </c>
      <c r="D70" s="7" t="s">
        <v>906</v>
      </c>
      <c r="E70" s="32" t="s">
        <v>828</v>
      </c>
      <c r="F70" s="32" t="s">
        <v>12</v>
      </c>
      <c r="G70" s="7" t="s">
        <v>907</v>
      </c>
      <c r="H70" s="28" t="s">
        <v>58</v>
      </c>
      <c r="I70" s="14" t="s">
        <v>3248</v>
      </c>
      <c r="J70" s="14" t="s">
        <v>3249</v>
      </c>
      <c r="K70" s="28" t="s">
        <v>3250</v>
      </c>
      <c r="L70" s="14" t="s">
        <v>39</v>
      </c>
      <c r="M70" s="7" t="s">
        <v>39</v>
      </c>
      <c r="N70" s="32" t="s">
        <v>912</v>
      </c>
      <c r="O70" s="32"/>
      <c r="P70" s="7"/>
      <c r="Q70" s="32"/>
      <c r="R70" s="7" t="s">
        <v>3</v>
      </c>
      <c r="S70" s="47">
        <v>46267</v>
      </c>
      <c r="T70" s="4" t="s">
        <v>3242</v>
      </c>
      <c r="U70" s="178"/>
    </row>
    <row r="71" spans="1:21">
      <c r="A71" s="7" t="s">
        <v>3251</v>
      </c>
      <c r="B71" s="7" t="s">
        <v>1154</v>
      </c>
      <c r="C71" s="7" t="s">
        <v>746</v>
      </c>
      <c r="D71" s="7" t="s">
        <v>906</v>
      </c>
      <c r="E71" s="32" t="s">
        <v>828</v>
      </c>
      <c r="F71" s="32" t="s">
        <v>12</v>
      </c>
      <c r="G71" s="7" t="s">
        <v>1013</v>
      </c>
      <c r="H71" s="28" t="s">
        <v>58</v>
      </c>
      <c r="I71" s="14" t="s">
        <v>3252</v>
      </c>
      <c r="J71" s="14" t="s">
        <v>3253</v>
      </c>
      <c r="K71" s="28" t="s">
        <v>3254</v>
      </c>
      <c r="L71" s="14" t="s">
        <v>39</v>
      </c>
      <c r="M71" s="7" t="s">
        <v>39</v>
      </c>
      <c r="N71" s="32" t="s">
        <v>912</v>
      </c>
      <c r="O71" s="32"/>
      <c r="P71" s="7"/>
      <c r="Q71" s="32"/>
      <c r="R71" s="7" t="s">
        <v>3</v>
      </c>
      <c r="S71" s="7" t="s">
        <v>2943</v>
      </c>
      <c r="T71" s="4"/>
      <c r="U71" s="178"/>
    </row>
    <row r="72" spans="1:21">
      <c r="A72" s="7" t="s">
        <v>3255</v>
      </c>
      <c r="B72" s="7" t="s">
        <v>1154</v>
      </c>
      <c r="C72" s="7" t="s">
        <v>746</v>
      </c>
      <c r="D72" s="7" t="s">
        <v>906</v>
      </c>
      <c r="E72" s="32" t="s">
        <v>828</v>
      </c>
      <c r="F72" s="32" t="s">
        <v>12</v>
      </c>
      <c r="G72" s="7" t="s">
        <v>1182</v>
      </c>
      <c r="H72" s="28" t="s">
        <v>58</v>
      </c>
      <c r="I72" s="14" t="s">
        <v>3256</v>
      </c>
      <c r="J72" s="14" t="s">
        <v>3257</v>
      </c>
      <c r="K72" s="28" t="s">
        <v>3258</v>
      </c>
      <c r="L72" s="14" t="s">
        <v>39</v>
      </c>
      <c r="M72" s="7" t="s">
        <v>39</v>
      </c>
      <c r="N72" s="32" t="s">
        <v>912</v>
      </c>
      <c r="O72" s="32"/>
      <c r="P72" s="7"/>
      <c r="Q72" s="32"/>
      <c r="R72" s="7" t="s">
        <v>3</v>
      </c>
      <c r="S72" s="47" t="s">
        <v>2943</v>
      </c>
      <c r="T72" s="4"/>
      <c r="U72" s="178"/>
    </row>
    <row r="73" spans="1:21">
      <c r="A73" s="7" t="s">
        <v>3259</v>
      </c>
      <c r="B73" s="7" t="s">
        <v>1154</v>
      </c>
      <c r="C73" s="7" t="s">
        <v>754</v>
      </c>
      <c r="D73" s="7" t="s">
        <v>906</v>
      </c>
      <c r="E73" s="32" t="s">
        <v>828</v>
      </c>
      <c r="F73" s="32" t="s">
        <v>12</v>
      </c>
      <c r="G73" s="7" t="s">
        <v>907</v>
      </c>
      <c r="H73" s="28" t="s">
        <v>58</v>
      </c>
      <c r="I73" s="14" t="s">
        <v>3260</v>
      </c>
      <c r="J73" s="14" t="s">
        <v>3261</v>
      </c>
      <c r="K73" s="28" t="s">
        <v>3262</v>
      </c>
      <c r="L73" s="14" t="s">
        <v>39</v>
      </c>
      <c r="M73" s="7" t="s">
        <v>39</v>
      </c>
      <c r="N73" s="32" t="s">
        <v>912</v>
      </c>
      <c r="O73" s="32"/>
      <c r="P73" s="7"/>
      <c r="Q73" s="32"/>
      <c r="R73" s="7" t="s">
        <v>3</v>
      </c>
      <c r="S73" s="47">
        <v>46267</v>
      </c>
      <c r="T73" s="4" t="s">
        <v>3242</v>
      </c>
      <c r="U73" s="178"/>
    </row>
    <row r="74" spans="1:21">
      <c r="A74" s="7" t="s">
        <v>3263</v>
      </c>
      <c r="B74" s="7" t="s">
        <v>1154</v>
      </c>
      <c r="C74" s="7" t="s">
        <v>754</v>
      </c>
      <c r="D74" s="7" t="s">
        <v>906</v>
      </c>
      <c r="E74" s="32" t="s">
        <v>828</v>
      </c>
      <c r="F74" s="32" t="s">
        <v>12</v>
      </c>
      <c r="G74" s="7" t="s">
        <v>907</v>
      </c>
      <c r="H74" s="28" t="s">
        <v>58</v>
      </c>
      <c r="I74" s="14" t="s">
        <v>3264</v>
      </c>
      <c r="J74" s="14" t="s">
        <v>3265</v>
      </c>
      <c r="K74" s="28" t="s">
        <v>3266</v>
      </c>
      <c r="L74" s="14" t="s">
        <v>39</v>
      </c>
      <c r="M74" s="7" t="s">
        <v>39</v>
      </c>
      <c r="N74" s="32" t="s">
        <v>912</v>
      </c>
      <c r="O74" s="32"/>
      <c r="P74" s="7"/>
      <c r="Q74" s="32"/>
      <c r="R74" s="7" t="s">
        <v>3</v>
      </c>
      <c r="S74" s="47">
        <v>46267</v>
      </c>
      <c r="T74" s="4" t="s">
        <v>3242</v>
      </c>
      <c r="U74" s="178"/>
    </row>
    <row r="75" spans="1:21">
      <c r="A75" s="7" t="s">
        <v>3267</v>
      </c>
      <c r="B75" s="7" t="s">
        <v>1154</v>
      </c>
      <c r="C75" s="7" t="s">
        <v>746</v>
      </c>
      <c r="D75" s="7" t="s">
        <v>906</v>
      </c>
      <c r="E75" s="32" t="s">
        <v>828</v>
      </c>
      <c r="F75" s="32" t="s">
        <v>12</v>
      </c>
      <c r="G75" s="7" t="s">
        <v>907</v>
      </c>
      <c r="H75" s="28" t="s">
        <v>58</v>
      </c>
      <c r="I75" s="14" t="s">
        <v>3268</v>
      </c>
      <c r="J75" s="14" t="s">
        <v>3269</v>
      </c>
      <c r="K75" s="28" t="s">
        <v>3270</v>
      </c>
      <c r="L75" s="28" t="s">
        <v>3271</v>
      </c>
      <c r="M75" s="7" t="s">
        <v>39</v>
      </c>
      <c r="N75" s="32" t="s">
        <v>912</v>
      </c>
      <c r="O75" s="32" t="s">
        <v>3272</v>
      </c>
      <c r="P75" s="7" t="s">
        <v>3273</v>
      </c>
      <c r="Q75" s="14" t="s">
        <v>3274</v>
      </c>
      <c r="R75" s="7" t="s">
        <v>3</v>
      </c>
      <c r="S75" s="47">
        <v>46267</v>
      </c>
      <c r="T75" s="4" t="s">
        <v>3275</v>
      </c>
      <c r="U75" s="178"/>
    </row>
    <row r="76" spans="1:21">
      <c r="A76" s="7" t="s">
        <v>3276</v>
      </c>
      <c r="B76" s="7" t="s">
        <v>1154</v>
      </c>
      <c r="C76" s="7" t="s">
        <v>746</v>
      </c>
      <c r="D76" s="7" t="s">
        <v>906</v>
      </c>
      <c r="E76" s="32" t="s">
        <v>828</v>
      </c>
      <c r="F76" s="32" t="s">
        <v>12</v>
      </c>
      <c r="G76" s="7" t="s">
        <v>870</v>
      </c>
      <c r="H76" s="28" t="s">
        <v>70</v>
      </c>
      <c r="I76" s="14" t="s">
        <v>3277</v>
      </c>
      <c r="J76" s="61" t="s">
        <v>3278</v>
      </c>
      <c r="K76" s="28" t="s">
        <v>3279</v>
      </c>
      <c r="L76" s="14" t="s">
        <v>39</v>
      </c>
      <c r="M76" s="7" t="s">
        <v>39</v>
      </c>
      <c r="N76" s="32" t="s">
        <v>912</v>
      </c>
      <c r="O76" s="32"/>
      <c r="P76" s="7"/>
      <c r="Q76" s="32"/>
      <c r="R76" s="7" t="s">
        <v>3</v>
      </c>
      <c r="S76" s="7" t="s">
        <v>1154</v>
      </c>
      <c r="T76" s="4"/>
      <c r="U76" s="178"/>
    </row>
    <row r="77" spans="1:21">
      <c r="A77" s="7" t="s">
        <v>3280</v>
      </c>
      <c r="B77" s="7" t="s">
        <v>1154</v>
      </c>
      <c r="C77" s="7" t="s">
        <v>746</v>
      </c>
      <c r="D77" s="7" t="s">
        <v>906</v>
      </c>
      <c r="E77" s="32" t="s">
        <v>828</v>
      </c>
      <c r="F77" s="32" t="s">
        <v>12</v>
      </c>
      <c r="G77" s="7" t="s">
        <v>1085</v>
      </c>
      <c r="H77" s="28" t="s">
        <v>70</v>
      </c>
      <c r="I77" s="14" t="s">
        <v>3281</v>
      </c>
      <c r="J77" s="14" t="s">
        <v>3282</v>
      </c>
      <c r="K77" s="28" t="s">
        <v>3283</v>
      </c>
      <c r="L77" s="14" t="s">
        <v>39</v>
      </c>
      <c r="M77" s="7" t="s">
        <v>39</v>
      </c>
      <c r="N77" s="32" t="s">
        <v>912</v>
      </c>
      <c r="O77" s="32"/>
      <c r="P77" s="7"/>
      <c r="Q77" s="32"/>
      <c r="R77" s="7" t="s">
        <v>3</v>
      </c>
      <c r="S77" s="7" t="s">
        <v>3174</v>
      </c>
      <c r="T77" s="4" t="s">
        <v>3175</v>
      </c>
      <c r="U77" s="178"/>
    </row>
    <row r="78" spans="1:21">
      <c r="A78" s="7" t="s">
        <v>3284</v>
      </c>
      <c r="B78" s="7" t="s">
        <v>1154</v>
      </c>
      <c r="C78" s="7" t="s">
        <v>754</v>
      </c>
      <c r="D78" s="7" t="s">
        <v>906</v>
      </c>
      <c r="E78" s="32" t="s">
        <v>828</v>
      </c>
      <c r="F78" s="32" t="s">
        <v>12</v>
      </c>
      <c r="G78" s="7" t="s">
        <v>907</v>
      </c>
      <c r="H78" s="28" t="s">
        <v>70</v>
      </c>
      <c r="I78" s="14" t="s">
        <v>3285</v>
      </c>
      <c r="J78" s="14" t="s">
        <v>3286</v>
      </c>
      <c r="K78" s="28" t="s">
        <v>3287</v>
      </c>
      <c r="L78" s="14" t="s">
        <v>39</v>
      </c>
      <c r="M78" s="7" t="s">
        <v>39</v>
      </c>
      <c r="N78" s="32" t="s">
        <v>912</v>
      </c>
      <c r="O78" s="32"/>
      <c r="P78" s="7"/>
      <c r="Q78" s="32"/>
      <c r="R78" s="7" t="s">
        <v>3</v>
      </c>
      <c r="S78" s="47">
        <v>46267</v>
      </c>
      <c r="T78" s="4" t="s">
        <v>3150</v>
      </c>
      <c r="U78" s="178"/>
    </row>
    <row r="79" spans="1:21">
      <c r="A79" s="7" t="s">
        <v>3288</v>
      </c>
      <c r="B79" s="7" t="s">
        <v>1154</v>
      </c>
      <c r="C79" s="7" t="s">
        <v>746</v>
      </c>
      <c r="D79" s="7" t="s">
        <v>906</v>
      </c>
      <c r="E79" s="32" t="s">
        <v>828</v>
      </c>
      <c r="F79" s="32" t="s">
        <v>12</v>
      </c>
      <c r="G79" s="7" t="s">
        <v>1013</v>
      </c>
      <c r="H79" s="28" t="s">
        <v>70</v>
      </c>
      <c r="I79" s="14" t="s">
        <v>3252</v>
      </c>
      <c r="J79" s="14" t="s">
        <v>3253</v>
      </c>
      <c r="K79" s="28" t="s">
        <v>3289</v>
      </c>
      <c r="L79" s="14" t="s">
        <v>39</v>
      </c>
      <c r="M79" s="7" t="s">
        <v>39</v>
      </c>
      <c r="N79" s="32" t="s">
        <v>912</v>
      </c>
      <c r="O79" s="32"/>
      <c r="P79" s="7"/>
      <c r="Q79" s="32"/>
      <c r="R79" s="7" t="s">
        <v>3</v>
      </c>
      <c r="S79" s="7" t="s">
        <v>3174</v>
      </c>
      <c r="T79" s="4" t="s">
        <v>3175</v>
      </c>
      <c r="U79" s="178"/>
    </row>
    <row r="80" spans="1:21">
      <c r="A80" s="7" t="s">
        <v>3290</v>
      </c>
      <c r="B80" s="7" t="s">
        <v>1154</v>
      </c>
      <c r="C80" s="7" t="s">
        <v>746</v>
      </c>
      <c r="D80" s="7" t="s">
        <v>906</v>
      </c>
      <c r="E80" s="32" t="s">
        <v>828</v>
      </c>
      <c r="F80" s="32" t="s">
        <v>12</v>
      </c>
      <c r="G80" s="7" t="s">
        <v>1182</v>
      </c>
      <c r="H80" s="28" t="s">
        <v>70</v>
      </c>
      <c r="I80" s="14" t="s">
        <v>3256</v>
      </c>
      <c r="J80" s="14" t="s">
        <v>3257</v>
      </c>
      <c r="K80" s="28" t="s">
        <v>3291</v>
      </c>
      <c r="L80" s="14" t="s">
        <v>39</v>
      </c>
      <c r="M80" s="7" t="s">
        <v>39</v>
      </c>
      <c r="N80" s="32" t="s">
        <v>912</v>
      </c>
      <c r="O80" s="32"/>
      <c r="P80" s="7"/>
      <c r="Q80" s="32"/>
      <c r="R80" s="7" t="s">
        <v>3</v>
      </c>
      <c r="S80" s="7" t="s">
        <v>2943</v>
      </c>
      <c r="T80" s="4"/>
      <c r="U80" s="178"/>
    </row>
    <row r="81" spans="1:21">
      <c r="A81" s="7" t="s">
        <v>3292</v>
      </c>
      <c r="B81" s="7" t="s">
        <v>1154</v>
      </c>
      <c r="C81" s="7" t="s">
        <v>746</v>
      </c>
      <c r="D81" s="7" t="s">
        <v>906</v>
      </c>
      <c r="E81" s="32" t="s">
        <v>828</v>
      </c>
      <c r="F81" s="32" t="s">
        <v>12</v>
      </c>
      <c r="G81" s="7" t="s">
        <v>2302</v>
      </c>
      <c r="H81" s="28" t="s">
        <v>70</v>
      </c>
      <c r="I81" s="14" t="s">
        <v>3177</v>
      </c>
      <c r="J81" s="14" t="s">
        <v>3293</v>
      </c>
      <c r="K81" s="28" t="s">
        <v>3294</v>
      </c>
      <c r="L81" s="14" t="s">
        <v>39</v>
      </c>
      <c r="M81" s="7" t="s">
        <v>39</v>
      </c>
      <c r="N81" s="32" t="s">
        <v>912</v>
      </c>
      <c r="O81" s="32"/>
      <c r="P81" s="7"/>
      <c r="Q81" s="32"/>
      <c r="R81" s="7" t="s">
        <v>3</v>
      </c>
      <c r="S81" s="7" t="s">
        <v>2943</v>
      </c>
      <c r="T81" s="4"/>
      <c r="U81" s="178"/>
    </row>
    <row r="82" spans="1:21">
      <c r="A82" s="7" t="s">
        <v>3295</v>
      </c>
      <c r="B82" s="7" t="s">
        <v>1154</v>
      </c>
      <c r="C82" s="7" t="s">
        <v>769</v>
      </c>
      <c r="D82" s="7" t="s">
        <v>906</v>
      </c>
      <c r="E82" s="32" t="s">
        <v>1003</v>
      </c>
      <c r="F82" s="32" t="s">
        <v>12</v>
      </c>
      <c r="G82" s="7" t="s">
        <v>1085</v>
      </c>
      <c r="H82" s="28" t="s">
        <v>70</v>
      </c>
      <c r="I82" s="14" t="s">
        <v>3296</v>
      </c>
      <c r="J82" s="14" t="s">
        <v>3297</v>
      </c>
      <c r="K82" s="28" t="s">
        <v>3298</v>
      </c>
      <c r="L82" s="14" t="s">
        <v>39</v>
      </c>
      <c r="M82" s="7" t="s">
        <v>39</v>
      </c>
      <c r="N82" s="32" t="s">
        <v>912</v>
      </c>
      <c r="O82" s="32"/>
      <c r="P82" s="7"/>
      <c r="Q82" s="32"/>
      <c r="R82" s="7" t="s">
        <v>3</v>
      </c>
      <c r="S82" s="7" t="s">
        <v>2943</v>
      </c>
      <c r="T82" s="4"/>
      <c r="U82" s="178"/>
    </row>
    <row r="83" spans="1:21">
      <c r="A83" s="7" t="s">
        <v>3299</v>
      </c>
      <c r="B83" s="7" t="s">
        <v>1154</v>
      </c>
      <c r="C83" s="7" t="s">
        <v>769</v>
      </c>
      <c r="D83" s="7" t="s">
        <v>906</v>
      </c>
      <c r="E83" s="32" t="s">
        <v>828</v>
      </c>
      <c r="F83" s="32" t="s">
        <v>12</v>
      </c>
      <c r="G83" s="7" t="s">
        <v>1799</v>
      </c>
      <c r="H83" s="28" t="s">
        <v>70</v>
      </c>
      <c r="I83" s="14" t="s">
        <v>3180</v>
      </c>
      <c r="J83" s="14" t="s">
        <v>3181</v>
      </c>
      <c r="K83" s="28" t="s">
        <v>3182</v>
      </c>
      <c r="L83" s="28" t="s">
        <v>3183</v>
      </c>
      <c r="M83" s="7" t="s">
        <v>39</v>
      </c>
      <c r="N83" s="32" t="s">
        <v>912</v>
      </c>
      <c r="O83" s="32"/>
      <c r="P83" s="7"/>
      <c r="Q83" s="32"/>
      <c r="R83" s="7" t="s">
        <v>3</v>
      </c>
      <c r="S83" s="7" t="s">
        <v>2943</v>
      </c>
      <c r="T83" s="4"/>
      <c r="U83" s="178"/>
    </row>
    <row r="84" spans="1:21">
      <c r="A84" s="7" t="s">
        <v>3300</v>
      </c>
      <c r="B84" s="7" t="s">
        <v>1154</v>
      </c>
      <c r="C84" s="7" t="s">
        <v>746</v>
      </c>
      <c r="D84" s="7" t="s">
        <v>906</v>
      </c>
      <c r="E84" s="32" t="s">
        <v>1003</v>
      </c>
      <c r="F84" s="7" t="s">
        <v>16</v>
      </c>
      <c r="G84" s="7" t="s">
        <v>1245</v>
      </c>
      <c r="H84" s="28" t="s">
        <v>70</v>
      </c>
      <c r="I84" s="14" t="s">
        <v>3185</v>
      </c>
      <c r="J84" s="14" t="s">
        <v>3186</v>
      </c>
      <c r="K84" s="28" t="s">
        <v>3301</v>
      </c>
      <c r="L84" s="14" t="s">
        <v>39</v>
      </c>
      <c r="M84" s="7" t="s">
        <v>39</v>
      </c>
      <c r="N84" s="32" t="s">
        <v>912</v>
      </c>
      <c r="O84" s="32" t="s">
        <v>973</v>
      </c>
      <c r="P84" s="7"/>
      <c r="Q84" s="32"/>
      <c r="R84" s="7" t="s">
        <v>3</v>
      </c>
      <c r="S84" s="47" t="s">
        <v>1164</v>
      </c>
      <c r="T84" s="4" t="s">
        <v>3302</v>
      </c>
      <c r="U84" s="160" t="s">
        <v>1028</v>
      </c>
    </row>
    <row r="85" spans="1:21">
      <c r="A85" s="7" t="s">
        <v>3303</v>
      </c>
      <c r="B85" s="7" t="s">
        <v>1154</v>
      </c>
      <c r="C85" s="7" t="s">
        <v>769</v>
      </c>
      <c r="D85" s="7" t="s">
        <v>906</v>
      </c>
      <c r="E85" s="32" t="s">
        <v>828</v>
      </c>
      <c r="F85" s="32" t="s">
        <v>12</v>
      </c>
      <c r="G85" s="7" t="s">
        <v>1085</v>
      </c>
      <c r="H85" s="28" t="s">
        <v>70</v>
      </c>
      <c r="I85" s="14" t="s">
        <v>3191</v>
      </c>
      <c r="J85" s="14" t="s">
        <v>3192</v>
      </c>
      <c r="K85" s="28" t="s">
        <v>3304</v>
      </c>
      <c r="L85" s="28" t="s">
        <v>3305</v>
      </c>
      <c r="M85" s="7" t="s">
        <v>39</v>
      </c>
      <c r="N85" s="32" t="s">
        <v>912</v>
      </c>
      <c r="O85" s="32"/>
      <c r="P85" s="7"/>
      <c r="Q85" s="32"/>
      <c r="R85" s="7" t="s">
        <v>3</v>
      </c>
      <c r="S85" s="7" t="s">
        <v>2943</v>
      </c>
      <c r="T85" s="4"/>
      <c r="U85" s="178"/>
    </row>
    <row r="86" spans="1:21">
      <c r="A86" s="7" t="s">
        <v>3306</v>
      </c>
      <c r="B86" s="7" t="s">
        <v>1154</v>
      </c>
      <c r="C86" s="7" t="s">
        <v>754</v>
      </c>
      <c r="D86" s="7" t="s">
        <v>906</v>
      </c>
      <c r="E86" s="32" t="s">
        <v>828</v>
      </c>
      <c r="F86" s="7" t="s">
        <v>16</v>
      </c>
      <c r="G86" s="7" t="s">
        <v>2276</v>
      </c>
      <c r="H86" s="28" t="s">
        <v>70</v>
      </c>
      <c r="I86" s="14" t="s">
        <v>3307</v>
      </c>
      <c r="J86" s="14" t="s">
        <v>3308</v>
      </c>
      <c r="K86" s="28" t="s">
        <v>3309</v>
      </c>
      <c r="L86" s="28" t="s">
        <v>3310</v>
      </c>
      <c r="M86" s="7" t="s">
        <v>39</v>
      </c>
      <c r="N86" s="32" t="s">
        <v>912</v>
      </c>
      <c r="O86" s="32" t="s">
        <v>973</v>
      </c>
      <c r="P86" s="7"/>
      <c r="Q86" s="32"/>
      <c r="R86" s="7" t="s">
        <v>3</v>
      </c>
      <c r="S86" s="7" t="s">
        <v>1089</v>
      </c>
      <c r="T86" s="4" t="s">
        <v>3311</v>
      </c>
      <c r="U86" s="160" t="s">
        <v>868</v>
      </c>
    </row>
    <row r="87" spans="1:21">
      <c r="A87" s="7" t="s">
        <v>3312</v>
      </c>
      <c r="B87" s="7" t="s">
        <v>1154</v>
      </c>
      <c r="C87" s="7" t="s">
        <v>746</v>
      </c>
      <c r="D87" s="7" t="s">
        <v>906</v>
      </c>
      <c r="E87" s="32" t="s">
        <v>828</v>
      </c>
      <c r="F87" s="32" t="s">
        <v>12</v>
      </c>
      <c r="G87" s="7" t="s">
        <v>1182</v>
      </c>
      <c r="H87" s="28" t="s">
        <v>58</v>
      </c>
      <c r="I87" s="14" t="s">
        <v>3313</v>
      </c>
      <c r="J87" s="14" t="s">
        <v>3314</v>
      </c>
      <c r="K87" s="28" t="s">
        <v>3315</v>
      </c>
      <c r="L87" s="28" t="s">
        <v>3316</v>
      </c>
      <c r="M87" s="7" t="s">
        <v>39</v>
      </c>
      <c r="N87" s="32" t="s">
        <v>912</v>
      </c>
      <c r="O87" s="32"/>
      <c r="P87" s="7"/>
      <c r="Q87" s="32"/>
      <c r="R87" s="7" t="s">
        <v>3</v>
      </c>
      <c r="S87" s="7" t="s">
        <v>2943</v>
      </c>
      <c r="T87" s="4"/>
      <c r="U87" s="178"/>
    </row>
    <row r="88" spans="1:21">
      <c r="A88" s="7" t="s">
        <v>3317</v>
      </c>
      <c r="B88" s="7" t="s">
        <v>1154</v>
      </c>
      <c r="C88" s="7" t="s">
        <v>746</v>
      </c>
      <c r="D88" s="7" t="s">
        <v>906</v>
      </c>
      <c r="E88" s="32" t="s">
        <v>828</v>
      </c>
      <c r="F88" s="32" t="s">
        <v>12</v>
      </c>
      <c r="G88" s="7" t="s">
        <v>1182</v>
      </c>
      <c r="H88" s="28" t="s">
        <v>70</v>
      </c>
      <c r="I88" s="14" t="s">
        <v>3313</v>
      </c>
      <c r="J88" s="14" t="s">
        <v>3318</v>
      </c>
      <c r="K88" s="28" t="s">
        <v>3319</v>
      </c>
      <c r="L88" s="28" t="s">
        <v>3320</v>
      </c>
      <c r="M88" s="7" t="s">
        <v>39</v>
      </c>
      <c r="N88" s="32" t="s">
        <v>912</v>
      </c>
      <c r="O88" s="32" t="s">
        <v>912</v>
      </c>
      <c r="P88" s="7" t="s">
        <v>1017</v>
      </c>
      <c r="Q88" s="14" t="s">
        <v>3321</v>
      </c>
      <c r="R88" s="7" t="s">
        <v>3</v>
      </c>
      <c r="S88" s="47">
        <v>46144</v>
      </c>
      <c r="T88" s="4" t="s">
        <v>3322</v>
      </c>
      <c r="U88" s="178"/>
    </row>
    <row r="89" spans="1:21">
      <c r="A89" s="7" t="s">
        <v>3323</v>
      </c>
      <c r="B89" s="7" t="s">
        <v>1154</v>
      </c>
      <c r="C89" s="7" t="s">
        <v>746</v>
      </c>
      <c r="D89" s="7" t="s">
        <v>906</v>
      </c>
      <c r="E89" s="32" t="s">
        <v>828</v>
      </c>
      <c r="F89" s="32" t="s">
        <v>12</v>
      </c>
      <c r="G89" s="7" t="s">
        <v>1182</v>
      </c>
      <c r="H89" s="28" t="s">
        <v>70</v>
      </c>
      <c r="I89" s="14" t="s">
        <v>3324</v>
      </c>
      <c r="J89" s="14" t="s">
        <v>3325</v>
      </c>
      <c r="K89" s="28" t="s">
        <v>3326</v>
      </c>
      <c r="L89" s="14" t="s">
        <v>39</v>
      </c>
      <c r="M89" s="7" t="s">
        <v>39</v>
      </c>
      <c r="N89" s="32" t="s">
        <v>912</v>
      </c>
      <c r="O89" s="32"/>
      <c r="P89" s="7"/>
      <c r="Q89" s="32"/>
      <c r="R89" s="7" t="s">
        <v>3</v>
      </c>
      <c r="S89" s="7" t="s">
        <v>2943</v>
      </c>
      <c r="T89" s="4"/>
      <c r="U89" s="178"/>
    </row>
    <row r="90" spans="1:21">
      <c r="A90" s="7" t="s">
        <v>3327</v>
      </c>
      <c r="B90" s="7" t="s">
        <v>1154</v>
      </c>
      <c r="C90" s="7" t="s">
        <v>746</v>
      </c>
      <c r="D90" s="7" t="s">
        <v>906</v>
      </c>
      <c r="E90" s="32" t="s">
        <v>828</v>
      </c>
      <c r="F90" s="7" t="s">
        <v>16</v>
      </c>
      <c r="G90" s="7" t="s">
        <v>1182</v>
      </c>
      <c r="H90" s="28" t="s">
        <v>70</v>
      </c>
      <c r="I90" s="14" t="s">
        <v>3328</v>
      </c>
      <c r="J90" s="14" t="s">
        <v>3329</v>
      </c>
      <c r="K90" s="28" t="s">
        <v>3330</v>
      </c>
      <c r="L90" s="14" t="s">
        <v>39</v>
      </c>
      <c r="M90" s="7" t="s">
        <v>39</v>
      </c>
      <c r="N90" s="32" t="s">
        <v>912</v>
      </c>
      <c r="O90" s="32" t="s">
        <v>973</v>
      </c>
      <c r="P90" s="7"/>
      <c r="Q90" s="32"/>
      <c r="R90" s="7" t="s">
        <v>3</v>
      </c>
      <c r="S90" s="47" t="s">
        <v>1164</v>
      </c>
      <c r="T90" s="4" t="s">
        <v>3331</v>
      </c>
      <c r="U90" s="160" t="s">
        <v>1028</v>
      </c>
    </row>
    <row r="91" spans="1:21">
      <c r="A91" s="7" t="s">
        <v>3332</v>
      </c>
      <c r="B91" s="7" t="s">
        <v>1154</v>
      </c>
      <c r="C91" s="7" t="s">
        <v>769</v>
      </c>
      <c r="D91" s="7" t="s">
        <v>906</v>
      </c>
      <c r="E91" s="32" t="s">
        <v>755</v>
      </c>
      <c r="F91" s="32" t="s">
        <v>12</v>
      </c>
      <c r="G91" s="7" t="s">
        <v>2302</v>
      </c>
      <c r="H91" s="28" t="s">
        <v>70</v>
      </c>
      <c r="I91" s="14" t="s">
        <v>3333</v>
      </c>
      <c r="J91" s="14" t="s">
        <v>3334</v>
      </c>
      <c r="K91" s="28" t="s">
        <v>3335</v>
      </c>
      <c r="L91" s="28" t="s">
        <v>3336</v>
      </c>
      <c r="M91" s="7" t="s">
        <v>39</v>
      </c>
      <c r="N91" s="32" t="s">
        <v>912</v>
      </c>
      <c r="O91" s="32" t="s">
        <v>752</v>
      </c>
      <c r="P91" s="7"/>
      <c r="Q91" s="32"/>
      <c r="R91" s="7" t="s">
        <v>3</v>
      </c>
      <c r="S91" s="47" t="s">
        <v>1164</v>
      </c>
      <c r="T91" s="4" t="s">
        <v>3337</v>
      </c>
      <c r="U91" s="178"/>
    </row>
    <row r="92" spans="1:21">
      <c r="A92" s="7" t="s">
        <v>3338</v>
      </c>
      <c r="B92" s="7" t="s">
        <v>1010</v>
      </c>
      <c r="C92" s="7" t="s">
        <v>746</v>
      </c>
      <c r="D92" s="7" t="s">
        <v>906</v>
      </c>
      <c r="E92" s="32" t="s">
        <v>1003</v>
      </c>
      <c r="F92" s="32" t="s">
        <v>12</v>
      </c>
      <c r="G92" s="7" t="s">
        <v>2302</v>
      </c>
      <c r="H92" s="28" t="s">
        <v>180</v>
      </c>
      <c r="I92" s="14" t="s">
        <v>3339</v>
      </c>
      <c r="J92" s="14" t="s">
        <v>3340</v>
      </c>
      <c r="K92" s="28" t="s">
        <v>3341</v>
      </c>
      <c r="L92" s="28" t="s">
        <v>3342</v>
      </c>
      <c r="M92" s="7" t="s">
        <v>39</v>
      </c>
      <c r="N92" s="32" t="s">
        <v>912</v>
      </c>
      <c r="O92" s="32"/>
      <c r="P92" s="7"/>
      <c r="Q92" s="32"/>
      <c r="R92" s="7" t="s">
        <v>3</v>
      </c>
      <c r="S92" s="7" t="s">
        <v>2943</v>
      </c>
      <c r="T92" s="4"/>
      <c r="U92" s="178"/>
    </row>
    <row r="93" spans="1:21">
      <c r="A93" s="7" t="s">
        <v>3343</v>
      </c>
      <c r="B93" s="7" t="s">
        <v>1010</v>
      </c>
      <c r="C93" s="7" t="s">
        <v>746</v>
      </c>
      <c r="D93" s="7" t="s">
        <v>906</v>
      </c>
      <c r="E93" s="32" t="s">
        <v>1574</v>
      </c>
      <c r="F93" s="32" t="s">
        <v>12</v>
      </c>
      <c r="G93" s="7" t="s">
        <v>804</v>
      </c>
      <c r="H93" s="28" t="s">
        <v>180</v>
      </c>
      <c r="I93" s="14" t="s">
        <v>3344</v>
      </c>
      <c r="J93" s="14" t="s">
        <v>3345</v>
      </c>
      <c r="K93" s="28" t="s">
        <v>3346</v>
      </c>
      <c r="L93" s="14" t="s">
        <v>39</v>
      </c>
      <c r="M93" s="7" t="s">
        <v>39</v>
      </c>
      <c r="N93" s="32" t="s">
        <v>912</v>
      </c>
      <c r="O93" s="32" t="s">
        <v>1009</v>
      </c>
      <c r="P93" s="7"/>
      <c r="Q93" s="14"/>
      <c r="R93" s="7" t="s">
        <v>4</v>
      </c>
      <c r="S93" s="7"/>
      <c r="T93" s="4" t="s">
        <v>3347</v>
      </c>
      <c r="U93" s="178"/>
    </row>
    <row r="94" spans="1:21">
      <c r="A94" s="7" t="s">
        <v>3348</v>
      </c>
      <c r="B94" s="7" t="s">
        <v>1010</v>
      </c>
      <c r="C94" s="7" t="s">
        <v>746</v>
      </c>
      <c r="D94" s="7" t="s">
        <v>906</v>
      </c>
      <c r="E94" s="32" t="s">
        <v>1574</v>
      </c>
      <c r="F94" s="7" t="s">
        <v>16</v>
      </c>
      <c r="G94" s="7" t="s">
        <v>1076</v>
      </c>
      <c r="H94" s="28" t="s">
        <v>180</v>
      </c>
      <c r="I94" s="14" t="s">
        <v>3230</v>
      </c>
      <c r="J94" s="14" t="s">
        <v>3349</v>
      </c>
      <c r="K94" s="28" t="s">
        <v>3350</v>
      </c>
      <c r="L94" s="14" t="s">
        <v>39</v>
      </c>
      <c r="M94" s="7" t="s">
        <v>39</v>
      </c>
      <c r="N94" s="32" t="s">
        <v>912</v>
      </c>
      <c r="O94" s="32" t="s">
        <v>973</v>
      </c>
      <c r="P94" s="7" t="s">
        <v>1017</v>
      </c>
      <c r="Q94" s="14" t="s">
        <v>3123</v>
      </c>
      <c r="R94" s="7" t="s">
        <v>4</v>
      </c>
      <c r="S94" s="7" t="s">
        <v>1089</v>
      </c>
      <c r="T94" s="14" t="s">
        <v>3351</v>
      </c>
      <c r="U94" s="9" t="s">
        <v>868</v>
      </c>
    </row>
    <row r="95" spans="1:21">
      <c r="A95" s="7" t="s">
        <v>3352</v>
      </c>
      <c r="B95" s="7" t="s">
        <v>1010</v>
      </c>
      <c r="C95" s="7" t="s">
        <v>769</v>
      </c>
      <c r="D95" s="7" t="s">
        <v>906</v>
      </c>
      <c r="E95" s="32" t="s">
        <v>1003</v>
      </c>
      <c r="F95" s="32" t="s">
        <v>12</v>
      </c>
      <c r="G95" s="7" t="s">
        <v>1085</v>
      </c>
      <c r="H95" s="28" t="s">
        <v>180</v>
      </c>
      <c r="I95" s="14" t="s">
        <v>3353</v>
      </c>
      <c r="J95" s="14" t="s">
        <v>3297</v>
      </c>
      <c r="K95" s="28" t="s">
        <v>3354</v>
      </c>
      <c r="L95" s="14" t="s">
        <v>39</v>
      </c>
      <c r="M95" s="7" t="s">
        <v>39</v>
      </c>
      <c r="N95" s="32" t="s">
        <v>912</v>
      </c>
      <c r="O95" s="32"/>
      <c r="P95" s="7"/>
      <c r="Q95" s="32"/>
      <c r="R95" s="7" t="s">
        <v>3</v>
      </c>
      <c r="S95" s="7"/>
      <c r="T95" s="4"/>
      <c r="U95" s="178"/>
    </row>
    <row r="96" spans="1:21">
      <c r="A96" s="7" t="s">
        <v>3355</v>
      </c>
      <c r="B96" s="7" t="s">
        <v>1010</v>
      </c>
      <c r="C96" s="7" t="s">
        <v>746</v>
      </c>
      <c r="D96" s="7" t="s">
        <v>906</v>
      </c>
      <c r="E96" s="32" t="s">
        <v>828</v>
      </c>
      <c r="F96" s="32" t="s">
        <v>12</v>
      </c>
      <c r="G96" s="7" t="s">
        <v>907</v>
      </c>
      <c r="H96" s="28" t="s">
        <v>180</v>
      </c>
      <c r="I96" s="14" t="s">
        <v>3356</v>
      </c>
      <c r="J96" s="14" t="s">
        <v>3357</v>
      </c>
      <c r="K96" s="28" t="s">
        <v>3358</v>
      </c>
      <c r="L96" s="14" t="s">
        <v>39</v>
      </c>
      <c r="M96" s="7" t="s">
        <v>39</v>
      </c>
      <c r="N96" s="32" t="s">
        <v>912</v>
      </c>
      <c r="O96" s="32"/>
      <c r="P96" s="7"/>
      <c r="Q96" s="32"/>
      <c r="R96" s="89" t="s">
        <v>3</v>
      </c>
      <c r="S96" s="89" t="s">
        <v>3174</v>
      </c>
      <c r="T96" s="85" t="s">
        <v>3359</v>
      </c>
      <c r="U96" s="178"/>
    </row>
    <row r="97" spans="1:21">
      <c r="A97" s="7" t="s">
        <v>3360</v>
      </c>
      <c r="B97" s="7" t="s">
        <v>1010</v>
      </c>
      <c r="C97" s="7" t="s">
        <v>746</v>
      </c>
      <c r="D97" s="7" t="s">
        <v>906</v>
      </c>
      <c r="E97" s="32" t="s">
        <v>828</v>
      </c>
      <c r="F97" s="32" t="s">
        <v>12</v>
      </c>
      <c r="G97" s="7" t="s">
        <v>907</v>
      </c>
      <c r="H97" s="28" t="s">
        <v>180</v>
      </c>
      <c r="I97" s="14" t="s">
        <v>3361</v>
      </c>
      <c r="J97" s="14" t="s">
        <v>3362</v>
      </c>
      <c r="K97" s="28" t="s">
        <v>3363</v>
      </c>
      <c r="L97" s="14" t="s">
        <v>39</v>
      </c>
      <c r="M97" s="7" t="s">
        <v>39</v>
      </c>
      <c r="N97" s="32" t="s">
        <v>912</v>
      </c>
      <c r="O97" s="32"/>
      <c r="P97" s="7"/>
      <c r="Q97" s="32"/>
      <c r="R97" s="89" t="s">
        <v>3</v>
      </c>
      <c r="S97" s="89" t="s">
        <v>3174</v>
      </c>
      <c r="T97" s="85" t="s">
        <v>3359</v>
      </c>
      <c r="U97" s="178"/>
    </row>
    <row r="98" spans="1:21">
      <c r="A98" s="7" t="s">
        <v>3364</v>
      </c>
      <c r="B98" s="7" t="s">
        <v>1010</v>
      </c>
      <c r="C98" s="7" t="s">
        <v>746</v>
      </c>
      <c r="D98" s="7" t="s">
        <v>906</v>
      </c>
      <c r="E98" s="32" t="s">
        <v>828</v>
      </c>
      <c r="F98" s="32" t="s">
        <v>12</v>
      </c>
      <c r="G98" s="7" t="s">
        <v>907</v>
      </c>
      <c r="H98" s="28" t="s">
        <v>180</v>
      </c>
      <c r="I98" s="14" t="s">
        <v>3365</v>
      </c>
      <c r="J98" s="14" t="s">
        <v>3366</v>
      </c>
      <c r="K98" s="28" t="s">
        <v>3367</v>
      </c>
      <c r="L98" s="14" t="s">
        <v>39</v>
      </c>
      <c r="M98" s="7" t="s">
        <v>39</v>
      </c>
      <c r="N98" s="32" t="s">
        <v>912</v>
      </c>
      <c r="O98" s="32"/>
      <c r="P98" s="7"/>
      <c r="Q98" s="32"/>
      <c r="R98" s="89" t="s">
        <v>3</v>
      </c>
      <c r="S98" s="89" t="s">
        <v>3174</v>
      </c>
      <c r="T98" s="85" t="s">
        <v>3359</v>
      </c>
      <c r="U98" s="178"/>
    </row>
    <row r="99" spans="1:21">
      <c r="A99" s="7" t="s">
        <v>3368</v>
      </c>
      <c r="B99" s="7" t="s">
        <v>1010</v>
      </c>
      <c r="C99" s="7" t="s">
        <v>769</v>
      </c>
      <c r="D99" s="7" t="s">
        <v>906</v>
      </c>
      <c r="E99" s="32" t="s">
        <v>828</v>
      </c>
      <c r="F99" s="32" t="s">
        <v>12</v>
      </c>
      <c r="G99" s="7" t="s">
        <v>1085</v>
      </c>
      <c r="H99" s="28" t="s">
        <v>180</v>
      </c>
      <c r="I99" s="14" t="s">
        <v>3369</v>
      </c>
      <c r="J99" s="14" t="s">
        <v>3192</v>
      </c>
      <c r="K99" s="28" t="s">
        <v>3370</v>
      </c>
      <c r="L99" s="28" t="s">
        <v>3371</v>
      </c>
      <c r="M99" s="7" t="s">
        <v>39</v>
      </c>
      <c r="N99" s="32" t="s">
        <v>912</v>
      </c>
      <c r="O99" s="32" t="s">
        <v>3272</v>
      </c>
      <c r="P99" s="7" t="s">
        <v>1028</v>
      </c>
      <c r="Q99" s="14" t="s">
        <v>3372</v>
      </c>
      <c r="R99" s="7" t="s">
        <v>3</v>
      </c>
      <c r="S99" s="7" t="s">
        <v>1033</v>
      </c>
      <c r="T99" s="4" t="s">
        <v>3373</v>
      </c>
      <c r="U99" s="178"/>
    </row>
    <row r="100" spans="1:21">
      <c r="A100" s="7" t="s">
        <v>3374</v>
      </c>
      <c r="B100" s="7" t="s">
        <v>1010</v>
      </c>
      <c r="C100" s="7" t="s">
        <v>769</v>
      </c>
      <c r="D100" s="7" t="s">
        <v>906</v>
      </c>
      <c r="E100" s="32" t="s">
        <v>1003</v>
      </c>
      <c r="F100" s="32" t="s">
        <v>12</v>
      </c>
      <c r="G100" s="7" t="s">
        <v>2302</v>
      </c>
      <c r="H100" s="28" t="s">
        <v>50</v>
      </c>
      <c r="I100" s="14" t="s">
        <v>3375</v>
      </c>
      <c r="J100" s="14" t="s">
        <v>3376</v>
      </c>
      <c r="K100" s="28" t="s">
        <v>3377</v>
      </c>
      <c r="L100" s="14" t="s">
        <v>39</v>
      </c>
      <c r="M100" s="7" t="s">
        <v>39</v>
      </c>
      <c r="N100" s="32" t="s">
        <v>912</v>
      </c>
      <c r="O100" s="32"/>
      <c r="P100" s="7"/>
      <c r="Q100" s="32"/>
      <c r="R100" s="7" t="s">
        <v>3</v>
      </c>
      <c r="S100" s="7" t="s">
        <v>2943</v>
      </c>
      <c r="T100" s="4"/>
      <c r="U100" s="178"/>
    </row>
    <row r="101" spans="1:21">
      <c r="A101" s="7" t="s">
        <v>3378</v>
      </c>
      <c r="B101" s="7" t="s">
        <v>1010</v>
      </c>
      <c r="C101" s="7" t="s">
        <v>754</v>
      </c>
      <c r="D101" s="7" t="s">
        <v>906</v>
      </c>
      <c r="E101" s="32" t="s">
        <v>767</v>
      </c>
      <c r="F101" s="32" t="s">
        <v>12</v>
      </c>
      <c r="G101" s="7" t="s">
        <v>804</v>
      </c>
      <c r="H101" s="28" t="s">
        <v>50</v>
      </c>
      <c r="I101" s="14" t="s">
        <v>3379</v>
      </c>
      <c r="J101" s="14" t="s">
        <v>3380</v>
      </c>
      <c r="K101" s="28" t="s">
        <v>3381</v>
      </c>
      <c r="L101" s="14" t="s">
        <v>39</v>
      </c>
      <c r="M101" s="7" t="s">
        <v>39</v>
      </c>
      <c r="N101" s="32" t="s">
        <v>912</v>
      </c>
      <c r="O101" s="32" t="s">
        <v>1009</v>
      </c>
      <c r="P101" s="7" t="s">
        <v>3199</v>
      </c>
      <c r="Q101" s="14" t="s">
        <v>3200</v>
      </c>
      <c r="R101" s="7" t="s">
        <v>4</v>
      </c>
      <c r="S101" s="7" t="s">
        <v>2943</v>
      </c>
      <c r="T101" s="4" t="s">
        <v>3382</v>
      </c>
      <c r="U101" s="178"/>
    </row>
    <row r="102" spans="1:21">
      <c r="A102" s="7" t="s">
        <v>3383</v>
      </c>
      <c r="B102" s="7" t="s">
        <v>1010</v>
      </c>
      <c r="C102" s="7" t="s">
        <v>754</v>
      </c>
      <c r="D102" s="7" t="s">
        <v>906</v>
      </c>
      <c r="E102" s="32" t="s">
        <v>828</v>
      </c>
      <c r="F102" s="32" t="s">
        <v>12</v>
      </c>
      <c r="G102" s="7" t="s">
        <v>907</v>
      </c>
      <c r="H102" s="28" t="s">
        <v>50</v>
      </c>
      <c r="I102" s="14" t="s">
        <v>3384</v>
      </c>
      <c r="J102" s="14" t="s">
        <v>3385</v>
      </c>
      <c r="K102" s="28" t="s">
        <v>3386</v>
      </c>
      <c r="L102" s="14" t="s">
        <v>39</v>
      </c>
      <c r="M102" s="7" t="s">
        <v>39</v>
      </c>
      <c r="N102" s="32" t="s">
        <v>912</v>
      </c>
      <c r="O102" s="32"/>
      <c r="P102" s="7"/>
      <c r="Q102" s="32"/>
      <c r="R102" s="7" t="s">
        <v>3</v>
      </c>
      <c r="S102" s="47">
        <v>46267</v>
      </c>
      <c r="T102" s="4" t="s">
        <v>3387</v>
      </c>
      <c r="U102" s="178"/>
    </row>
    <row r="103" spans="1:21">
      <c r="A103" s="7" t="s">
        <v>3388</v>
      </c>
      <c r="B103" s="7" t="s">
        <v>1010</v>
      </c>
      <c r="C103" s="7" t="s">
        <v>746</v>
      </c>
      <c r="D103" s="7" t="s">
        <v>906</v>
      </c>
      <c r="E103" s="32" t="s">
        <v>828</v>
      </c>
      <c r="F103" s="32" t="s">
        <v>12</v>
      </c>
      <c r="G103" s="7" t="s">
        <v>907</v>
      </c>
      <c r="H103" s="28" t="s">
        <v>50</v>
      </c>
      <c r="I103" s="14" t="s">
        <v>3389</v>
      </c>
      <c r="J103" s="14" t="s">
        <v>3390</v>
      </c>
      <c r="K103" s="28" t="s">
        <v>3391</v>
      </c>
      <c r="L103" s="14" t="s">
        <v>39</v>
      </c>
      <c r="M103" s="7" t="s">
        <v>39</v>
      </c>
      <c r="N103" s="32" t="s">
        <v>912</v>
      </c>
      <c r="O103" s="32"/>
      <c r="P103" s="7"/>
      <c r="Q103" s="32"/>
      <c r="R103" s="7" t="s">
        <v>3</v>
      </c>
      <c r="S103" s="47">
        <v>46267</v>
      </c>
      <c r="T103" s="4" t="s">
        <v>3387</v>
      </c>
      <c r="U103" s="178"/>
    </row>
    <row r="104" spans="1:21">
      <c r="A104" s="7" t="s">
        <v>3392</v>
      </c>
      <c r="B104" s="7" t="s">
        <v>1010</v>
      </c>
      <c r="C104" s="7" t="s">
        <v>769</v>
      </c>
      <c r="D104" s="7" t="s">
        <v>906</v>
      </c>
      <c r="E104" s="32" t="s">
        <v>1003</v>
      </c>
      <c r="F104" s="32" t="s">
        <v>12</v>
      </c>
      <c r="G104" s="7" t="s">
        <v>1085</v>
      </c>
      <c r="H104" s="28" t="s">
        <v>50</v>
      </c>
      <c r="I104" s="14" t="s">
        <v>3393</v>
      </c>
      <c r="J104" s="14" t="s">
        <v>3297</v>
      </c>
      <c r="K104" s="28" t="s">
        <v>3394</v>
      </c>
      <c r="L104" s="14" t="s">
        <v>39</v>
      </c>
      <c r="M104" s="7" t="s">
        <v>39</v>
      </c>
      <c r="N104" s="32" t="s">
        <v>912</v>
      </c>
      <c r="O104" s="32"/>
      <c r="P104" s="7"/>
      <c r="Q104" s="32"/>
      <c r="R104" s="7" t="s">
        <v>3</v>
      </c>
      <c r="S104" s="7" t="s">
        <v>2943</v>
      </c>
      <c r="T104" s="4"/>
      <c r="U104" s="178"/>
    </row>
    <row r="105" spans="1:21">
      <c r="A105" s="7" t="s">
        <v>3395</v>
      </c>
      <c r="B105" s="7" t="s">
        <v>1010</v>
      </c>
      <c r="C105" s="7" t="s">
        <v>754</v>
      </c>
      <c r="D105" s="7" t="s">
        <v>906</v>
      </c>
      <c r="E105" s="32" t="s">
        <v>828</v>
      </c>
      <c r="F105" s="32" t="s">
        <v>12</v>
      </c>
      <c r="G105" s="7" t="s">
        <v>907</v>
      </c>
      <c r="H105" s="28" t="s">
        <v>50</v>
      </c>
      <c r="I105" s="14" t="s">
        <v>3396</v>
      </c>
      <c r="J105" s="14" t="s">
        <v>3397</v>
      </c>
      <c r="K105" s="28" t="s">
        <v>3398</v>
      </c>
      <c r="L105" s="14" t="s">
        <v>39</v>
      </c>
      <c r="M105" s="7" t="s">
        <v>39</v>
      </c>
      <c r="N105" s="32" t="s">
        <v>912</v>
      </c>
      <c r="O105" s="32"/>
      <c r="P105" s="7"/>
      <c r="Q105" s="32"/>
      <c r="R105" s="7" t="s">
        <v>3</v>
      </c>
      <c r="S105" s="47">
        <v>46267</v>
      </c>
      <c r="T105" s="4" t="s">
        <v>3387</v>
      </c>
      <c r="U105" s="178"/>
    </row>
    <row r="106" spans="1:21">
      <c r="A106" s="7" t="s">
        <v>3399</v>
      </c>
      <c r="B106" s="7" t="s">
        <v>1010</v>
      </c>
      <c r="C106" s="7" t="s">
        <v>746</v>
      </c>
      <c r="D106" s="7" t="s">
        <v>906</v>
      </c>
      <c r="E106" s="32" t="s">
        <v>828</v>
      </c>
      <c r="F106" s="32" t="s">
        <v>12</v>
      </c>
      <c r="G106" s="7" t="s">
        <v>907</v>
      </c>
      <c r="H106" s="28" t="s">
        <v>50</v>
      </c>
      <c r="I106" s="14" t="s">
        <v>3361</v>
      </c>
      <c r="J106" s="14" t="s">
        <v>3362</v>
      </c>
      <c r="K106" s="28" t="s">
        <v>3400</v>
      </c>
      <c r="L106" s="14" t="s">
        <v>39</v>
      </c>
      <c r="M106" s="7" t="s">
        <v>39</v>
      </c>
      <c r="N106" s="32" t="s">
        <v>912</v>
      </c>
      <c r="O106" s="32"/>
      <c r="P106" s="7"/>
      <c r="Q106" s="32"/>
      <c r="R106" s="7" t="s">
        <v>3</v>
      </c>
      <c r="S106" s="47">
        <v>46267</v>
      </c>
      <c r="T106" s="4" t="s">
        <v>3387</v>
      </c>
      <c r="U106" s="178"/>
    </row>
    <row r="107" spans="1:21">
      <c r="A107" s="7" t="s">
        <v>3401</v>
      </c>
      <c r="B107" s="7" t="s">
        <v>1010</v>
      </c>
      <c r="C107" s="7" t="s">
        <v>746</v>
      </c>
      <c r="D107" s="7" t="s">
        <v>906</v>
      </c>
      <c r="E107" s="32" t="s">
        <v>828</v>
      </c>
      <c r="F107" s="32" t="s">
        <v>12</v>
      </c>
      <c r="G107" s="7" t="s">
        <v>907</v>
      </c>
      <c r="H107" s="28" t="s">
        <v>50</v>
      </c>
      <c r="I107" s="14" t="s">
        <v>3402</v>
      </c>
      <c r="J107" s="14" t="s">
        <v>3403</v>
      </c>
      <c r="K107" s="28" t="s">
        <v>3404</v>
      </c>
      <c r="L107" s="14" t="s">
        <v>39</v>
      </c>
      <c r="M107" s="7" t="s">
        <v>39</v>
      </c>
      <c r="N107" s="32" t="s">
        <v>912</v>
      </c>
      <c r="O107" s="32"/>
      <c r="P107" s="7"/>
      <c r="Q107" s="32"/>
      <c r="R107" s="7" t="s">
        <v>3</v>
      </c>
      <c r="S107" s="47">
        <v>46267</v>
      </c>
      <c r="T107" s="4" t="s">
        <v>3387</v>
      </c>
      <c r="U107" s="178"/>
    </row>
    <row r="108" spans="1:21" s="370" customFormat="1">
      <c r="A108" s="151" t="s">
        <v>3405</v>
      </c>
      <c r="B108" s="151" t="s">
        <v>1010</v>
      </c>
      <c r="C108" s="151" t="s">
        <v>769</v>
      </c>
      <c r="D108" s="151" t="s">
        <v>906</v>
      </c>
      <c r="E108" s="152" t="s">
        <v>767</v>
      </c>
      <c r="F108" s="151" t="s">
        <v>6</v>
      </c>
      <c r="G108" s="151" t="s">
        <v>2302</v>
      </c>
      <c r="H108" s="155" t="s">
        <v>50</v>
      </c>
      <c r="I108" s="154" t="s">
        <v>3406</v>
      </c>
      <c r="J108" s="154" t="s">
        <v>3407</v>
      </c>
      <c r="K108" s="155" t="s">
        <v>3408</v>
      </c>
      <c r="L108" s="154" t="s">
        <v>39</v>
      </c>
      <c r="M108" s="151" t="s">
        <v>39</v>
      </c>
      <c r="N108" s="152" t="s">
        <v>912</v>
      </c>
      <c r="O108" s="152" t="s">
        <v>912</v>
      </c>
      <c r="P108" s="151"/>
      <c r="Q108" s="154"/>
      <c r="R108" s="151" t="s">
        <v>3</v>
      </c>
      <c r="S108" s="151" t="s">
        <v>3174</v>
      </c>
      <c r="T108" s="156" t="s">
        <v>3409</v>
      </c>
      <c r="U108" s="167" t="s">
        <v>868</v>
      </c>
    </row>
    <row r="109" spans="1:21" s="370" customFormat="1">
      <c r="A109" s="151" t="s">
        <v>3410</v>
      </c>
      <c r="B109" s="151" t="s">
        <v>1010</v>
      </c>
      <c r="C109" s="151" t="s">
        <v>769</v>
      </c>
      <c r="D109" s="151" t="s">
        <v>906</v>
      </c>
      <c r="E109" s="152" t="s">
        <v>767</v>
      </c>
      <c r="F109" s="151" t="s">
        <v>16</v>
      </c>
      <c r="G109" s="151" t="s">
        <v>2302</v>
      </c>
      <c r="H109" s="155" t="s">
        <v>180</v>
      </c>
      <c r="I109" s="154" t="s">
        <v>3406</v>
      </c>
      <c r="J109" s="154" t="s">
        <v>3407</v>
      </c>
      <c r="K109" s="155" t="s">
        <v>3411</v>
      </c>
      <c r="L109" s="154" t="s">
        <v>39</v>
      </c>
      <c r="M109" s="151" t="s">
        <v>39</v>
      </c>
      <c r="N109" s="152" t="s">
        <v>912</v>
      </c>
      <c r="O109" s="152" t="s">
        <v>752</v>
      </c>
      <c r="P109" s="151" t="s">
        <v>3007</v>
      </c>
      <c r="Q109" s="154" t="s">
        <v>3412</v>
      </c>
      <c r="R109" s="151" t="s">
        <v>3</v>
      </c>
      <c r="S109" s="151" t="s">
        <v>1278</v>
      </c>
      <c r="T109" s="156" t="s">
        <v>3413</v>
      </c>
      <c r="U109" s="167" t="s">
        <v>868</v>
      </c>
    </row>
    <row r="110" spans="1:21">
      <c r="A110" s="7" t="s">
        <v>3414</v>
      </c>
      <c r="B110" s="7" t="s">
        <v>1010</v>
      </c>
      <c r="C110" s="7" t="s">
        <v>754</v>
      </c>
      <c r="D110" s="7" t="s">
        <v>906</v>
      </c>
      <c r="E110" s="32" t="s">
        <v>828</v>
      </c>
      <c r="F110" s="32" t="s">
        <v>12</v>
      </c>
      <c r="G110" s="7" t="s">
        <v>907</v>
      </c>
      <c r="H110" s="28" t="s">
        <v>145</v>
      </c>
      <c r="I110" s="14" t="s">
        <v>3415</v>
      </c>
      <c r="J110" s="14" t="s">
        <v>3385</v>
      </c>
      <c r="K110" s="28" t="s">
        <v>3416</v>
      </c>
      <c r="L110" s="14" t="s">
        <v>39</v>
      </c>
      <c r="M110" s="7" t="s">
        <v>39</v>
      </c>
      <c r="N110" s="32" t="s">
        <v>912</v>
      </c>
      <c r="O110" s="32"/>
      <c r="P110" s="7"/>
      <c r="Q110" s="32"/>
      <c r="R110" s="7" t="s">
        <v>3</v>
      </c>
      <c r="S110" s="7" t="s">
        <v>3174</v>
      </c>
      <c r="T110" s="4" t="s">
        <v>3359</v>
      </c>
      <c r="U110" s="178"/>
    </row>
    <row r="111" spans="1:21">
      <c r="A111" s="7" t="s">
        <v>3417</v>
      </c>
      <c r="B111" s="7" t="s">
        <v>1010</v>
      </c>
      <c r="C111" s="7" t="s">
        <v>746</v>
      </c>
      <c r="D111" s="7" t="s">
        <v>906</v>
      </c>
      <c r="E111" s="32" t="s">
        <v>1574</v>
      </c>
      <c r="F111" s="32" t="s">
        <v>12</v>
      </c>
      <c r="G111" s="7" t="s">
        <v>969</v>
      </c>
      <c r="H111" s="28" t="s">
        <v>145</v>
      </c>
      <c r="I111" s="14" t="s">
        <v>3418</v>
      </c>
      <c r="J111" s="14" t="s">
        <v>3419</v>
      </c>
      <c r="K111" s="28" t="s">
        <v>3420</v>
      </c>
      <c r="L111" s="14" t="s">
        <v>39</v>
      </c>
      <c r="M111" s="7" t="s">
        <v>39</v>
      </c>
      <c r="N111" s="32" t="s">
        <v>912</v>
      </c>
      <c r="O111" s="32" t="s">
        <v>912</v>
      </c>
      <c r="P111" s="7" t="s">
        <v>3007</v>
      </c>
      <c r="Q111" s="14" t="s">
        <v>3421</v>
      </c>
      <c r="R111" s="7" t="s">
        <v>3</v>
      </c>
      <c r="S111" s="7" t="s">
        <v>1073</v>
      </c>
      <c r="T111" s="4" t="s">
        <v>3422</v>
      </c>
      <c r="U111" s="178"/>
    </row>
    <row r="112" spans="1:21">
      <c r="A112" s="7" t="s">
        <v>3423</v>
      </c>
      <c r="B112" s="7" t="s">
        <v>1010</v>
      </c>
      <c r="C112" s="7" t="s">
        <v>746</v>
      </c>
      <c r="D112" s="7" t="s">
        <v>906</v>
      </c>
      <c r="E112" s="32" t="s">
        <v>828</v>
      </c>
      <c r="F112" s="32" t="s">
        <v>12</v>
      </c>
      <c r="G112" s="7" t="s">
        <v>1799</v>
      </c>
      <c r="H112" s="28" t="s">
        <v>145</v>
      </c>
      <c r="I112" s="14" t="s">
        <v>3424</v>
      </c>
      <c r="J112" s="14" t="s">
        <v>3425</v>
      </c>
      <c r="K112" s="28" t="s">
        <v>3426</v>
      </c>
      <c r="L112" s="14" t="s">
        <v>39</v>
      </c>
      <c r="M112" s="7" t="s">
        <v>39</v>
      </c>
      <c r="N112" s="32" t="s">
        <v>912</v>
      </c>
      <c r="O112" s="32"/>
      <c r="P112" s="7"/>
      <c r="Q112" s="32"/>
      <c r="R112" s="7" t="s">
        <v>3</v>
      </c>
      <c r="S112" s="7" t="s">
        <v>3174</v>
      </c>
      <c r="T112" s="4" t="s">
        <v>3427</v>
      </c>
      <c r="U112" s="178"/>
    </row>
    <row r="113" spans="1:21">
      <c r="A113" s="7" t="s">
        <v>3428</v>
      </c>
      <c r="B113" s="7" t="s">
        <v>1010</v>
      </c>
      <c r="C113" s="7" t="s">
        <v>769</v>
      </c>
      <c r="D113" s="7" t="s">
        <v>906</v>
      </c>
      <c r="E113" s="32" t="s">
        <v>1003</v>
      </c>
      <c r="F113" s="32" t="s">
        <v>12</v>
      </c>
      <c r="G113" s="7" t="s">
        <v>1085</v>
      </c>
      <c r="H113" s="28" t="s">
        <v>145</v>
      </c>
      <c r="I113" s="14" t="s">
        <v>3429</v>
      </c>
      <c r="J113" s="14" t="s">
        <v>3297</v>
      </c>
      <c r="K113" s="28" t="s">
        <v>3430</v>
      </c>
      <c r="L113" s="14" t="s">
        <v>39</v>
      </c>
      <c r="M113" s="7" t="s">
        <v>39</v>
      </c>
      <c r="N113" s="32" t="s">
        <v>912</v>
      </c>
      <c r="O113" s="32"/>
      <c r="P113" s="7"/>
      <c r="Q113" s="32"/>
      <c r="R113" s="7" t="s">
        <v>3</v>
      </c>
      <c r="S113" s="7" t="s">
        <v>2943</v>
      </c>
      <c r="T113" s="4"/>
      <c r="U113" s="178"/>
    </row>
    <row r="114" spans="1:21">
      <c r="A114" s="7" t="s">
        <v>3431</v>
      </c>
      <c r="B114" s="7" t="s">
        <v>1010</v>
      </c>
      <c r="C114" s="7" t="s">
        <v>769</v>
      </c>
      <c r="D114" s="7" t="s">
        <v>906</v>
      </c>
      <c r="E114" s="32" t="s">
        <v>1003</v>
      </c>
      <c r="F114" s="32" t="s">
        <v>12</v>
      </c>
      <c r="G114" s="7" t="s">
        <v>2302</v>
      </c>
      <c r="H114" s="28" t="s">
        <v>145</v>
      </c>
      <c r="I114" s="14" t="s">
        <v>3375</v>
      </c>
      <c r="J114" s="14" t="s">
        <v>3376</v>
      </c>
      <c r="K114" s="28" t="s">
        <v>3432</v>
      </c>
      <c r="L114" s="14" t="s">
        <v>39</v>
      </c>
      <c r="M114" s="7" t="s">
        <v>39</v>
      </c>
      <c r="N114" s="32" t="s">
        <v>912</v>
      </c>
      <c r="O114" s="32"/>
      <c r="P114" s="7"/>
      <c r="Q114" s="32"/>
      <c r="R114" s="7" t="s">
        <v>3</v>
      </c>
      <c r="S114" s="7" t="s">
        <v>2943</v>
      </c>
      <c r="T114" s="4"/>
      <c r="U114" s="178"/>
    </row>
    <row r="115" spans="1:21">
      <c r="A115" s="7" t="s">
        <v>3433</v>
      </c>
      <c r="B115" s="7" t="s">
        <v>1010</v>
      </c>
      <c r="C115" s="7" t="s">
        <v>754</v>
      </c>
      <c r="D115" s="7" t="s">
        <v>906</v>
      </c>
      <c r="E115" s="32" t="s">
        <v>828</v>
      </c>
      <c r="F115" s="32" t="s">
        <v>12</v>
      </c>
      <c r="G115" s="7" t="s">
        <v>907</v>
      </c>
      <c r="H115" s="28" t="s">
        <v>145</v>
      </c>
      <c r="I115" s="14" t="s">
        <v>3434</v>
      </c>
      <c r="J115" s="14" t="s">
        <v>3265</v>
      </c>
      <c r="K115" s="28" t="s">
        <v>3435</v>
      </c>
      <c r="L115" s="14" t="s">
        <v>39</v>
      </c>
      <c r="M115" s="7" t="s">
        <v>39</v>
      </c>
      <c r="N115" s="32" t="s">
        <v>912</v>
      </c>
      <c r="O115" s="32"/>
      <c r="P115" s="7"/>
      <c r="Q115" s="32"/>
      <c r="R115" s="7" t="s">
        <v>3</v>
      </c>
      <c r="S115" s="7" t="s">
        <v>3174</v>
      </c>
      <c r="T115" s="4" t="s">
        <v>3436</v>
      </c>
      <c r="U115" s="178"/>
    </row>
    <row r="116" spans="1:21" s="370" customFormat="1">
      <c r="A116" s="151" t="s">
        <v>3437</v>
      </c>
      <c r="B116" s="151" t="s">
        <v>1010</v>
      </c>
      <c r="C116" s="151" t="s">
        <v>769</v>
      </c>
      <c r="D116" s="151" t="s">
        <v>906</v>
      </c>
      <c r="E116" s="152" t="s">
        <v>767</v>
      </c>
      <c r="F116" s="151" t="s">
        <v>6</v>
      </c>
      <c r="G116" s="151" t="s">
        <v>2302</v>
      </c>
      <c r="H116" s="155" t="s">
        <v>145</v>
      </c>
      <c r="I116" s="154" t="s">
        <v>3438</v>
      </c>
      <c r="J116" s="154" t="s">
        <v>3407</v>
      </c>
      <c r="K116" s="155" t="s">
        <v>3439</v>
      </c>
      <c r="L116" s="154" t="s">
        <v>39</v>
      </c>
      <c r="M116" s="151" t="s">
        <v>39</v>
      </c>
      <c r="N116" s="152" t="s">
        <v>912</v>
      </c>
      <c r="O116" s="152" t="s">
        <v>912</v>
      </c>
      <c r="P116" s="151" t="s">
        <v>1017</v>
      </c>
      <c r="Q116" s="154" t="s">
        <v>1138</v>
      </c>
      <c r="R116" s="151" t="s">
        <v>3</v>
      </c>
      <c r="S116" s="151" t="s">
        <v>3174</v>
      </c>
      <c r="T116" s="156" t="s">
        <v>3440</v>
      </c>
      <c r="U116" s="167" t="s">
        <v>868</v>
      </c>
    </row>
    <row r="117" spans="1:21">
      <c r="A117" s="7" t="s">
        <v>3441</v>
      </c>
      <c r="B117" s="7" t="s">
        <v>1010</v>
      </c>
      <c r="C117" s="7" t="s">
        <v>746</v>
      </c>
      <c r="D117" s="7" t="s">
        <v>906</v>
      </c>
      <c r="E117" s="32" t="s">
        <v>828</v>
      </c>
      <c r="F117" s="7" t="s">
        <v>16</v>
      </c>
      <c r="G117" s="7" t="s">
        <v>1142</v>
      </c>
      <c r="H117" s="28" t="s">
        <v>176</v>
      </c>
      <c r="I117" s="14" t="s">
        <v>2992</v>
      </c>
      <c r="J117" s="14" t="s">
        <v>3442</v>
      </c>
      <c r="K117" s="28" t="s">
        <v>3443</v>
      </c>
      <c r="L117" s="28" t="s">
        <v>3444</v>
      </c>
      <c r="M117" s="7" t="s">
        <v>39</v>
      </c>
      <c r="N117" s="32" t="s">
        <v>912</v>
      </c>
      <c r="O117" s="32" t="s">
        <v>973</v>
      </c>
      <c r="P117" s="7"/>
      <c r="Q117" s="32"/>
      <c r="R117" s="7" t="s">
        <v>3</v>
      </c>
      <c r="S117" s="47">
        <v>46297</v>
      </c>
      <c r="T117" s="85" t="s">
        <v>3445</v>
      </c>
      <c r="U117" s="160" t="s">
        <v>1028</v>
      </c>
    </row>
    <row r="118" spans="1:21">
      <c r="A118" s="7" t="s">
        <v>3446</v>
      </c>
      <c r="B118" s="7" t="s">
        <v>1010</v>
      </c>
      <c r="C118" s="7" t="s">
        <v>769</v>
      </c>
      <c r="D118" s="7" t="s">
        <v>906</v>
      </c>
      <c r="E118" s="32" t="s">
        <v>828</v>
      </c>
      <c r="F118" s="32" t="s">
        <v>12</v>
      </c>
      <c r="G118" s="7" t="s">
        <v>2302</v>
      </c>
      <c r="H118" s="28" t="s">
        <v>176</v>
      </c>
      <c r="I118" s="14" t="s">
        <v>3333</v>
      </c>
      <c r="J118" s="14" t="s">
        <v>3447</v>
      </c>
      <c r="K118" s="28" t="s">
        <v>3448</v>
      </c>
      <c r="L118" s="28" t="s">
        <v>3449</v>
      </c>
      <c r="M118" s="7" t="s">
        <v>39</v>
      </c>
      <c r="N118" s="32" t="s">
        <v>912</v>
      </c>
      <c r="O118" s="32"/>
      <c r="P118" s="7"/>
      <c r="Q118" s="32"/>
      <c r="R118" s="7" t="s">
        <v>3</v>
      </c>
      <c r="S118" s="7" t="s">
        <v>2943</v>
      </c>
      <c r="T118" s="4"/>
      <c r="U118" s="178"/>
    </row>
    <row r="119" spans="1:21" s="27" customFormat="1">
      <c r="A119" s="7" t="s">
        <v>3450</v>
      </c>
      <c r="B119" s="7" t="s">
        <v>1010</v>
      </c>
      <c r="C119" s="7" t="s">
        <v>746</v>
      </c>
      <c r="D119" s="7" t="s">
        <v>906</v>
      </c>
      <c r="E119" s="32" t="s">
        <v>2946</v>
      </c>
      <c r="F119" s="32" t="s">
        <v>12</v>
      </c>
      <c r="G119" s="7" t="s">
        <v>804</v>
      </c>
      <c r="H119" s="28" t="s">
        <v>176</v>
      </c>
      <c r="I119" s="14" t="s">
        <v>3451</v>
      </c>
      <c r="J119" s="14" t="s">
        <v>3452</v>
      </c>
      <c r="K119" s="28" t="s">
        <v>3453</v>
      </c>
      <c r="L119" s="14" t="s">
        <v>39</v>
      </c>
      <c r="M119" s="7" t="s">
        <v>39</v>
      </c>
      <c r="N119" s="32" t="s">
        <v>912</v>
      </c>
      <c r="O119" s="32" t="s">
        <v>1009</v>
      </c>
      <c r="P119" s="7" t="s">
        <v>3007</v>
      </c>
      <c r="Q119" s="14"/>
      <c r="R119" s="7" t="s">
        <v>4</v>
      </c>
      <c r="S119" s="7" t="s">
        <v>3454</v>
      </c>
      <c r="T119" s="4" t="s">
        <v>3124</v>
      </c>
      <c r="U119" s="59"/>
    </row>
    <row r="120" spans="1:21">
      <c r="A120" s="7" t="s">
        <v>3455</v>
      </c>
      <c r="B120" s="7" t="s">
        <v>1010</v>
      </c>
      <c r="C120" s="7" t="s">
        <v>746</v>
      </c>
      <c r="D120" s="7" t="s">
        <v>906</v>
      </c>
      <c r="E120" s="32" t="s">
        <v>1574</v>
      </c>
      <c r="F120" s="32" t="s">
        <v>16</v>
      </c>
      <c r="G120" s="7" t="s">
        <v>969</v>
      </c>
      <c r="H120" s="56" t="s">
        <v>176</v>
      </c>
      <c r="I120" s="14" t="s">
        <v>3456</v>
      </c>
      <c r="J120" s="14" t="s">
        <v>3457</v>
      </c>
      <c r="K120" s="56" t="s">
        <v>3458</v>
      </c>
      <c r="L120" s="14" t="s">
        <v>39</v>
      </c>
      <c r="M120" s="7" t="s">
        <v>39</v>
      </c>
      <c r="N120" s="32" t="s">
        <v>912</v>
      </c>
      <c r="O120" s="32" t="s">
        <v>973</v>
      </c>
      <c r="P120" s="7" t="s">
        <v>3007</v>
      </c>
      <c r="Q120" s="14" t="s">
        <v>3459</v>
      </c>
      <c r="R120" s="7" t="s">
        <v>4</v>
      </c>
      <c r="S120" s="47" t="s">
        <v>1089</v>
      </c>
      <c r="T120" s="4" t="s">
        <v>3460</v>
      </c>
      <c r="U120" s="178"/>
    </row>
    <row r="121" spans="1:21">
      <c r="A121" s="7" t="s">
        <v>3461</v>
      </c>
      <c r="B121" s="7" t="s">
        <v>1010</v>
      </c>
      <c r="C121" s="7" t="s">
        <v>746</v>
      </c>
      <c r="D121" s="7" t="s">
        <v>906</v>
      </c>
      <c r="E121" s="32" t="s">
        <v>828</v>
      </c>
      <c r="F121" s="7" t="s">
        <v>16</v>
      </c>
      <c r="G121" s="7" t="s">
        <v>3462</v>
      </c>
      <c r="H121" s="28" t="s">
        <v>176</v>
      </c>
      <c r="I121" s="14" t="s">
        <v>3463</v>
      </c>
      <c r="J121" s="14" t="s">
        <v>3464</v>
      </c>
      <c r="K121" s="28" t="s">
        <v>3465</v>
      </c>
      <c r="L121" s="28" t="s">
        <v>3466</v>
      </c>
      <c r="M121" s="7" t="s">
        <v>39</v>
      </c>
      <c r="N121" s="32" t="s">
        <v>912</v>
      </c>
      <c r="O121" s="32" t="s">
        <v>973</v>
      </c>
      <c r="P121" s="7"/>
      <c r="Q121" s="32"/>
      <c r="R121" s="7" t="s">
        <v>3</v>
      </c>
      <c r="S121" s="47" t="s">
        <v>1164</v>
      </c>
      <c r="T121" s="4" t="s">
        <v>3467</v>
      </c>
      <c r="U121" s="160" t="s">
        <v>1028</v>
      </c>
    </row>
    <row r="122" spans="1:21">
      <c r="A122" s="7" t="s">
        <v>3468</v>
      </c>
      <c r="B122" s="7" t="s">
        <v>1010</v>
      </c>
      <c r="C122" s="7" t="s">
        <v>754</v>
      </c>
      <c r="D122" s="7" t="s">
        <v>906</v>
      </c>
      <c r="E122" s="32" t="s">
        <v>828</v>
      </c>
      <c r="F122" s="7" t="s">
        <v>16</v>
      </c>
      <c r="G122" s="7" t="s">
        <v>2276</v>
      </c>
      <c r="H122" s="28" t="s">
        <v>176</v>
      </c>
      <c r="I122" s="14" t="s">
        <v>3307</v>
      </c>
      <c r="J122" s="14" t="s">
        <v>3469</v>
      </c>
      <c r="K122" s="28" t="s">
        <v>3470</v>
      </c>
      <c r="L122" s="28" t="s">
        <v>3471</v>
      </c>
      <c r="M122" s="7" t="s">
        <v>39</v>
      </c>
      <c r="N122" s="32" t="s">
        <v>912</v>
      </c>
      <c r="O122" s="32" t="s">
        <v>973</v>
      </c>
      <c r="P122" s="7"/>
      <c r="Q122" s="32"/>
      <c r="R122" s="7" t="s">
        <v>3</v>
      </c>
      <c r="S122" s="7" t="s">
        <v>1089</v>
      </c>
      <c r="T122" s="4" t="s">
        <v>3472</v>
      </c>
      <c r="U122" s="160" t="s">
        <v>1028</v>
      </c>
    </row>
    <row r="123" spans="1:21">
      <c r="A123" s="7" t="s">
        <v>3473</v>
      </c>
      <c r="B123" s="7" t="s">
        <v>1010</v>
      </c>
      <c r="C123" s="7" t="s">
        <v>769</v>
      </c>
      <c r="D123" s="7" t="s">
        <v>906</v>
      </c>
      <c r="E123" s="32" t="s">
        <v>1003</v>
      </c>
      <c r="F123" s="32" t="s">
        <v>12</v>
      </c>
      <c r="G123" s="7" t="s">
        <v>1085</v>
      </c>
      <c r="H123" s="14" t="s">
        <v>781</v>
      </c>
      <c r="I123" s="14" t="s">
        <v>3474</v>
      </c>
      <c r="J123" s="14" t="s">
        <v>3475</v>
      </c>
      <c r="K123" s="28" t="s">
        <v>3476</v>
      </c>
      <c r="L123" s="28" t="s">
        <v>3477</v>
      </c>
      <c r="M123" s="7" t="s">
        <v>39</v>
      </c>
      <c r="N123" s="32" t="s">
        <v>912</v>
      </c>
      <c r="O123" s="32" t="s">
        <v>912</v>
      </c>
      <c r="P123" s="7" t="s">
        <v>1028</v>
      </c>
      <c r="Q123" s="14"/>
      <c r="R123" s="7" t="s">
        <v>3</v>
      </c>
      <c r="S123" s="47" t="s">
        <v>1164</v>
      </c>
      <c r="T123" s="4" t="s">
        <v>3478</v>
      </c>
      <c r="U123" s="178"/>
    </row>
    <row r="124" spans="1:21">
      <c r="A124" s="7" t="s">
        <v>3479</v>
      </c>
      <c r="B124" s="7" t="s">
        <v>1010</v>
      </c>
      <c r="C124" s="7" t="s">
        <v>769</v>
      </c>
      <c r="D124" s="7" t="s">
        <v>906</v>
      </c>
      <c r="E124" s="32" t="s">
        <v>828</v>
      </c>
      <c r="F124" s="32" t="s">
        <v>12</v>
      </c>
      <c r="G124" s="7" t="s">
        <v>1085</v>
      </c>
      <c r="H124" s="28" t="s">
        <v>176</v>
      </c>
      <c r="I124" s="14" t="s">
        <v>3369</v>
      </c>
      <c r="J124" s="14" t="s">
        <v>3192</v>
      </c>
      <c r="K124" s="28" t="s">
        <v>3480</v>
      </c>
      <c r="L124" s="28" t="s">
        <v>3481</v>
      </c>
      <c r="M124" s="7" t="s">
        <v>39</v>
      </c>
      <c r="N124" s="32" t="s">
        <v>912</v>
      </c>
      <c r="O124" s="32" t="s">
        <v>912</v>
      </c>
      <c r="P124" s="7" t="s">
        <v>3007</v>
      </c>
      <c r="Q124" s="14" t="s">
        <v>3482</v>
      </c>
      <c r="R124" s="7" t="s">
        <v>3</v>
      </c>
      <c r="S124" s="7" t="s">
        <v>1033</v>
      </c>
      <c r="T124" s="4" t="s">
        <v>3483</v>
      </c>
      <c r="U124" s="178"/>
    </row>
    <row r="125" spans="1:21">
      <c r="A125" s="292" t="s">
        <v>3484</v>
      </c>
      <c r="B125" s="292" t="s">
        <v>1010</v>
      </c>
      <c r="C125" s="292" t="s">
        <v>746</v>
      </c>
      <c r="D125" s="292" t="s">
        <v>906</v>
      </c>
      <c r="E125" s="294" t="s">
        <v>828</v>
      </c>
      <c r="F125" s="294" t="s">
        <v>12</v>
      </c>
      <c r="G125" s="292" t="s">
        <v>1182</v>
      </c>
      <c r="H125" s="295" t="s">
        <v>781</v>
      </c>
      <c r="I125" s="295" t="s">
        <v>3485</v>
      </c>
      <c r="J125" s="295" t="s">
        <v>3486</v>
      </c>
      <c r="K125" s="296" t="s">
        <v>3487</v>
      </c>
      <c r="L125" s="296" t="s">
        <v>3488</v>
      </c>
      <c r="M125" s="292" t="s">
        <v>39</v>
      </c>
      <c r="N125" s="294" t="s">
        <v>912</v>
      </c>
      <c r="O125" s="294" t="s">
        <v>1190</v>
      </c>
      <c r="P125" s="292" t="s">
        <v>1028</v>
      </c>
      <c r="Q125" s="401" t="s">
        <v>3489</v>
      </c>
      <c r="R125" s="292" t="s">
        <v>4</v>
      </c>
      <c r="S125" s="293">
        <v>46329</v>
      </c>
      <c r="T125" s="298" t="s">
        <v>3490</v>
      </c>
      <c r="U125" s="178"/>
    </row>
    <row r="126" spans="1:21">
      <c r="A126" s="7" t="s">
        <v>3491</v>
      </c>
      <c r="B126" s="7" t="s">
        <v>1010</v>
      </c>
      <c r="C126" s="7" t="s">
        <v>754</v>
      </c>
      <c r="D126" s="7" t="s">
        <v>906</v>
      </c>
      <c r="E126" s="32" t="s">
        <v>828</v>
      </c>
      <c r="F126" s="7" t="s">
        <v>16</v>
      </c>
      <c r="G126" s="7" t="s">
        <v>3492</v>
      </c>
      <c r="H126" s="28" t="s">
        <v>176</v>
      </c>
      <c r="I126" s="14" t="s">
        <v>3493</v>
      </c>
      <c r="J126" s="14" t="s">
        <v>3494</v>
      </c>
      <c r="K126" s="28" t="s">
        <v>3495</v>
      </c>
      <c r="L126" s="14" t="s">
        <v>39</v>
      </c>
      <c r="M126" s="7" t="s">
        <v>39</v>
      </c>
      <c r="N126" s="32" t="s">
        <v>912</v>
      </c>
      <c r="O126" s="32" t="s">
        <v>973</v>
      </c>
      <c r="P126" s="7"/>
      <c r="Q126" s="32"/>
      <c r="R126" s="7" t="s">
        <v>3</v>
      </c>
      <c r="S126" s="47" t="s">
        <v>1164</v>
      </c>
      <c r="T126" s="4" t="s">
        <v>3496</v>
      </c>
      <c r="U126" s="160" t="s">
        <v>1028</v>
      </c>
    </row>
    <row r="127" spans="1:21">
      <c r="A127" s="7" t="s">
        <v>3497</v>
      </c>
      <c r="B127" s="7" t="s">
        <v>1010</v>
      </c>
      <c r="C127" s="7" t="s">
        <v>754</v>
      </c>
      <c r="D127" s="7" t="s">
        <v>906</v>
      </c>
      <c r="E127" s="32" t="s">
        <v>828</v>
      </c>
      <c r="F127" s="32" t="s">
        <v>12</v>
      </c>
      <c r="G127" s="7" t="s">
        <v>907</v>
      </c>
      <c r="H127" s="28" t="s">
        <v>176</v>
      </c>
      <c r="I127" s="14" t="s">
        <v>3268</v>
      </c>
      <c r="J127" s="14" t="s">
        <v>3269</v>
      </c>
      <c r="K127" s="28" t="s">
        <v>3498</v>
      </c>
      <c r="L127" s="28" t="s">
        <v>3499</v>
      </c>
      <c r="M127" s="7" t="s">
        <v>39</v>
      </c>
      <c r="N127" s="32" t="s">
        <v>912</v>
      </c>
      <c r="O127" s="32" t="s">
        <v>3500</v>
      </c>
      <c r="P127" s="7"/>
      <c r="Q127" s="32"/>
      <c r="R127" s="7" t="s">
        <v>3</v>
      </c>
      <c r="S127" s="7" t="s">
        <v>3174</v>
      </c>
      <c r="T127" s="4" t="s">
        <v>3501</v>
      </c>
      <c r="U127" s="178"/>
    </row>
    <row r="128" spans="1:21">
      <c r="A128" s="7" t="s">
        <v>3502</v>
      </c>
      <c r="B128" s="7" t="s">
        <v>1010</v>
      </c>
      <c r="C128" s="7" t="s">
        <v>754</v>
      </c>
      <c r="D128" s="7" t="s">
        <v>906</v>
      </c>
      <c r="E128" s="32" t="s">
        <v>828</v>
      </c>
      <c r="F128" s="32" t="s">
        <v>12</v>
      </c>
      <c r="G128" s="7" t="s">
        <v>907</v>
      </c>
      <c r="H128" s="28" t="s">
        <v>176</v>
      </c>
      <c r="I128" s="14" t="s">
        <v>3503</v>
      </c>
      <c r="J128" s="14" t="s">
        <v>3504</v>
      </c>
      <c r="K128" s="28" t="s">
        <v>3505</v>
      </c>
      <c r="L128" s="14" t="s">
        <v>39</v>
      </c>
      <c r="M128" s="7" t="s">
        <v>39</v>
      </c>
      <c r="N128" s="32" t="s">
        <v>912</v>
      </c>
      <c r="O128" s="32"/>
      <c r="P128" s="7"/>
      <c r="Q128" s="32"/>
      <c r="R128" s="7" t="s">
        <v>3</v>
      </c>
      <c r="S128" s="7" t="s">
        <v>3174</v>
      </c>
      <c r="T128" s="4" t="s">
        <v>3359</v>
      </c>
      <c r="U128" s="178"/>
    </row>
    <row r="129" spans="1:21">
      <c r="A129" s="7" t="s">
        <v>3506</v>
      </c>
      <c r="B129" s="7" t="s">
        <v>1010</v>
      </c>
      <c r="C129" s="7" t="s">
        <v>754</v>
      </c>
      <c r="D129" s="7" t="s">
        <v>906</v>
      </c>
      <c r="E129" s="32" t="s">
        <v>828</v>
      </c>
      <c r="F129" s="32" t="s">
        <v>12</v>
      </c>
      <c r="G129" s="7" t="s">
        <v>907</v>
      </c>
      <c r="H129" s="28" t="s">
        <v>176</v>
      </c>
      <c r="I129" s="14" t="s">
        <v>3507</v>
      </c>
      <c r="J129" s="14" t="s">
        <v>3508</v>
      </c>
      <c r="K129" s="28" t="s">
        <v>3509</v>
      </c>
      <c r="L129" s="14" t="s">
        <v>39</v>
      </c>
      <c r="M129" s="7" t="s">
        <v>39</v>
      </c>
      <c r="N129" s="32" t="s">
        <v>912</v>
      </c>
      <c r="O129" s="32"/>
      <c r="P129" s="7"/>
      <c r="Q129" s="32"/>
      <c r="R129" s="7" t="s">
        <v>3</v>
      </c>
      <c r="S129" s="7" t="s">
        <v>3174</v>
      </c>
      <c r="T129" s="4" t="s">
        <v>3359</v>
      </c>
      <c r="U129" s="178"/>
    </row>
    <row r="130" spans="1:21">
      <c r="A130" s="7" t="s">
        <v>3510</v>
      </c>
      <c r="B130" s="7" t="s">
        <v>1010</v>
      </c>
      <c r="C130" s="7" t="s">
        <v>746</v>
      </c>
      <c r="D130" s="7" t="s">
        <v>906</v>
      </c>
      <c r="E130" s="32" t="s">
        <v>828</v>
      </c>
      <c r="F130" s="32" t="s">
        <v>12</v>
      </c>
      <c r="G130" s="7" t="s">
        <v>1799</v>
      </c>
      <c r="H130" s="28" t="s">
        <v>176</v>
      </c>
      <c r="I130" s="14" t="s">
        <v>3511</v>
      </c>
      <c r="J130" s="14" t="s">
        <v>3512</v>
      </c>
      <c r="K130" s="28" t="s">
        <v>3513</v>
      </c>
      <c r="L130" s="14" t="s">
        <v>39</v>
      </c>
      <c r="M130" s="7" t="s">
        <v>39</v>
      </c>
      <c r="N130" s="32" t="s">
        <v>912</v>
      </c>
      <c r="O130" s="32" t="s">
        <v>752</v>
      </c>
      <c r="P130" s="7"/>
      <c r="Q130" s="32"/>
      <c r="R130" s="7" t="s">
        <v>4</v>
      </c>
      <c r="S130" s="7" t="s">
        <v>3174</v>
      </c>
      <c r="T130" s="4" t="s">
        <v>3514</v>
      </c>
      <c r="U130" s="178"/>
    </row>
    <row r="131" spans="1:21">
      <c r="A131" s="7" t="s">
        <v>3515</v>
      </c>
      <c r="B131" s="7" t="s">
        <v>1010</v>
      </c>
      <c r="C131" s="7" t="s">
        <v>754</v>
      </c>
      <c r="D131" s="7" t="s">
        <v>906</v>
      </c>
      <c r="E131" s="32" t="s">
        <v>828</v>
      </c>
      <c r="F131" s="32" t="s">
        <v>12</v>
      </c>
      <c r="G131" s="7" t="s">
        <v>1013</v>
      </c>
      <c r="H131" s="28" t="s">
        <v>176</v>
      </c>
      <c r="I131" s="14" t="s">
        <v>3516</v>
      </c>
      <c r="J131" s="14" t="s">
        <v>3517</v>
      </c>
      <c r="K131" s="28" t="s">
        <v>3518</v>
      </c>
      <c r="L131" s="14" t="s">
        <v>39</v>
      </c>
      <c r="M131" s="7" t="s">
        <v>39</v>
      </c>
      <c r="N131" s="32" t="s">
        <v>912</v>
      </c>
      <c r="O131" s="32"/>
      <c r="P131" s="7"/>
      <c r="Q131" s="32"/>
      <c r="R131" s="7" t="s">
        <v>3</v>
      </c>
      <c r="S131" s="7" t="s">
        <v>3174</v>
      </c>
      <c r="T131" s="4" t="s">
        <v>3359</v>
      </c>
      <c r="U131" s="178"/>
    </row>
    <row r="132" spans="1:21">
      <c r="A132" s="7" t="s">
        <v>3519</v>
      </c>
      <c r="B132" s="7" t="s">
        <v>1010</v>
      </c>
      <c r="C132" s="7" t="s">
        <v>746</v>
      </c>
      <c r="D132" s="7" t="s">
        <v>906</v>
      </c>
      <c r="E132" s="32" t="s">
        <v>828</v>
      </c>
      <c r="F132" s="32" t="s">
        <v>12</v>
      </c>
      <c r="G132" s="7" t="s">
        <v>907</v>
      </c>
      <c r="H132" s="28" t="s">
        <v>176</v>
      </c>
      <c r="I132" s="14" t="s">
        <v>3520</v>
      </c>
      <c r="J132" s="14" t="s">
        <v>3521</v>
      </c>
      <c r="K132" s="28" t="s">
        <v>3522</v>
      </c>
      <c r="L132" s="14" t="s">
        <v>39</v>
      </c>
      <c r="M132" s="7" t="s">
        <v>39</v>
      </c>
      <c r="N132" s="32" t="s">
        <v>912</v>
      </c>
      <c r="O132" s="32"/>
      <c r="P132" s="7"/>
      <c r="Q132" s="32"/>
      <c r="R132" s="7" t="s">
        <v>3</v>
      </c>
      <c r="S132" s="7" t="s">
        <v>3174</v>
      </c>
      <c r="T132" s="4" t="s">
        <v>3359</v>
      </c>
      <c r="U132" s="178"/>
    </row>
    <row r="133" spans="1:21">
      <c r="A133" s="7" t="s">
        <v>3523</v>
      </c>
      <c r="B133" s="7" t="s">
        <v>1010</v>
      </c>
      <c r="C133" s="7" t="s">
        <v>746</v>
      </c>
      <c r="D133" s="7" t="s">
        <v>906</v>
      </c>
      <c r="E133" s="32" t="s">
        <v>828</v>
      </c>
      <c r="F133" s="32" t="s">
        <v>12</v>
      </c>
      <c r="G133" s="7" t="s">
        <v>907</v>
      </c>
      <c r="H133" s="28" t="s">
        <v>58</v>
      </c>
      <c r="I133" s="14" t="s">
        <v>3520</v>
      </c>
      <c r="J133" s="14" t="s">
        <v>3521</v>
      </c>
      <c r="K133" s="28" t="s">
        <v>3524</v>
      </c>
      <c r="L133" s="14" t="s">
        <v>39</v>
      </c>
      <c r="M133" s="7" t="s">
        <v>39</v>
      </c>
      <c r="N133" s="32" t="s">
        <v>912</v>
      </c>
      <c r="O133" s="32"/>
      <c r="P133" s="7"/>
      <c r="Q133" s="32"/>
      <c r="R133" s="7" t="s">
        <v>3</v>
      </c>
      <c r="S133" s="47">
        <v>46267</v>
      </c>
      <c r="T133" s="4" t="s">
        <v>3275</v>
      </c>
      <c r="U133" s="178"/>
    </row>
    <row r="134" spans="1:21">
      <c r="A134" s="7" t="s">
        <v>3525</v>
      </c>
      <c r="B134" s="7" t="s">
        <v>1010</v>
      </c>
      <c r="C134" s="7" t="s">
        <v>746</v>
      </c>
      <c r="D134" s="7" t="s">
        <v>906</v>
      </c>
      <c r="E134" s="32" t="s">
        <v>828</v>
      </c>
      <c r="F134" s="32" t="s">
        <v>12</v>
      </c>
      <c r="G134" s="7" t="s">
        <v>907</v>
      </c>
      <c r="H134" s="28" t="s">
        <v>176</v>
      </c>
      <c r="I134" s="14" t="s">
        <v>3526</v>
      </c>
      <c r="J134" s="14" t="s">
        <v>3527</v>
      </c>
      <c r="K134" s="28" t="s">
        <v>3528</v>
      </c>
      <c r="L134" s="14" t="s">
        <v>39</v>
      </c>
      <c r="M134" s="7" t="s">
        <v>39</v>
      </c>
      <c r="N134" s="32" t="s">
        <v>912</v>
      </c>
      <c r="O134" s="32"/>
      <c r="P134" s="7"/>
      <c r="Q134" s="32"/>
      <c r="R134" s="7" t="s">
        <v>3</v>
      </c>
      <c r="S134" s="7" t="s">
        <v>2943</v>
      </c>
      <c r="T134" s="4"/>
      <c r="U134" s="178"/>
    </row>
    <row r="135" spans="1:21">
      <c r="A135" s="7" t="s">
        <v>3529</v>
      </c>
      <c r="B135" s="7" t="s">
        <v>1010</v>
      </c>
      <c r="C135" s="7" t="s">
        <v>746</v>
      </c>
      <c r="D135" s="7" t="s">
        <v>906</v>
      </c>
      <c r="E135" s="32" t="s">
        <v>828</v>
      </c>
      <c r="F135" s="32" t="s">
        <v>12</v>
      </c>
      <c r="G135" s="7" t="s">
        <v>1182</v>
      </c>
      <c r="H135" s="28" t="s">
        <v>176</v>
      </c>
      <c r="I135" s="14" t="s">
        <v>3324</v>
      </c>
      <c r="J135" s="14" t="s">
        <v>3325</v>
      </c>
      <c r="K135" s="28" t="s">
        <v>3530</v>
      </c>
      <c r="L135" s="14" t="s">
        <v>39</v>
      </c>
      <c r="M135" s="7" t="s">
        <v>39</v>
      </c>
      <c r="N135" s="32" t="s">
        <v>912</v>
      </c>
      <c r="O135" s="32"/>
      <c r="P135" s="7"/>
      <c r="Q135" s="32"/>
      <c r="R135" s="7" t="s">
        <v>3</v>
      </c>
      <c r="S135" s="7" t="s">
        <v>2943</v>
      </c>
      <c r="T135" s="4"/>
      <c r="U135" s="178"/>
    </row>
    <row r="136" spans="1:21">
      <c r="A136" s="7" t="s">
        <v>3531</v>
      </c>
      <c r="B136" s="7" t="s">
        <v>1010</v>
      </c>
      <c r="C136" s="7" t="s">
        <v>746</v>
      </c>
      <c r="D136" s="7" t="s">
        <v>906</v>
      </c>
      <c r="E136" s="32" t="s">
        <v>1003</v>
      </c>
      <c r="F136" s="7" t="s">
        <v>16</v>
      </c>
      <c r="G136" s="7" t="s">
        <v>3532</v>
      </c>
      <c r="H136" s="28" t="s">
        <v>176</v>
      </c>
      <c r="I136" s="14" t="s">
        <v>3533</v>
      </c>
      <c r="J136" s="14" t="s">
        <v>3534</v>
      </c>
      <c r="K136" s="28" t="s">
        <v>3535</v>
      </c>
      <c r="L136" s="14" t="s">
        <v>39</v>
      </c>
      <c r="M136" s="7" t="s">
        <v>39</v>
      </c>
      <c r="N136" s="32" t="s">
        <v>912</v>
      </c>
      <c r="O136" s="32" t="s">
        <v>973</v>
      </c>
      <c r="P136" s="7"/>
      <c r="Q136" s="32"/>
      <c r="R136" s="7" t="s">
        <v>3</v>
      </c>
      <c r="S136" s="47" t="s">
        <v>1164</v>
      </c>
      <c r="T136" s="4" t="s">
        <v>3536</v>
      </c>
      <c r="U136" s="160" t="s">
        <v>1028</v>
      </c>
    </row>
    <row r="137" spans="1:21">
      <c r="A137" s="7" t="s">
        <v>3537</v>
      </c>
      <c r="B137" s="7" t="s">
        <v>1010</v>
      </c>
      <c r="C137" s="7" t="s">
        <v>746</v>
      </c>
      <c r="D137" s="7" t="s">
        <v>906</v>
      </c>
      <c r="E137" s="32" t="s">
        <v>1003</v>
      </c>
      <c r="F137" s="32" t="s">
        <v>12</v>
      </c>
      <c r="G137" s="7" t="s">
        <v>1182</v>
      </c>
      <c r="H137" s="28" t="s">
        <v>176</v>
      </c>
      <c r="I137" s="14" t="s">
        <v>3185</v>
      </c>
      <c r="J137" s="14" t="s">
        <v>3538</v>
      </c>
      <c r="K137" s="28" t="s">
        <v>3539</v>
      </c>
      <c r="L137" s="28" t="s">
        <v>3540</v>
      </c>
      <c r="M137" s="7" t="s">
        <v>39</v>
      </c>
      <c r="N137" s="32" t="s">
        <v>912</v>
      </c>
      <c r="O137" s="32" t="s">
        <v>912</v>
      </c>
      <c r="P137" s="7" t="s">
        <v>3007</v>
      </c>
      <c r="Q137" s="14" t="s">
        <v>1072</v>
      </c>
      <c r="R137" s="7" t="s">
        <v>3</v>
      </c>
      <c r="S137" s="7" t="s">
        <v>1073</v>
      </c>
      <c r="T137" s="4" t="s">
        <v>3541</v>
      </c>
      <c r="U137" s="178"/>
    </row>
    <row r="138" spans="1:21">
      <c r="A138" s="7" t="s">
        <v>3542</v>
      </c>
      <c r="B138" s="7" t="s">
        <v>1010</v>
      </c>
      <c r="C138" s="7" t="s">
        <v>769</v>
      </c>
      <c r="D138" s="7" t="s">
        <v>906</v>
      </c>
      <c r="E138" s="32" t="s">
        <v>1003</v>
      </c>
      <c r="F138" s="32" t="s">
        <v>12</v>
      </c>
      <c r="G138" s="7" t="s">
        <v>1085</v>
      </c>
      <c r="H138" s="28" t="s">
        <v>176</v>
      </c>
      <c r="I138" s="14" t="s">
        <v>3543</v>
      </c>
      <c r="J138" s="14" t="s">
        <v>3297</v>
      </c>
      <c r="K138" s="28" t="s">
        <v>3544</v>
      </c>
      <c r="L138" s="14" t="s">
        <v>39</v>
      </c>
      <c r="M138" s="7" t="s">
        <v>39</v>
      </c>
      <c r="N138" s="32" t="s">
        <v>912</v>
      </c>
      <c r="O138" s="32"/>
      <c r="P138" s="7"/>
      <c r="Q138" s="32"/>
      <c r="R138" s="7" t="s">
        <v>3</v>
      </c>
      <c r="S138" s="7" t="s">
        <v>2943</v>
      </c>
      <c r="T138" s="4"/>
      <c r="U138" s="178"/>
    </row>
    <row r="139" spans="1:21">
      <c r="A139" s="7" t="s">
        <v>3545</v>
      </c>
      <c r="B139" s="7" t="s">
        <v>1010</v>
      </c>
      <c r="C139" s="7" t="s">
        <v>746</v>
      </c>
      <c r="D139" s="7" t="s">
        <v>906</v>
      </c>
      <c r="E139" s="32" t="s">
        <v>828</v>
      </c>
      <c r="F139" s="32" t="s">
        <v>12</v>
      </c>
      <c r="G139" s="7" t="s">
        <v>1182</v>
      </c>
      <c r="H139" s="28" t="s">
        <v>176</v>
      </c>
      <c r="I139" s="14" t="s">
        <v>3546</v>
      </c>
      <c r="J139" s="14" t="s">
        <v>3547</v>
      </c>
      <c r="K139" s="28" t="s">
        <v>3548</v>
      </c>
      <c r="L139" s="14" t="s">
        <v>39</v>
      </c>
      <c r="M139" s="7" t="s">
        <v>39</v>
      </c>
      <c r="N139" s="32" t="s">
        <v>912</v>
      </c>
      <c r="O139" s="32"/>
      <c r="P139" s="7"/>
      <c r="Q139" s="32"/>
      <c r="R139" s="7" t="s">
        <v>3</v>
      </c>
      <c r="S139" s="7" t="s">
        <v>2943</v>
      </c>
      <c r="T139" s="4" t="s">
        <v>3549</v>
      </c>
      <c r="U139" s="178"/>
    </row>
    <row r="140" spans="1:21">
      <c r="A140" s="7" t="s">
        <v>3550</v>
      </c>
      <c r="B140" s="7" t="s">
        <v>1010</v>
      </c>
      <c r="C140" s="7" t="s">
        <v>769</v>
      </c>
      <c r="D140" s="7" t="s">
        <v>906</v>
      </c>
      <c r="E140" s="32" t="s">
        <v>828</v>
      </c>
      <c r="F140" s="32" t="s">
        <v>12</v>
      </c>
      <c r="G140" s="7" t="s">
        <v>2302</v>
      </c>
      <c r="H140" s="28" t="s">
        <v>70</v>
      </c>
      <c r="I140" s="14" t="s">
        <v>3551</v>
      </c>
      <c r="J140" s="14" t="s">
        <v>3552</v>
      </c>
      <c r="K140" s="28" t="s">
        <v>3553</v>
      </c>
      <c r="L140" s="14" t="s">
        <v>39</v>
      </c>
      <c r="M140" s="7" t="s">
        <v>39</v>
      </c>
      <c r="N140" s="32" t="s">
        <v>912</v>
      </c>
      <c r="O140" s="32"/>
      <c r="P140" s="7"/>
      <c r="Q140" s="32"/>
      <c r="R140" s="7" t="s">
        <v>3</v>
      </c>
      <c r="S140" s="7" t="s">
        <v>2943</v>
      </c>
      <c r="T140" s="4"/>
      <c r="U140" s="178"/>
    </row>
    <row r="141" spans="1:21">
      <c r="A141" s="7" t="s">
        <v>3554</v>
      </c>
      <c r="B141" s="7" t="s">
        <v>3555</v>
      </c>
      <c r="C141" s="7" t="s">
        <v>746</v>
      </c>
      <c r="D141" s="7" t="s">
        <v>906</v>
      </c>
      <c r="E141" s="32" t="s">
        <v>1003</v>
      </c>
      <c r="F141" s="32" t="s">
        <v>12</v>
      </c>
      <c r="G141" s="7" t="s">
        <v>2302</v>
      </c>
      <c r="H141" s="28" t="s">
        <v>3556</v>
      </c>
      <c r="I141" s="14" t="s">
        <v>3375</v>
      </c>
      <c r="J141" s="14" t="s">
        <v>3557</v>
      </c>
      <c r="K141" s="28" t="s">
        <v>3558</v>
      </c>
      <c r="L141" s="14" t="s">
        <v>39</v>
      </c>
      <c r="M141" s="7" t="s">
        <v>39</v>
      </c>
      <c r="N141" s="32" t="s">
        <v>912</v>
      </c>
      <c r="O141" s="32"/>
      <c r="P141" s="7"/>
      <c r="Q141" s="32"/>
      <c r="R141" s="7" t="s">
        <v>3</v>
      </c>
      <c r="S141" s="7" t="s">
        <v>2943</v>
      </c>
      <c r="T141" s="4"/>
      <c r="U141" s="178"/>
    </row>
    <row r="142" spans="1:21">
      <c r="A142" s="7" t="s">
        <v>3559</v>
      </c>
      <c r="B142" s="7" t="s">
        <v>3555</v>
      </c>
      <c r="C142" s="7" t="s">
        <v>746</v>
      </c>
      <c r="D142" s="7" t="s">
        <v>906</v>
      </c>
      <c r="E142" s="32" t="s">
        <v>828</v>
      </c>
      <c r="F142" s="32" t="s">
        <v>12</v>
      </c>
      <c r="G142" s="7" t="s">
        <v>2302</v>
      </c>
      <c r="H142" s="28" t="s">
        <v>3556</v>
      </c>
      <c r="I142" s="14" t="s">
        <v>3333</v>
      </c>
      <c r="J142" s="14" t="s">
        <v>3447</v>
      </c>
      <c r="K142" s="28" t="s">
        <v>3560</v>
      </c>
      <c r="L142" s="14" t="s">
        <v>39</v>
      </c>
      <c r="M142" s="7" t="s">
        <v>39</v>
      </c>
      <c r="N142" s="32" t="s">
        <v>912</v>
      </c>
      <c r="O142" s="32"/>
      <c r="P142" s="7"/>
      <c r="Q142" s="32"/>
      <c r="R142" s="7" t="s">
        <v>3</v>
      </c>
      <c r="S142" s="7" t="s">
        <v>2943</v>
      </c>
      <c r="T142" s="4"/>
      <c r="U142" s="178"/>
    </row>
    <row r="143" spans="1:21">
      <c r="A143" s="7" t="s">
        <v>3561</v>
      </c>
      <c r="B143" s="7" t="s">
        <v>3555</v>
      </c>
      <c r="C143" s="7" t="s">
        <v>746</v>
      </c>
      <c r="D143" s="7" t="s">
        <v>906</v>
      </c>
      <c r="E143" s="32" t="s">
        <v>2946</v>
      </c>
      <c r="F143" s="32" t="s">
        <v>12</v>
      </c>
      <c r="G143" s="7" t="s">
        <v>804</v>
      </c>
      <c r="H143" s="28" t="s">
        <v>3556</v>
      </c>
      <c r="I143" s="14" t="s">
        <v>3562</v>
      </c>
      <c r="J143" s="14" t="s">
        <v>3563</v>
      </c>
      <c r="K143" s="28" t="s">
        <v>3564</v>
      </c>
      <c r="L143" s="14" t="s">
        <v>39</v>
      </c>
      <c r="M143" s="7" t="s">
        <v>39</v>
      </c>
      <c r="N143" s="32" t="s">
        <v>912</v>
      </c>
      <c r="O143" s="32" t="s">
        <v>1009</v>
      </c>
      <c r="P143" s="7" t="s">
        <v>3199</v>
      </c>
      <c r="Q143" s="14" t="s">
        <v>3565</v>
      </c>
      <c r="R143" s="7" t="s">
        <v>4</v>
      </c>
      <c r="S143" s="7" t="s">
        <v>3566</v>
      </c>
      <c r="T143" s="4" t="s">
        <v>3567</v>
      </c>
      <c r="U143" s="178"/>
    </row>
    <row r="144" spans="1:21">
      <c r="A144" s="7" t="s">
        <v>3568</v>
      </c>
      <c r="B144" s="7" t="s">
        <v>3555</v>
      </c>
      <c r="C144" s="7" t="s">
        <v>754</v>
      </c>
      <c r="D144" s="7" t="s">
        <v>906</v>
      </c>
      <c r="E144" s="32" t="s">
        <v>828</v>
      </c>
      <c r="F144" s="32" t="s">
        <v>12</v>
      </c>
      <c r="G144" s="7" t="s">
        <v>1013</v>
      </c>
      <c r="H144" s="28" t="s">
        <v>3556</v>
      </c>
      <c r="I144" s="14" t="s">
        <v>3569</v>
      </c>
      <c r="J144" s="14" t="s">
        <v>3570</v>
      </c>
      <c r="K144" s="28" t="s">
        <v>3571</v>
      </c>
      <c r="L144" s="14" t="s">
        <v>39</v>
      </c>
      <c r="M144" s="7" t="s">
        <v>39</v>
      </c>
      <c r="N144" s="32" t="s">
        <v>912</v>
      </c>
      <c r="O144" s="32"/>
      <c r="P144" s="7"/>
      <c r="Q144" s="32"/>
      <c r="R144" s="7" t="s">
        <v>3</v>
      </c>
      <c r="S144" s="7" t="s">
        <v>3572</v>
      </c>
      <c r="T144" s="4" t="s">
        <v>3573</v>
      </c>
      <c r="U144" s="178"/>
    </row>
    <row r="145" spans="1:21">
      <c r="A145" s="7" t="s">
        <v>3574</v>
      </c>
      <c r="B145" s="7" t="s">
        <v>3555</v>
      </c>
      <c r="C145" s="7" t="s">
        <v>746</v>
      </c>
      <c r="D145" s="7" t="s">
        <v>906</v>
      </c>
      <c r="E145" s="32" t="s">
        <v>828</v>
      </c>
      <c r="F145" s="32" t="s">
        <v>12</v>
      </c>
      <c r="G145" s="7" t="s">
        <v>907</v>
      </c>
      <c r="H145" s="28" t="s">
        <v>3556</v>
      </c>
      <c r="I145" s="14" t="s">
        <v>3575</v>
      </c>
      <c r="J145" s="14" t="s">
        <v>3576</v>
      </c>
      <c r="K145" s="28" t="s">
        <v>3577</v>
      </c>
      <c r="L145" s="14" t="s">
        <v>39</v>
      </c>
      <c r="M145" s="7" t="s">
        <v>39</v>
      </c>
      <c r="N145" s="32" t="s">
        <v>912</v>
      </c>
      <c r="O145" s="32"/>
      <c r="P145" s="7"/>
      <c r="Q145" s="32"/>
      <c r="R145" s="89" t="s">
        <v>3</v>
      </c>
      <c r="S145" s="89" t="s">
        <v>3174</v>
      </c>
      <c r="T145" s="85" t="s">
        <v>3359</v>
      </c>
      <c r="U145" s="178"/>
    </row>
    <row r="146" spans="1:21">
      <c r="A146" s="7" t="s">
        <v>3578</v>
      </c>
      <c r="B146" s="7" t="s">
        <v>3555</v>
      </c>
      <c r="C146" s="7" t="s">
        <v>754</v>
      </c>
      <c r="D146" s="7" t="s">
        <v>906</v>
      </c>
      <c r="E146" s="32" t="s">
        <v>828</v>
      </c>
      <c r="F146" s="32" t="s">
        <v>12</v>
      </c>
      <c r="G146" s="7" t="s">
        <v>907</v>
      </c>
      <c r="H146" s="28" t="s">
        <v>3556</v>
      </c>
      <c r="I146" s="14" t="s">
        <v>3579</v>
      </c>
      <c r="J146" s="14" t="s">
        <v>3580</v>
      </c>
      <c r="K146" s="28" t="s">
        <v>3581</v>
      </c>
      <c r="L146" s="14" t="s">
        <v>39</v>
      </c>
      <c r="M146" s="7" t="s">
        <v>39</v>
      </c>
      <c r="N146" s="32" t="s">
        <v>912</v>
      </c>
      <c r="O146" s="32"/>
      <c r="P146" s="7"/>
      <c r="Q146" s="32"/>
      <c r="R146" s="7" t="s">
        <v>3</v>
      </c>
      <c r="S146" s="47">
        <v>46267</v>
      </c>
      <c r="T146" s="4" t="s">
        <v>3582</v>
      </c>
      <c r="U146" s="178"/>
    </row>
    <row r="147" spans="1:21">
      <c r="A147" s="7" t="s">
        <v>3583</v>
      </c>
      <c r="B147" s="7" t="s">
        <v>3555</v>
      </c>
      <c r="C147" s="7" t="s">
        <v>769</v>
      </c>
      <c r="D147" s="7" t="s">
        <v>906</v>
      </c>
      <c r="E147" s="32" t="s">
        <v>1003</v>
      </c>
      <c r="F147" s="32" t="s">
        <v>12</v>
      </c>
      <c r="G147" s="7" t="s">
        <v>1085</v>
      </c>
      <c r="H147" s="28" t="s">
        <v>3556</v>
      </c>
      <c r="I147" s="14" t="s">
        <v>3584</v>
      </c>
      <c r="J147" s="14" t="s">
        <v>3297</v>
      </c>
      <c r="K147" s="28" t="s">
        <v>3585</v>
      </c>
      <c r="L147" s="14" t="s">
        <v>39</v>
      </c>
      <c r="M147" s="7" t="s">
        <v>39</v>
      </c>
      <c r="N147" s="32" t="s">
        <v>912</v>
      </c>
      <c r="O147" s="32"/>
      <c r="P147" s="7"/>
      <c r="Q147" s="32"/>
      <c r="R147" s="7" t="s">
        <v>3</v>
      </c>
      <c r="S147" s="7" t="s">
        <v>2943</v>
      </c>
      <c r="T147" s="4"/>
      <c r="U147" s="178"/>
    </row>
    <row r="148" spans="1:21">
      <c r="A148" s="7" t="s">
        <v>3586</v>
      </c>
      <c r="B148" s="7" t="s">
        <v>3555</v>
      </c>
      <c r="C148" s="7" t="s">
        <v>746</v>
      </c>
      <c r="D148" s="7" t="s">
        <v>906</v>
      </c>
      <c r="E148" s="32" t="s">
        <v>1003</v>
      </c>
      <c r="F148" s="7" t="s">
        <v>16</v>
      </c>
      <c r="G148" s="7" t="s">
        <v>1245</v>
      </c>
      <c r="H148" s="28" t="s">
        <v>3556</v>
      </c>
      <c r="I148" s="14" t="s">
        <v>3587</v>
      </c>
      <c r="J148" s="14" t="s">
        <v>3588</v>
      </c>
      <c r="K148" s="56" t="s">
        <v>3589</v>
      </c>
      <c r="L148" s="56" t="s">
        <v>3590</v>
      </c>
      <c r="M148" s="7" t="s">
        <v>39</v>
      </c>
      <c r="N148" s="32" t="s">
        <v>912</v>
      </c>
      <c r="O148" s="32" t="s">
        <v>973</v>
      </c>
      <c r="P148" s="32" t="s">
        <v>3199</v>
      </c>
      <c r="Q148" s="14"/>
      <c r="R148" s="7" t="s">
        <v>3</v>
      </c>
      <c r="S148" s="47" t="s">
        <v>1164</v>
      </c>
      <c r="T148" s="4" t="s">
        <v>3591</v>
      </c>
      <c r="U148" s="160" t="s">
        <v>1028</v>
      </c>
    </row>
    <row r="149" spans="1:21">
      <c r="A149" s="7" t="s">
        <v>3592</v>
      </c>
      <c r="B149" s="7" t="s">
        <v>3555</v>
      </c>
      <c r="C149" s="7" t="s">
        <v>754</v>
      </c>
      <c r="D149" s="7" t="s">
        <v>906</v>
      </c>
      <c r="E149" s="32" t="s">
        <v>828</v>
      </c>
      <c r="F149" s="32" t="s">
        <v>12</v>
      </c>
      <c r="G149" s="7" t="s">
        <v>907</v>
      </c>
      <c r="H149" s="28" t="s">
        <v>3556</v>
      </c>
      <c r="I149" s="14" t="s">
        <v>3593</v>
      </c>
      <c r="J149" s="14" t="s">
        <v>3594</v>
      </c>
      <c r="K149" s="28" t="s">
        <v>3595</v>
      </c>
      <c r="L149" s="14" t="s">
        <v>39</v>
      </c>
      <c r="M149" s="7" t="s">
        <v>39</v>
      </c>
      <c r="N149" s="32" t="s">
        <v>912</v>
      </c>
      <c r="O149" s="32"/>
      <c r="P149" s="7"/>
      <c r="Q149" s="14"/>
      <c r="R149" s="7" t="s">
        <v>3</v>
      </c>
      <c r="S149" s="47">
        <v>46267</v>
      </c>
      <c r="T149" s="4" t="s">
        <v>3596</v>
      </c>
      <c r="U149" s="178"/>
    </row>
    <row r="150" spans="1:21">
      <c r="A150" s="7" t="s">
        <v>3597</v>
      </c>
      <c r="B150" s="7" t="s">
        <v>3555</v>
      </c>
      <c r="C150" s="7" t="s">
        <v>754</v>
      </c>
      <c r="D150" s="7" t="s">
        <v>906</v>
      </c>
      <c r="E150" s="32" t="s">
        <v>828</v>
      </c>
      <c r="F150" s="32" t="s">
        <v>12</v>
      </c>
      <c r="G150" s="7" t="s">
        <v>907</v>
      </c>
      <c r="H150" s="28" t="s">
        <v>3556</v>
      </c>
      <c r="I150" s="14" t="s">
        <v>3598</v>
      </c>
      <c r="J150" s="14" t="s">
        <v>3599</v>
      </c>
      <c r="K150" s="28" t="s">
        <v>3600</v>
      </c>
      <c r="L150" s="14" t="s">
        <v>39</v>
      </c>
      <c r="M150" s="7" t="s">
        <v>39</v>
      </c>
      <c r="N150" s="32" t="s">
        <v>912</v>
      </c>
      <c r="O150" s="32"/>
      <c r="P150" s="7"/>
      <c r="Q150" s="14"/>
      <c r="R150" s="7" t="s">
        <v>3</v>
      </c>
      <c r="S150" s="47">
        <v>46267</v>
      </c>
      <c r="T150" s="4" t="s">
        <v>3601</v>
      </c>
      <c r="U150" s="178"/>
    </row>
    <row r="151" spans="1:21">
      <c r="A151" s="7" t="s">
        <v>3602</v>
      </c>
      <c r="B151" s="7" t="s">
        <v>3555</v>
      </c>
      <c r="C151" s="7" t="s">
        <v>754</v>
      </c>
      <c r="D151" s="7" t="s">
        <v>906</v>
      </c>
      <c r="E151" s="32" t="s">
        <v>828</v>
      </c>
      <c r="F151" s="32" t="s">
        <v>12</v>
      </c>
      <c r="G151" s="7" t="s">
        <v>907</v>
      </c>
      <c r="H151" s="28" t="s">
        <v>3556</v>
      </c>
      <c r="I151" s="14" t="s">
        <v>3603</v>
      </c>
      <c r="J151" s="14" t="s">
        <v>3604</v>
      </c>
      <c r="K151" s="28" t="s">
        <v>3605</v>
      </c>
      <c r="L151" s="14" t="s">
        <v>39</v>
      </c>
      <c r="M151" s="7" t="s">
        <v>39</v>
      </c>
      <c r="N151" s="32" t="s">
        <v>912</v>
      </c>
      <c r="O151" s="32" t="s">
        <v>912</v>
      </c>
      <c r="P151" s="7" t="s">
        <v>1028</v>
      </c>
      <c r="Q151" s="14" t="s">
        <v>1220</v>
      </c>
      <c r="R151" s="7" t="s">
        <v>3</v>
      </c>
      <c r="S151" s="47" t="s">
        <v>1061</v>
      </c>
      <c r="T151" s="4" t="s">
        <v>3606</v>
      </c>
      <c r="U151" s="178"/>
    </row>
    <row r="152" spans="1:21">
      <c r="A152" s="7" t="s">
        <v>3607</v>
      </c>
      <c r="B152" s="7" t="s">
        <v>3555</v>
      </c>
      <c r="C152" s="7" t="s">
        <v>769</v>
      </c>
      <c r="D152" s="7" t="s">
        <v>906</v>
      </c>
      <c r="E152" s="32" t="s">
        <v>828</v>
      </c>
      <c r="F152" s="32" t="s">
        <v>12</v>
      </c>
      <c r="G152" s="7" t="s">
        <v>1085</v>
      </c>
      <c r="H152" s="28" t="s">
        <v>3556</v>
      </c>
      <c r="I152" s="14" t="s">
        <v>3191</v>
      </c>
      <c r="J152" s="14" t="s">
        <v>3192</v>
      </c>
      <c r="K152" s="28" t="s">
        <v>3608</v>
      </c>
      <c r="L152" s="28" t="s">
        <v>3609</v>
      </c>
      <c r="M152" s="7" t="s">
        <v>39</v>
      </c>
      <c r="N152" s="32" t="s">
        <v>912</v>
      </c>
      <c r="O152" s="32" t="s">
        <v>912</v>
      </c>
      <c r="P152" s="32" t="s">
        <v>3007</v>
      </c>
      <c r="Q152" s="14" t="s">
        <v>3482</v>
      </c>
      <c r="R152" s="7" t="s">
        <v>3</v>
      </c>
      <c r="S152" s="7" t="s">
        <v>1033</v>
      </c>
      <c r="T152" s="4" t="s">
        <v>3610</v>
      </c>
      <c r="U152" s="178"/>
    </row>
    <row r="153" spans="1:21">
      <c r="A153" s="7" t="s">
        <v>3611</v>
      </c>
      <c r="B153" s="7" t="s">
        <v>3555</v>
      </c>
      <c r="C153" s="7" t="s">
        <v>746</v>
      </c>
      <c r="D153" s="7" t="s">
        <v>906</v>
      </c>
      <c r="E153" s="32" t="s">
        <v>3612</v>
      </c>
      <c r="F153" s="32" t="s">
        <v>12</v>
      </c>
      <c r="G153" s="7" t="s">
        <v>804</v>
      </c>
      <c r="H153" s="28" t="s">
        <v>3556</v>
      </c>
      <c r="I153" s="14" t="s">
        <v>3613</v>
      </c>
      <c r="J153" s="14" t="s">
        <v>3614</v>
      </c>
      <c r="K153" s="56" t="s">
        <v>3615</v>
      </c>
      <c r="L153" s="14" t="s">
        <v>39</v>
      </c>
      <c r="M153" s="7" t="s">
        <v>39</v>
      </c>
      <c r="N153" s="32" t="s">
        <v>912</v>
      </c>
      <c r="O153" s="32" t="s">
        <v>1009</v>
      </c>
      <c r="P153" s="32" t="s">
        <v>3199</v>
      </c>
      <c r="Q153" s="14" t="s">
        <v>3616</v>
      </c>
      <c r="R153" s="7" t="s">
        <v>4</v>
      </c>
      <c r="S153" s="7" t="s">
        <v>1033</v>
      </c>
      <c r="T153" s="4" t="s">
        <v>3617</v>
      </c>
      <c r="U153" s="178"/>
    </row>
    <row r="154" spans="1:21" s="370" customFormat="1">
      <c r="A154" s="151" t="s">
        <v>3618</v>
      </c>
      <c r="B154" s="151" t="s">
        <v>3555</v>
      </c>
      <c r="C154" s="151" t="s">
        <v>746</v>
      </c>
      <c r="D154" s="151" t="s">
        <v>906</v>
      </c>
      <c r="E154" s="152" t="s">
        <v>767</v>
      </c>
      <c r="F154" s="151" t="s">
        <v>6</v>
      </c>
      <c r="G154" s="151" t="s">
        <v>2302</v>
      </c>
      <c r="H154" s="155" t="s">
        <v>3556</v>
      </c>
      <c r="I154" s="154" t="s">
        <v>3619</v>
      </c>
      <c r="J154" s="154" t="s">
        <v>3407</v>
      </c>
      <c r="K154" s="155" t="s">
        <v>3620</v>
      </c>
      <c r="L154" s="154" t="s">
        <v>39</v>
      </c>
      <c r="M154" s="151" t="s">
        <v>39</v>
      </c>
      <c r="N154" s="152" t="s">
        <v>912</v>
      </c>
      <c r="O154" s="152" t="s">
        <v>912</v>
      </c>
      <c r="P154" s="151" t="s">
        <v>1017</v>
      </c>
      <c r="Q154" s="154" t="s">
        <v>3621</v>
      </c>
      <c r="R154" s="151" t="s">
        <v>3</v>
      </c>
      <c r="S154" s="151" t="s">
        <v>3174</v>
      </c>
      <c r="T154" s="156" t="s">
        <v>3622</v>
      </c>
      <c r="U154" s="167" t="s">
        <v>868</v>
      </c>
    </row>
    <row r="155" spans="1:21">
      <c r="A155" s="7" t="s">
        <v>3623</v>
      </c>
      <c r="B155" s="7" t="s">
        <v>3555</v>
      </c>
      <c r="C155" s="7" t="s">
        <v>754</v>
      </c>
      <c r="D155" s="7" t="s">
        <v>906</v>
      </c>
      <c r="E155" s="32" t="s">
        <v>828</v>
      </c>
      <c r="F155" s="32" t="s">
        <v>12</v>
      </c>
      <c r="G155" s="7" t="s">
        <v>907</v>
      </c>
      <c r="H155" s="56" t="s">
        <v>479</v>
      </c>
      <c r="I155" s="14" t="s">
        <v>3624</v>
      </c>
      <c r="J155" s="14" t="s">
        <v>3625</v>
      </c>
      <c r="K155" s="56" t="s">
        <v>3626</v>
      </c>
      <c r="L155" s="14" t="s">
        <v>39</v>
      </c>
      <c r="M155" s="7" t="s">
        <v>39</v>
      </c>
      <c r="N155" s="32" t="s">
        <v>912</v>
      </c>
      <c r="O155" s="32" t="s">
        <v>752</v>
      </c>
      <c r="P155" s="7"/>
      <c r="Q155" s="14" t="s">
        <v>1716</v>
      </c>
      <c r="R155" s="7" t="s">
        <v>3</v>
      </c>
      <c r="S155" s="7" t="s">
        <v>1026</v>
      </c>
      <c r="T155" s="4" t="s">
        <v>3627</v>
      </c>
      <c r="U155" s="178"/>
    </row>
    <row r="156" spans="1:21" s="27" customFormat="1">
      <c r="A156" s="7" t="s">
        <v>3628</v>
      </c>
      <c r="B156" s="7" t="s">
        <v>3555</v>
      </c>
      <c r="C156" s="7" t="s">
        <v>746</v>
      </c>
      <c r="D156" s="7" t="s">
        <v>906</v>
      </c>
      <c r="E156" s="32" t="s">
        <v>2946</v>
      </c>
      <c r="F156" s="32" t="s">
        <v>12</v>
      </c>
      <c r="G156" s="7" t="s">
        <v>804</v>
      </c>
      <c r="H156" s="28" t="s">
        <v>479</v>
      </c>
      <c r="I156" s="14" t="s">
        <v>3562</v>
      </c>
      <c r="J156" s="14" t="s">
        <v>3563</v>
      </c>
      <c r="K156" s="28" t="s">
        <v>3629</v>
      </c>
      <c r="L156" s="14" t="s">
        <v>39</v>
      </c>
      <c r="M156" s="7" t="s">
        <v>39</v>
      </c>
      <c r="N156" s="32" t="s">
        <v>912</v>
      </c>
      <c r="O156" s="32" t="s">
        <v>1009</v>
      </c>
      <c r="P156" s="7" t="s">
        <v>1017</v>
      </c>
      <c r="Q156" s="14" t="s">
        <v>1138</v>
      </c>
      <c r="R156" s="7" t="s">
        <v>4</v>
      </c>
      <c r="S156" s="7" t="s">
        <v>1658</v>
      </c>
      <c r="T156" s="4" t="s">
        <v>3124</v>
      </c>
      <c r="U156" s="59"/>
    </row>
    <row r="157" spans="1:21">
      <c r="A157" s="7" t="s">
        <v>3630</v>
      </c>
      <c r="B157" s="7" t="s">
        <v>3555</v>
      </c>
      <c r="C157" s="7" t="s">
        <v>746</v>
      </c>
      <c r="D157" s="7" t="s">
        <v>906</v>
      </c>
      <c r="E157" s="32" t="s">
        <v>1003</v>
      </c>
      <c r="F157" s="32" t="s">
        <v>12</v>
      </c>
      <c r="G157" s="7" t="s">
        <v>2302</v>
      </c>
      <c r="H157" s="28" t="s">
        <v>479</v>
      </c>
      <c r="I157" s="14" t="s">
        <v>3375</v>
      </c>
      <c r="J157" s="14" t="s">
        <v>3557</v>
      </c>
      <c r="K157" s="28" t="s">
        <v>3631</v>
      </c>
      <c r="L157" s="14" t="s">
        <v>39</v>
      </c>
      <c r="M157" s="7" t="s">
        <v>39</v>
      </c>
      <c r="N157" s="32" t="s">
        <v>912</v>
      </c>
      <c r="O157" s="32"/>
      <c r="P157" s="7"/>
      <c r="Q157" s="14"/>
      <c r="R157" s="7" t="s">
        <v>3</v>
      </c>
      <c r="S157" s="7" t="s">
        <v>2943</v>
      </c>
      <c r="T157" s="4"/>
      <c r="U157" s="178"/>
    </row>
    <row r="158" spans="1:21">
      <c r="A158" s="7" t="s">
        <v>3632</v>
      </c>
      <c r="B158" s="7" t="s">
        <v>3555</v>
      </c>
      <c r="C158" s="7" t="s">
        <v>746</v>
      </c>
      <c r="D158" s="7" t="s">
        <v>906</v>
      </c>
      <c r="E158" s="32" t="s">
        <v>828</v>
      </c>
      <c r="F158" s="32" t="s">
        <v>12</v>
      </c>
      <c r="G158" s="7" t="s">
        <v>2302</v>
      </c>
      <c r="H158" s="28" t="s">
        <v>479</v>
      </c>
      <c r="I158" s="14" t="s">
        <v>3333</v>
      </c>
      <c r="J158" s="14" t="s">
        <v>3447</v>
      </c>
      <c r="K158" s="28" t="s">
        <v>3633</v>
      </c>
      <c r="L158" s="14" t="s">
        <v>39</v>
      </c>
      <c r="M158" s="7" t="s">
        <v>39</v>
      </c>
      <c r="N158" s="32" t="s">
        <v>912</v>
      </c>
      <c r="O158" s="32"/>
      <c r="P158" s="7"/>
      <c r="Q158" s="14"/>
      <c r="R158" s="7" t="s">
        <v>3</v>
      </c>
      <c r="S158" s="7" t="s">
        <v>2943</v>
      </c>
      <c r="T158" s="4"/>
      <c r="U158" s="178"/>
    </row>
    <row r="159" spans="1:21">
      <c r="A159" s="7" t="s">
        <v>3634</v>
      </c>
      <c r="B159" s="7" t="s">
        <v>3555</v>
      </c>
      <c r="C159" s="7" t="s">
        <v>746</v>
      </c>
      <c r="D159" s="7" t="s">
        <v>906</v>
      </c>
      <c r="E159" s="32" t="s">
        <v>828</v>
      </c>
      <c r="F159" s="32" t="s">
        <v>12</v>
      </c>
      <c r="G159" s="7" t="s">
        <v>907</v>
      </c>
      <c r="H159" s="28" t="s">
        <v>479</v>
      </c>
      <c r="I159" s="14" t="s">
        <v>3635</v>
      </c>
      <c r="J159" s="14" t="s">
        <v>3636</v>
      </c>
      <c r="K159" s="28" t="s">
        <v>3637</v>
      </c>
      <c r="L159" s="14" t="s">
        <v>39</v>
      </c>
      <c r="M159" s="7" t="s">
        <v>39</v>
      </c>
      <c r="N159" s="32" t="s">
        <v>912</v>
      </c>
      <c r="O159" s="32"/>
      <c r="P159" s="7"/>
      <c r="Q159" s="14"/>
      <c r="R159" s="7" t="s">
        <v>3</v>
      </c>
      <c r="S159" s="47">
        <v>46267</v>
      </c>
      <c r="T159" s="4" t="s">
        <v>3638</v>
      </c>
      <c r="U159" s="178"/>
    </row>
    <row r="160" spans="1:21">
      <c r="A160" s="7" t="s">
        <v>3639</v>
      </c>
      <c r="B160" s="7" t="s">
        <v>3555</v>
      </c>
      <c r="C160" s="7" t="s">
        <v>754</v>
      </c>
      <c r="D160" s="7" t="s">
        <v>906</v>
      </c>
      <c r="E160" s="32" t="s">
        <v>828</v>
      </c>
      <c r="F160" s="32" t="s">
        <v>12</v>
      </c>
      <c r="G160" s="7" t="s">
        <v>907</v>
      </c>
      <c r="H160" s="28" t="s">
        <v>479</v>
      </c>
      <c r="I160" s="14" t="s">
        <v>3640</v>
      </c>
      <c r="J160" s="14" t="s">
        <v>3641</v>
      </c>
      <c r="K160" s="28" t="s">
        <v>3642</v>
      </c>
      <c r="L160" s="14" t="s">
        <v>39</v>
      </c>
      <c r="M160" s="7" t="s">
        <v>39</v>
      </c>
      <c r="N160" s="32" t="s">
        <v>912</v>
      </c>
      <c r="O160" s="32"/>
      <c r="P160" s="7"/>
      <c r="Q160" s="14"/>
      <c r="R160" s="7" t="s">
        <v>3</v>
      </c>
      <c r="S160" s="47">
        <v>46267</v>
      </c>
      <c r="T160" s="4" t="s">
        <v>3638</v>
      </c>
      <c r="U160" s="178"/>
    </row>
    <row r="161" spans="1:21">
      <c r="A161" s="7" t="s">
        <v>3643</v>
      </c>
      <c r="B161" s="7" t="s">
        <v>3555</v>
      </c>
      <c r="C161" s="7" t="s">
        <v>754</v>
      </c>
      <c r="D161" s="7" t="s">
        <v>906</v>
      </c>
      <c r="E161" s="32" t="s">
        <v>828</v>
      </c>
      <c r="F161" s="32" t="s">
        <v>12</v>
      </c>
      <c r="G161" s="7" t="s">
        <v>1013</v>
      </c>
      <c r="H161" s="28" t="s">
        <v>479</v>
      </c>
      <c r="I161" s="14" t="s">
        <v>3644</v>
      </c>
      <c r="J161" s="14" t="s">
        <v>3645</v>
      </c>
      <c r="K161" s="28" t="s">
        <v>3646</v>
      </c>
      <c r="L161" s="14" t="s">
        <v>39</v>
      </c>
      <c r="M161" s="7" t="s">
        <v>39</v>
      </c>
      <c r="N161" s="32" t="s">
        <v>912</v>
      </c>
      <c r="O161" s="32"/>
      <c r="P161" s="7"/>
      <c r="Q161" s="14"/>
      <c r="R161" s="7" t="s">
        <v>3</v>
      </c>
      <c r="S161" s="7" t="s">
        <v>3174</v>
      </c>
      <c r="T161" s="4" t="s">
        <v>3359</v>
      </c>
      <c r="U161" s="178"/>
    </row>
    <row r="162" spans="1:21">
      <c r="A162" s="7" t="s">
        <v>3647</v>
      </c>
      <c r="B162" s="7" t="s">
        <v>3555</v>
      </c>
      <c r="C162" s="7" t="s">
        <v>754</v>
      </c>
      <c r="D162" s="7" t="s">
        <v>906</v>
      </c>
      <c r="E162" s="32" t="s">
        <v>828</v>
      </c>
      <c r="F162" s="32" t="s">
        <v>12</v>
      </c>
      <c r="G162" s="7" t="s">
        <v>1013</v>
      </c>
      <c r="H162" s="28" t="s">
        <v>479</v>
      </c>
      <c r="I162" s="14" t="s">
        <v>3569</v>
      </c>
      <c r="J162" s="14" t="s">
        <v>3570</v>
      </c>
      <c r="K162" s="28" t="s">
        <v>3648</v>
      </c>
      <c r="L162" s="14" t="s">
        <v>39</v>
      </c>
      <c r="M162" s="7" t="s">
        <v>39</v>
      </c>
      <c r="N162" s="32" t="s">
        <v>912</v>
      </c>
      <c r="O162" s="32"/>
      <c r="P162" s="7"/>
      <c r="Q162" s="14"/>
      <c r="R162" s="7" t="s">
        <v>3</v>
      </c>
      <c r="S162" s="7" t="s">
        <v>3174</v>
      </c>
      <c r="T162" s="4" t="s">
        <v>3359</v>
      </c>
      <c r="U162" s="178"/>
    </row>
    <row r="163" spans="1:21">
      <c r="A163" s="7" t="s">
        <v>3649</v>
      </c>
      <c r="B163" s="7" t="s">
        <v>3555</v>
      </c>
      <c r="C163" s="7" t="s">
        <v>754</v>
      </c>
      <c r="D163" s="7" t="s">
        <v>906</v>
      </c>
      <c r="E163" s="32" t="s">
        <v>828</v>
      </c>
      <c r="F163" s="32" t="s">
        <v>12</v>
      </c>
      <c r="G163" s="7" t="s">
        <v>907</v>
      </c>
      <c r="H163" s="28" t="s">
        <v>479</v>
      </c>
      <c r="I163" s="14" t="s">
        <v>3650</v>
      </c>
      <c r="J163" s="14" t="s">
        <v>3651</v>
      </c>
      <c r="K163" s="28" t="s">
        <v>3652</v>
      </c>
      <c r="L163" s="14" t="s">
        <v>39</v>
      </c>
      <c r="M163" s="7" t="s">
        <v>39</v>
      </c>
      <c r="N163" s="32" t="s">
        <v>912</v>
      </c>
      <c r="O163" s="32"/>
      <c r="P163" s="7"/>
      <c r="Q163" s="14"/>
      <c r="R163" s="7" t="s">
        <v>3</v>
      </c>
      <c r="S163" s="47">
        <v>46267</v>
      </c>
      <c r="T163" s="4" t="s">
        <v>3638</v>
      </c>
      <c r="U163" s="178"/>
    </row>
    <row r="164" spans="1:21">
      <c r="A164" s="7" t="s">
        <v>3653</v>
      </c>
      <c r="B164" s="7" t="s">
        <v>3555</v>
      </c>
      <c r="C164" s="7" t="s">
        <v>746</v>
      </c>
      <c r="D164" s="7" t="s">
        <v>906</v>
      </c>
      <c r="E164" s="32" t="s">
        <v>828</v>
      </c>
      <c r="F164" s="32" t="s">
        <v>12</v>
      </c>
      <c r="G164" s="7" t="s">
        <v>1085</v>
      </c>
      <c r="H164" s="28" t="s">
        <v>479</v>
      </c>
      <c r="I164" s="14" t="s">
        <v>3654</v>
      </c>
      <c r="J164" s="14" t="s">
        <v>3655</v>
      </c>
      <c r="K164" s="28" t="s">
        <v>3656</v>
      </c>
      <c r="L164" s="14" t="s">
        <v>39</v>
      </c>
      <c r="M164" s="7" t="s">
        <v>39</v>
      </c>
      <c r="N164" s="32" t="s">
        <v>912</v>
      </c>
      <c r="O164" s="32"/>
      <c r="P164" s="7"/>
      <c r="Q164" s="14"/>
      <c r="R164" s="7" t="s">
        <v>3</v>
      </c>
      <c r="S164" s="7" t="s">
        <v>3174</v>
      </c>
      <c r="T164" s="4" t="s">
        <v>3359</v>
      </c>
      <c r="U164" s="178"/>
    </row>
    <row r="165" spans="1:21">
      <c r="A165" s="7" t="s">
        <v>3657</v>
      </c>
      <c r="B165" s="7" t="s">
        <v>3555</v>
      </c>
      <c r="C165" s="7" t="s">
        <v>754</v>
      </c>
      <c r="D165" s="7" t="s">
        <v>906</v>
      </c>
      <c r="E165" s="32" t="s">
        <v>828</v>
      </c>
      <c r="F165" s="32" t="s">
        <v>12</v>
      </c>
      <c r="G165" s="7" t="s">
        <v>907</v>
      </c>
      <c r="H165" s="28" t="s">
        <v>479</v>
      </c>
      <c r="I165" s="14" t="s">
        <v>3658</v>
      </c>
      <c r="J165" s="14" t="s">
        <v>3659</v>
      </c>
      <c r="K165" s="28" t="s">
        <v>3660</v>
      </c>
      <c r="L165" s="14" t="s">
        <v>39</v>
      </c>
      <c r="M165" s="7" t="s">
        <v>39</v>
      </c>
      <c r="N165" s="32" t="s">
        <v>912</v>
      </c>
      <c r="O165" s="32"/>
      <c r="P165" s="7"/>
      <c r="Q165" s="14"/>
      <c r="R165" s="7" t="s">
        <v>3</v>
      </c>
      <c r="S165" s="47">
        <v>46267</v>
      </c>
      <c r="T165" s="4" t="s">
        <v>3638</v>
      </c>
      <c r="U165" s="178"/>
    </row>
    <row r="166" spans="1:21">
      <c r="A166" s="7" t="s">
        <v>3661</v>
      </c>
      <c r="B166" s="7" t="s">
        <v>3555</v>
      </c>
      <c r="C166" s="7" t="s">
        <v>746</v>
      </c>
      <c r="D166" s="7" t="s">
        <v>906</v>
      </c>
      <c r="E166" s="32" t="s">
        <v>3662</v>
      </c>
      <c r="F166" s="32" t="s">
        <v>12</v>
      </c>
      <c r="G166" s="7" t="s">
        <v>804</v>
      </c>
      <c r="H166" s="28" t="s">
        <v>479</v>
      </c>
      <c r="I166" s="14" t="s">
        <v>3663</v>
      </c>
      <c r="J166" s="14" t="s">
        <v>3664</v>
      </c>
      <c r="K166" s="56" t="s">
        <v>3665</v>
      </c>
      <c r="L166" s="14" t="s">
        <v>39</v>
      </c>
      <c r="M166" s="7" t="s">
        <v>39</v>
      </c>
      <c r="N166" s="32" t="s">
        <v>912</v>
      </c>
      <c r="O166" s="32" t="s">
        <v>1009</v>
      </c>
      <c r="P166" s="32" t="s">
        <v>3199</v>
      </c>
      <c r="Q166" s="14" t="s">
        <v>3616</v>
      </c>
      <c r="R166" s="7" t="s">
        <v>4</v>
      </c>
      <c r="S166" s="7" t="s">
        <v>1033</v>
      </c>
      <c r="T166" s="4" t="s">
        <v>3617</v>
      </c>
      <c r="U166" s="178"/>
    </row>
    <row r="167" spans="1:21">
      <c r="A167" s="7" t="s">
        <v>3666</v>
      </c>
      <c r="B167" s="7" t="s">
        <v>3555</v>
      </c>
      <c r="C167" s="7" t="s">
        <v>746</v>
      </c>
      <c r="D167" s="7" t="s">
        <v>906</v>
      </c>
      <c r="E167" s="32" t="s">
        <v>3662</v>
      </c>
      <c r="F167" s="7" t="s">
        <v>16</v>
      </c>
      <c r="G167" s="7" t="s">
        <v>1076</v>
      </c>
      <c r="H167" s="28" t="s">
        <v>479</v>
      </c>
      <c r="I167" s="14" t="s">
        <v>3667</v>
      </c>
      <c r="J167" s="14" t="s">
        <v>3668</v>
      </c>
      <c r="K167" s="28" t="s">
        <v>3669</v>
      </c>
      <c r="L167" s="14" t="s">
        <v>39</v>
      </c>
      <c r="M167" s="7" t="s">
        <v>39</v>
      </c>
      <c r="N167" s="32" t="s">
        <v>912</v>
      </c>
      <c r="O167" s="32" t="s">
        <v>973</v>
      </c>
      <c r="P167" s="7"/>
      <c r="Q167" s="14"/>
      <c r="R167" s="7" t="s">
        <v>3</v>
      </c>
      <c r="S167" s="82" t="s">
        <v>1089</v>
      </c>
      <c r="T167" s="85" t="s">
        <v>3670</v>
      </c>
      <c r="U167" s="160" t="s">
        <v>1028</v>
      </c>
    </row>
    <row r="168" spans="1:21">
      <c r="A168" s="7" t="s">
        <v>3671</v>
      </c>
      <c r="B168" s="7" t="s">
        <v>3555</v>
      </c>
      <c r="C168" s="7" t="s">
        <v>746</v>
      </c>
      <c r="D168" s="7" t="s">
        <v>906</v>
      </c>
      <c r="E168" s="32" t="s">
        <v>828</v>
      </c>
      <c r="F168" s="32" t="s">
        <v>12</v>
      </c>
      <c r="G168" s="7" t="s">
        <v>907</v>
      </c>
      <c r="H168" s="28" t="s">
        <v>479</v>
      </c>
      <c r="I168" s="14" t="s">
        <v>3672</v>
      </c>
      <c r="J168" s="14" t="s">
        <v>3673</v>
      </c>
      <c r="K168" s="28" t="s">
        <v>3674</v>
      </c>
      <c r="L168" s="14" t="s">
        <v>39</v>
      </c>
      <c r="M168" s="7" t="s">
        <v>39</v>
      </c>
      <c r="N168" s="32" t="s">
        <v>912</v>
      </c>
      <c r="O168" s="32"/>
      <c r="P168" s="7"/>
      <c r="Q168" s="14"/>
      <c r="R168" s="7" t="s">
        <v>3</v>
      </c>
      <c r="S168" s="47">
        <v>46267</v>
      </c>
      <c r="T168" s="4" t="s">
        <v>3638</v>
      </c>
      <c r="U168" s="178"/>
    </row>
    <row r="169" spans="1:21">
      <c r="A169" s="7" t="s">
        <v>3675</v>
      </c>
      <c r="B169" s="7" t="s">
        <v>3555</v>
      </c>
      <c r="C169" s="7" t="s">
        <v>754</v>
      </c>
      <c r="D169" s="7" t="s">
        <v>906</v>
      </c>
      <c r="E169" s="32" t="s">
        <v>828</v>
      </c>
      <c r="F169" s="32" t="s">
        <v>12</v>
      </c>
      <c r="G169" s="7" t="s">
        <v>907</v>
      </c>
      <c r="H169" s="28" t="s">
        <v>479</v>
      </c>
      <c r="I169" s="14" t="s">
        <v>3676</v>
      </c>
      <c r="J169" s="14" t="s">
        <v>3677</v>
      </c>
      <c r="K169" s="28" t="s">
        <v>3678</v>
      </c>
      <c r="L169" s="14" t="s">
        <v>39</v>
      </c>
      <c r="M169" s="7" t="s">
        <v>39</v>
      </c>
      <c r="N169" s="32" t="s">
        <v>912</v>
      </c>
      <c r="O169" s="32"/>
      <c r="P169" s="7"/>
      <c r="Q169" s="14"/>
      <c r="R169" s="7" t="s">
        <v>3</v>
      </c>
      <c r="S169" s="47">
        <v>46267</v>
      </c>
      <c r="T169" s="4" t="s">
        <v>3638</v>
      </c>
      <c r="U169" s="178"/>
    </row>
    <row r="170" spans="1:21">
      <c r="A170" s="7" t="s">
        <v>3679</v>
      </c>
      <c r="B170" s="7" t="s">
        <v>3555</v>
      </c>
      <c r="C170" s="7" t="s">
        <v>769</v>
      </c>
      <c r="D170" s="7" t="s">
        <v>906</v>
      </c>
      <c r="E170" s="32" t="s">
        <v>1003</v>
      </c>
      <c r="F170" s="32" t="s">
        <v>12</v>
      </c>
      <c r="G170" s="7" t="s">
        <v>1085</v>
      </c>
      <c r="H170" s="28" t="s">
        <v>479</v>
      </c>
      <c r="I170" s="14" t="s">
        <v>3584</v>
      </c>
      <c r="J170" s="14" t="s">
        <v>3297</v>
      </c>
      <c r="K170" s="28" t="s">
        <v>3680</v>
      </c>
      <c r="L170" s="14" t="s">
        <v>39</v>
      </c>
      <c r="M170" s="7" t="s">
        <v>39</v>
      </c>
      <c r="N170" s="32" t="s">
        <v>912</v>
      </c>
      <c r="O170" s="32"/>
      <c r="P170" s="7"/>
      <c r="Q170" s="14"/>
      <c r="R170" s="7" t="s">
        <v>3</v>
      </c>
      <c r="S170" s="7" t="s">
        <v>2943</v>
      </c>
      <c r="T170" s="4"/>
      <c r="U170" s="178"/>
    </row>
    <row r="171" spans="1:21">
      <c r="A171" s="7" t="s">
        <v>3681</v>
      </c>
      <c r="B171" s="7" t="s">
        <v>3555</v>
      </c>
      <c r="C171" s="7" t="s">
        <v>746</v>
      </c>
      <c r="D171" s="7" t="s">
        <v>906</v>
      </c>
      <c r="E171" s="32" t="s">
        <v>828</v>
      </c>
      <c r="F171" s="32" t="s">
        <v>12</v>
      </c>
      <c r="G171" s="7" t="s">
        <v>907</v>
      </c>
      <c r="H171" s="28" t="s">
        <v>479</v>
      </c>
      <c r="I171" s="14" t="s">
        <v>3682</v>
      </c>
      <c r="J171" s="14" t="s">
        <v>3683</v>
      </c>
      <c r="K171" s="28" t="s">
        <v>3684</v>
      </c>
      <c r="L171" s="14" t="s">
        <v>39</v>
      </c>
      <c r="M171" s="7" t="s">
        <v>39</v>
      </c>
      <c r="N171" s="32" t="s">
        <v>912</v>
      </c>
      <c r="O171" s="32"/>
      <c r="P171" s="7"/>
      <c r="Q171" s="14"/>
      <c r="R171" s="7" t="s">
        <v>3</v>
      </c>
      <c r="S171" s="47">
        <v>46267</v>
      </c>
      <c r="T171" s="4" t="s">
        <v>3638</v>
      </c>
      <c r="U171" s="178"/>
    </row>
    <row r="172" spans="1:21">
      <c r="A172" s="7" t="s">
        <v>3685</v>
      </c>
      <c r="B172" s="7" t="s">
        <v>3555</v>
      </c>
      <c r="C172" s="7" t="s">
        <v>746</v>
      </c>
      <c r="D172" s="7" t="s">
        <v>906</v>
      </c>
      <c r="E172" s="32" t="s">
        <v>828</v>
      </c>
      <c r="F172" s="32" t="s">
        <v>12</v>
      </c>
      <c r="G172" s="7" t="s">
        <v>907</v>
      </c>
      <c r="H172" s="28" t="s">
        <v>479</v>
      </c>
      <c r="I172" s="14" t="s">
        <v>3686</v>
      </c>
      <c r="J172" s="14" t="s">
        <v>3687</v>
      </c>
      <c r="K172" s="28" t="s">
        <v>3688</v>
      </c>
      <c r="L172" s="14" t="s">
        <v>39</v>
      </c>
      <c r="M172" s="7" t="s">
        <v>39</v>
      </c>
      <c r="N172" s="32" t="s">
        <v>912</v>
      </c>
      <c r="O172" s="32"/>
      <c r="P172" s="7"/>
      <c r="Q172" s="14"/>
      <c r="R172" s="7" t="s">
        <v>3</v>
      </c>
      <c r="S172" s="47">
        <v>46267</v>
      </c>
      <c r="T172" s="4" t="s">
        <v>3638</v>
      </c>
      <c r="U172" s="178"/>
    </row>
    <row r="173" spans="1:21">
      <c r="A173" s="7" t="s">
        <v>3689</v>
      </c>
      <c r="B173" s="7" t="s">
        <v>3555</v>
      </c>
      <c r="C173" s="7" t="s">
        <v>769</v>
      </c>
      <c r="D173" s="7" t="s">
        <v>906</v>
      </c>
      <c r="E173" s="32" t="s">
        <v>828</v>
      </c>
      <c r="F173" s="32" t="s">
        <v>12</v>
      </c>
      <c r="G173" s="7" t="s">
        <v>1085</v>
      </c>
      <c r="H173" s="28" t="s">
        <v>479</v>
      </c>
      <c r="I173" s="14" t="s">
        <v>3191</v>
      </c>
      <c r="J173" s="14" t="s">
        <v>3192</v>
      </c>
      <c r="K173" s="28" t="s">
        <v>3690</v>
      </c>
      <c r="L173" s="28" t="s">
        <v>3609</v>
      </c>
      <c r="M173" s="7" t="s">
        <v>39</v>
      </c>
      <c r="N173" s="32" t="s">
        <v>912</v>
      </c>
      <c r="O173" s="32" t="s">
        <v>912</v>
      </c>
      <c r="P173" s="32" t="s">
        <v>3007</v>
      </c>
      <c r="Q173" s="14" t="s">
        <v>3482</v>
      </c>
      <c r="R173" s="7" t="s">
        <v>3</v>
      </c>
      <c r="S173" s="7" t="s">
        <v>1033</v>
      </c>
      <c r="T173" s="4" t="s">
        <v>3691</v>
      </c>
      <c r="U173" s="178"/>
    </row>
    <row r="174" spans="1:21">
      <c r="A174" s="7" t="s">
        <v>3692</v>
      </c>
      <c r="B174" s="7" t="s">
        <v>3555</v>
      </c>
      <c r="C174" s="7" t="s">
        <v>769</v>
      </c>
      <c r="D174" s="7" t="s">
        <v>906</v>
      </c>
      <c r="E174" s="32" t="s">
        <v>828</v>
      </c>
      <c r="F174" s="32" t="s">
        <v>12</v>
      </c>
      <c r="G174" s="7" t="s">
        <v>907</v>
      </c>
      <c r="H174" s="28" t="s">
        <v>479</v>
      </c>
      <c r="I174" s="14" t="s">
        <v>3693</v>
      </c>
      <c r="J174" s="14" t="s">
        <v>3694</v>
      </c>
      <c r="K174" s="28" t="s">
        <v>3695</v>
      </c>
      <c r="L174" s="14" t="s">
        <v>39</v>
      </c>
      <c r="M174" s="7" t="s">
        <v>39</v>
      </c>
      <c r="N174" s="32" t="s">
        <v>912</v>
      </c>
      <c r="O174" s="32"/>
      <c r="P174" s="7"/>
      <c r="Q174" s="14"/>
      <c r="R174" s="7" t="s">
        <v>3</v>
      </c>
      <c r="S174" s="47">
        <v>46267</v>
      </c>
      <c r="T174" s="4" t="s">
        <v>3638</v>
      </c>
      <c r="U174" s="178"/>
    </row>
    <row r="175" spans="1:21" s="370" customFormat="1">
      <c r="A175" s="151" t="s">
        <v>3696</v>
      </c>
      <c r="B175" s="151" t="s">
        <v>3555</v>
      </c>
      <c r="C175" s="151" t="s">
        <v>746</v>
      </c>
      <c r="D175" s="151" t="s">
        <v>906</v>
      </c>
      <c r="E175" s="152" t="s">
        <v>767</v>
      </c>
      <c r="F175" s="151" t="s">
        <v>6</v>
      </c>
      <c r="G175" s="151" t="s">
        <v>2302</v>
      </c>
      <c r="H175" s="155" t="s">
        <v>479</v>
      </c>
      <c r="I175" s="154" t="s">
        <v>3697</v>
      </c>
      <c r="J175" s="154" t="s">
        <v>3407</v>
      </c>
      <c r="K175" s="155" t="s">
        <v>3698</v>
      </c>
      <c r="L175" s="154" t="s">
        <v>39</v>
      </c>
      <c r="M175" s="151" t="s">
        <v>39</v>
      </c>
      <c r="N175" s="152" t="s">
        <v>912</v>
      </c>
      <c r="O175" s="152" t="s">
        <v>912</v>
      </c>
      <c r="P175" s="151" t="s">
        <v>1017</v>
      </c>
      <c r="Q175" s="154" t="s">
        <v>3621</v>
      </c>
      <c r="R175" s="151" t="s">
        <v>3</v>
      </c>
      <c r="S175" s="151" t="s">
        <v>3174</v>
      </c>
      <c r="T175" s="156" t="s">
        <v>3699</v>
      </c>
      <c r="U175" s="167" t="s">
        <v>868</v>
      </c>
    </row>
    <row r="176" spans="1:21">
      <c r="A176" s="7" t="s">
        <v>3700</v>
      </c>
      <c r="B176" s="7" t="s">
        <v>3555</v>
      </c>
      <c r="C176" s="7" t="s">
        <v>746</v>
      </c>
      <c r="D176" s="7" t="s">
        <v>906</v>
      </c>
      <c r="E176" s="32" t="s">
        <v>828</v>
      </c>
      <c r="F176" s="32" t="s">
        <v>12</v>
      </c>
      <c r="G176" s="7" t="s">
        <v>907</v>
      </c>
      <c r="H176" s="28" t="s">
        <v>479</v>
      </c>
      <c r="I176" s="49" t="s">
        <v>3598</v>
      </c>
      <c r="J176" s="14" t="s">
        <v>3599</v>
      </c>
      <c r="K176" s="28" t="s">
        <v>3701</v>
      </c>
      <c r="L176" s="14" t="s">
        <v>39</v>
      </c>
      <c r="M176" s="7" t="s">
        <v>39</v>
      </c>
      <c r="N176" s="32" t="s">
        <v>912</v>
      </c>
      <c r="O176" s="32"/>
      <c r="P176" s="7"/>
      <c r="Q176" s="14"/>
      <c r="R176" s="7" t="s">
        <v>3</v>
      </c>
      <c r="S176" s="47">
        <v>46267</v>
      </c>
      <c r="T176" s="4" t="s">
        <v>3702</v>
      </c>
      <c r="U176" s="178"/>
    </row>
    <row r="177" spans="1:21">
      <c r="A177" s="7" t="s">
        <v>3703</v>
      </c>
      <c r="B177" s="7" t="s">
        <v>3555</v>
      </c>
      <c r="C177" s="7" t="s">
        <v>754</v>
      </c>
      <c r="D177" s="7" t="s">
        <v>906</v>
      </c>
      <c r="E177" s="32" t="s">
        <v>828</v>
      </c>
      <c r="F177" s="32" t="s">
        <v>12</v>
      </c>
      <c r="G177" s="7" t="s">
        <v>907</v>
      </c>
      <c r="H177" s="28" t="s">
        <v>479</v>
      </c>
      <c r="I177" s="14" t="s">
        <v>3603</v>
      </c>
      <c r="J177" s="14" t="s">
        <v>3604</v>
      </c>
      <c r="K177" s="28" t="s">
        <v>3704</v>
      </c>
      <c r="L177" s="14" t="s">
        <v>39</v>
      </c>
      <c r="M177" s="7" t="s">
        <v>39</v>
      </c>
      <c r="N177" s="32" t="s">
        <v>912</v>
      </c>
      <c r="O177" s="32"/>
      <c r="P177" s="7"/>
      <c r="Q177" s="14"/>
      <c r="R177" s="7" t="s">
        <v>3</v>
      </c>
      <c r="S177" s="47">
        <v>46267</v>
      </c>
      <c r="T177" s="4" t="s">
        <v>3638</v>
      </c>
      <c r="U177" s="178"/>
    </row>
    <row r="178" spans="1:21">
      <c r="A178" s="7" t="s">
        <v>3705</v>
      </c>
      <c r="B178" s="7" t="s">
        <v>3555</v>
      </c>
      <c r="C178" s="7" t="s">
        <v>746</v>
      </c>
      <c r="D178" s="7" t="s">
        <v>906</v>
      </c>
      <c r="E178" s="32" t="s">
        <v>828</v>
      </c>
      <c r="F178" s="32" t="s">
        <v>12</v>
      </c>
      <c r="G178" s="7" t="s">
        <v>907</v>
      </c>
      <c r="H178" s="28" t="s">
        <v>479</v>
      </c>
      <c r="I178" s="14" t="s">
        <v>3706</v>
      </c>
      <c r="J178" s="14" t="s">
        <v>3707</v>
      </c>
      <c r="K178" s="28" t="s">
        <v>3708</v>
      </c>
      <c r="L178" s="14" t="s">
        <v>39</v>
      </c>
      <c r="M178" s="7" t="s">
        <v>39</v>
      </c>
      <c r="N178" s="32" t="s">
        <v>912</v>
      </c>
      <c r="O178" s="32"/>
      <c r="P178" s="7"/>
      <c r="Q178" s="14"/>
      <c r="R178" s="7" t="s">
        <v>3</v>
      </c>
      <c r="S178" s="47">
        <v>46267</v>
      </c>
      <c r="T178" s="4" t="s">
        <v>3638</v>
      </c>
      <c r="U178" s="178"/>
    </row>
    <row r="179" spans="1:21">
      <c r="A179" s="7" t="s">
        <v>3709</v>
      </c>
      <c r="B179" s="7" t="s">
        <v>3555</v>
      </c>
      <c r="C179" s="7" t="s">
        <v>754</v>
      </c>
      <c r="D179" s="7" t="s">
        <v>906</v>
      </c>
      <c r="E179" s="32" t="s">
        <v>828</v>
      </c>
      <c r="F179" s="32" t="s">
        <v>12</v>
      </c>
      <c r="G179" s="7" t="s">
        <v>907</v>
      </c>
      <c r="H179" s="28" t="s">
        <v>479</v>
      </c>
      <c r="I179" s="14" t="s">
        <v>3710</v>
      </c>
      <c r="J179" s="14" t="s">
        <v>3711</v>
      </c>
      <c r="K179" s="28" t="s">
        <v>3712</v>
      </c>
      <c r="L179" s="14" t="s">
        <v>39</v>
      </c>
      <c r="M179" s="7" t="s">
        <v>39</v>
      </c>
      <c r="N179" s="32" t="s">
        <v>912</v>
      </c>
      <c r="O179" s="32"/>
      <c r="P179" s="7"/>
      <c r="Q179" s="14"/>
      <c r="R179" s="7" t="s">
        <v>3</v>
      </c>
      <c r="S179" s="47">
        <v>46267</v>
      </c>
      <c r="T179" s="4" t="s">
        <v>3638</v>
      </c>
      <c r="U179" s="178"/>
    </row>
    <row r="180" spans="1:21">
      <c r="A180" s="7" t="s">
        <v>3713</v>
      </c>
      <c r="B180" s="7" t="s">
        <v>3555</v>
      </c>
      <c r="C180" s="7" t="s">
        <v>769</v>
      </c>
      <c r="D180" s="7" t="s">
        <v>906</v>
      </c>
      <c r="E180" s="32" t="s">
        <v>828</v>
      </c>
      <c r="F180" s="32" t="s">
        <v>12</v>
      </c>
      <c r="G180" s="7" t="s">
        <v>2302</v>
      </c>
      <c r="H180" s="28" t="s">
        <v>479</v>
      </c>
      <c r="I180" s="14" t="s">
        <v>2992</v>
      </c>
      <c r="J180" s="14" t="s">
        <v>2993</v>
      </c>
      <c r="K180" s="28" t="s">
        <v>3714</v>
      </c>
      <c r="L180" s="14" t="s">
        <v>39</v>
      </c>
      <c r="M180" s="7" t="s">
        <v>39</v>
      </c>
      <c r="N180" s="32" t="s">
        <v>912</v>
      </c>
      <c r="O180" s="32" t="s">
        <v>912</v>
      </c>
      <c r="P180" s="32" t="s">
        <v>3007</v>
      </c>
      <c r="Q180" s="14" t="s">
        <v>3008</v>
      </c>
      <c r="R180" s="7" t="s">
        <v>3</v>
      </c>
      <c r="S180" s="47">
        <v>46175</v>
      </c>
      <c r="T180" s="4" t="s">
        <v>3715</v>
      </c>
      <c r="U180" s="178"/>
    </row>
    <row r="181" spans="1:21">
      <c r="A181" s="7" t="s">
        <v>3716</v>
      </c>
      <c r="B181" s="7" t="s">
        <v>3555</v>
      </c>
      <c r="C181" s="7" t="s">
        <v>769</v>
      </c>
      <c r="D181" s="7" t="s">
        <v>906</v>
      </c>
      <c r="E181" s="32" t="s">
        <v>828</v>
      </c>
      <c r="F181" s="32" t="s">
        <v>12</v>
      </c>
      <c r="G181" s="7" t="s">
        <v>2302</v>
      </c>
      <c r="H181" s="28" t="s">
        <v>3556</v>
      </c>
      <c r="I181" s="14" t="s">
        <v>2992</v>
      </c>
      <c r="J181" s="14" t="s">
        <v>2993</v>
      </c>
      <c r="K181" s="28" t="s">
        <v>3717</v>
      </c>
      <c r="L181" s="14" t="s">
        <v>39</v>
      </c>
      <c r="M181" s="7" t="s">
        <v>39</v>
      </c>
      <c r="N181" s="32" t="s">
        <v>912</v>
      </c>
      <c r="O181" s="32" t="s">
        <v>912</v>
      </c>
      <c r="P181" s="32" t="s">
        <v>3007</v>
      </c>
      <c r="Q181" s="14" t="s">
        <v>3008</v>
      </c>
      <c r="R181" s="7" t="s">
        <v>3</v>
      </c>
      <c r="S181" s="47">
        <v>46175</v>
      </c>
      <c r="T181" s="4" t="s">
        <v>3718</v>
      </c>
      <c r="U181" s="178"/>
    </row>
    <row r="182" spans="1:21">
      <c r="A182" s="7" t="s">
        <v>3719</v>
      </c>
      <c r="B182" s="7" t="s">
        <v>3555</v>
      </c>
      <c r="C182" s="7" t="s">
        <v>746</v>
      </c>
      <c r="D182" s="7" t="s">
        <v>906</v>
      </c>
      <c r="E182" s="32" t="s">
        <v>828</v>
      </c>
      <c r="F182" s="32" t="s">
        <v>12</v>
      </c>
      <c r="G182" s="7" t="s">
        <v>907</v>
      </c>
      <c r="H182" s="28" t="s">
        <v>3556</v>
      </c>
      <c r="I182" s="14" t="s">
        <v>3720</v>
      </c>
      <c r="J182" s="14" t="s">
        <v>3721</v>
      </c>
      <c r="K182" s="28" t="s">
        <v>3722</v>
      </c>
      <c r="L182" s="14" t="s">
        <v>39</v>
      </c>
      <c r="M182" s="7" t="s">
        <v>39</v>
      </c>
      <c r="N182" s="32" t="s">
        <v>912</v>
      </c>
      <c r="O182" s="32"/>
      <c r="P182" s="7"/>
      <c r="Q182" s="14"/>
      <c r="R182" s="7" t="s">
        <v>3</v>
      </c>
      <c r="S182" s="47">
        <v>46267</v>
      </c>
      <c r="T182" s="4" t="s">
        <v>3723</v>
      </c>
      <c r="U182" s="178"/>
    </row>
    <row r="183" spans="1:21">
      <c r="A183" s="7" t="s">
        <v>3724</v>
      </c>
      <c r="B183" s="7" t="s">
        <v>3555</v>
      </c>
      <c r="C183" s="7" t="s">
        <v>769</v>
      </c>
      <c r="D183" s="7" t="s">
        <v>906</v>
      </c>
      <c r="E183" s="32" t="s">
        <v>828</v>
      </c>
      <c r="F183" s="32" t="s">
        <v>12</v>
      </c>
      <c r="G183" s="7" t="s">
        <v>2302</v>
      </c>
      <c r="H183" s="28" t="s">
        <v>85</v>
      </c>
      <c r="I183" s="14" t="s">
        <v>2992</v>
      </c>
      <c r="J183" s="14" t="s">
        <v>2993</v>
      </c>
      <c r="K183" s="28" t="s">
        <v>3725</v>
      </c>
      <c r="L183" s="14" t="s">
        <v>39</v>
      </c>
      <c r="M183" s="7" t="s">
        <v>39</v>
      </c>
      <c r="N183" s="32" t="s">
        <v>912</v>
      </c>
      <c r="O183" s="32" t="s">
        <v>912</v>
      </c>
      <c r="P183" s="32" t="s">
        <v>3007</v>
      </c>
      <c r="Q183" s="14" t="s">
        <v>3008</v>
      </c>
      <c r="R183" s="7" t="s">
        <v>3</v>
      </c>
      <c r="S183" s="47">
        <v>46175</v>
      </c>
      <c r="T183" s="4" t="s">
        <v>3726</v>
      </c>
      <c r="U183" s="178"/>
    </row>
    <row r="184" spans="1:21" s="27" customFormat="1">
      <c r="A184" s="7" t="s">
        <v>3727</v>
      </c>
      <c r="B184" s="7" t="s">
        <v>3555</v>
      </c>
      <c r="C184" s="7" t="s">
        <v>746</v>
      </c>
      <c r="D184" s="7" t="s">
        <v>906</v>
      </c>
      <c r="E184" s="32" t="s">
        <v>1574</v>
      </c>
      <c r="F184" s="32" t="s">
        <v>12</v>
      </c>
      <c r="G184" s="7" t="s">
        <v>804</v>
      </c>
      <c r="H184" s="28" t="s">
        <v>85</v>
      </c>
      <c r="I184" s="14" t="s">
        <v>3728</v>
      </c>
      <c r="J184" s="14" t="s">
        <v>3729</v>
      </c>
      <c r="K184" s="28" t="s">
        <v>3730</v>
      </c>
      <c r="L184" s="14" t="s">
        <v>39</v>
      </c>
      <c r="M184" s="7" t="s">
        <v>39</v>
      </c>
      <c r="N184" s="32" t="s">
        <v>912</v>
      </c>
      <c r="O184" s="32" t="s">
        <v>1009</v>
      </c>
      <c r="P184" s="7" t="s">
        <v>1017</v>
      </c>
      <c r="Q184" s="14" t="s">
        <v>1138</v>
      </c>
      <c r="R184" s="7" t="s">
        <v>4</v>
      </c>
      <c r="S184" s="7" t="s">
        <v>1658</v>
      </c>
      <c r="T184" s="4" t="s">
        <v>3124</v>
      </c>
      <c r="U184" s="59"/>
    </row>
    <row r="185" spans="1:21">
      <c r="A185" s="7" t="s">
        <v>3731</v>
      </c>
      <c r="B185" s="7" t="s">
        <v>3555</v>
      </c>
      <c r="C185" s="7" t="s">
        <v>754</v>
      </c>
      <c r="D185" s="7" t="s">
        <v>906</v>
      </c>
      <c r="E185" s="32" t="s">
        <v>828</v>
      </c>
      <c r="F185" s="32" t="s">
        <v>12</v>
      </c>
      <c r="G185" s="7" t="s">
        <v>907</v>
      </c>
      <c r="H185" s="28" t="s">
        <v>85</v>
      </c>
      <c r="I185" s="14" t="s">
        <v>3732</v>
      </c>
      <c r="J185" s="14" t="s">
        <v>3733</v>
      </c>
      <c r="K185" s="28" t="s">
        <v>3734</v>
      </c>
      <c r="L185" s="14" t="s">
        <v>39</v>
      </c>
      <c r="M185" s="7" t="s">
        <v>39</v>
      </c>
      <c r="N185" s="32" t="s">
        <v>912</v>
      </c>
      <c r="O185" s="32"/>
      <c r="P185" s="7"/>
      <c r="Q185" s="14"/>
      <c r="R185" s="7" t="s">
        <v>3</v>
      </c>
      <c r="S185" s="47">
        <v>46267</v>
      </c>
      <c r="T185" s="4" t="s">
        <v>3735</v>
      </c>
      <c r="U185" s="178"/>
    </row>
    <row r="186" spans="1:21">
      <c r="A186" s="7" t="s">
        <v>3736</v>
      </c>
      <c r="B186" s="7" t="s">
        <v>3555</v>
      </c>
      <c r="C186" s="7" t="s">
        <v>754</v>
      </c>
      <c r="D186" s="7" t="s">
        <v>906</v>
      </c>
      <c r="E186" s="32" t="s">
        <v>828</v>
      </c>
      <c r="F186" s="32" t="s">
        <v>12</v>
      </c>
      <c r="G186" s="7" t="s">
        <v>907</v>
      </c>
      <c r="H186" s="28" t="s">
        <v>85</v>
      </c>
      <c r="I186" s="14" t="s">
        <v>3737</v>
      </c>
      <c r="J186" s="14" t="s">
        <v>3738</v>
      </c>
      <c r="K186" s="28" t="s">
        <v>3739</v>
      </c>
      <c r="L186" s="14" t="s">
        <v>39</v>
      </c>
      <c r="M186" s="7" t="s">
        <v>39</v>
      </c>
      <c r="N186" s="32" t="s">
        <v>912</v>
      </c>
      <c r="O186" s="32"/>
      <c r="P186" s="7"/>
      <c r="Q186" s="14"/>
      <c r="R186" s="7" t="s">
        <v>3</v>
      </c>
      <c r="S186" s="47">
        <v>46267</v>
      </c>
      <c r="T186" s="4" t="s">
        <v>3735</v>
      </c>
      <c r="U186" s="178"/>
    </row>
    <row r="187" spans="1:21">
      <c r="A187" s="7" t="s">
        <v>3740</v>
      </c>
      <c r="B187" s="7" t="s">
        <v>3555</v>
      </c>
      <c r="C187" s="7" t="s">
        <v>746</v>
      </c>
      <c r="D187" s="7" t="s">
        <v>906</v>
      </c>
      <c r="E187" s="32" t="s">
        <v>828</v>
      </c>
      <c r="F187" s="32" t="s">
        <v>12</v>
      </c>
      <c r="G187" s="7" t="s">
        <v>1799</v>
      </c>
      <c r="H187" s="28" t="s">
        <v>85</v>
      </c>
      <c r="I187" s="14" t="s">
        <v>3741</v>
      </c>
      <c r="J187" s="14" t="s">
        <v>3742</v>
      </c>
      <c r="K187" s="28" t="s">
        <v>3743</v>
      </c>
      <c r="L187" s="14" t="s">
        <v>39</v>
      </c>
      <c r="M187" s="7" t="s">
        <v>39</v>
      </c>
      <c r="N187" s="32" t="s">
        <v>912</v>
      </c>
      <c r="O187" s="32"/>
      <c r="P187" s="7"/>
      <c r="Q187" s="14"/>
      <c r="R187" s="7" t="s">
        <v>3</v>
      </c>
      <c r="S187" s="7" t="s">
        <v>3174</v>
      </c>
      <c r="T187" s="4" t="s">
        <v>3744</v>
      </c>
      <c r="U187" s="178"/>
    </row>
    <row r="188" spans="1:21">
      <c r="A188" s="7" t="s">
        <v>3745</v>
      </c>
      <c r="B188" s="7" t="s">
        <v>3555</v>
      </c>
      <c r="C188" s="7" t="s">
        <v>746</v>
      </c>
      <c r="D188" s="7" t="s">
        <v>906</v>
      </c>
      <c r="E188" s="32" t="s">
        <v>828</v>
      </c>
      <c r="F188" s="32" t="s">
        <v>12</v>
      </c>
      <c r="G188" s="7" t="s">
        <v>907</v>
      </c>
      <c r="H188" s="28" t="s">
        <v>85</v>
      </c>
      <c r="I188" s="14" t="s">
        <v>3746</v>
      </c>
      <c r="J188" s="14" t="s">
        <v>3747</v>
      </c>
      <c r="K188" s="28" t="s">
        <v>3748</v>
      </c>
      <c r="L188" s="14" t="s">
        <v>39</v>
      </c>
      <c r="M188" s="7" t="s">
        <v>39</v>
      </c>
      <c r="N188" s="32" t="s">
        <v>912</v>
      </c>
      <c r="O188" s="32"/>
      <c r="P188" s="7"/>
      <c r="Q188" s="14"/>
      <c r="R188" s="7" t="s">
        <v>3</v>
      </c>
      <c r="S188" s="47">
        <v>46267</v>
      </c>
      <c r="T188" s="4" t="s">
        <v>3735</v>
      </c>
      <c r="U188" s="178"/>
    </row>
    <row r="189" spans="1:21">
      <c r="A189" s="7" t="s">
        <v>3749</v>
      </c>
      <c r="B189" s="7" t="s">
        <v>3555</v>
      </c>
      <c r="C189" s="7" t="s">
        <v>754</v>
      </c>
      <c r="D189" s="7" t="s">
        <v>906</v>
      </c>
      <c r="E189" s="32" t="s">
        <v>828</v>
      </c>
      <c r="F189" s="32" t="s">
        <v>12</v>
      </c>
      <c r="G189" s="7" t="s">
        <v>907</v>
      </c>
      <c r="H189" s="28" t="s">
        <v>85</v>
      </c>
      <c r="I189" s="14" t="s">
        <v>3750</v>
      </c>
      <c r="J189" s="14" t="s">
        <v>3751</v>
      </c>
      <c r="K189" s="28" t="s">
        <v>3752</v>
      </c>
      <c r="L189" s="14" t="s">
        <v>39</v>
      </c>
      <c r="M189" s="7" t="s">
        <v>39</v>
      </c>
      <c r="N189" s="32" t="s">
        <v>912</v>
      </c>
      <c r="O189" s="32"/>
      <c r="P189" s="7"/>
      <c r="Q189" s="14"/>
      <c r="R189" s="7" t="s">
        <v>3</v>
      </c>
      <c r="S189" s="47">
        <v>46267</v>
      </c>
      <c r="T189" s="4" t="s">
        <v>3735</v>
      </c>
      <c r="U189" s="178"/>
    </row>
    <row r="190" spans="1:21">
      <c r="A190" s="7" t="s">
        <v>3753</v>
      </c>
      <c r="B190" s="7" t="s">
        <v>3555</v>
      </c>
      <c r="C190" s="7" t="s">
        <v>746</v>
      </c>
      <c r="D190" s="7" t="s">
        <v>906</v>
      </c>
      <c r="E190" s="32" t="s">
        <v>828</v>
      </c>
      <c r="F190" s="32" t="s">
        <v>12</v>
      </c>
      <c r="G190" s="7" t="s">
        <v>907</v>
      </c>
      <c r="H190" s="28" t="s">
        <v>85</v>
      </c>
      <c r="I190" s="14" t="s">
        <v>3693</v>
      </c>
      <c r="J190" s="14" t="s">
        <v>3694</v>
      </c>
      <c r="K190" s="28" t="s">
        <v>3754</v>
      </c>
      <c r="L190" s="14" t="s">
        <v>39</v>
      </c>
      <c r="M190" s="7" t="s">
        <v>39</v>
      </c>
      <c r="N190" s="32" t="s">
        <v>912</v>
      </c>
      <c r="O190" s="32"/>
      <c r="P190" s="7"/>
      <c r="Q190" s="14"/>
      <c r="R190" s="7" t="s">
        <v>3</v>
      </c>
      <c r="S190" s="47">
        <v>46267</v>
      </c>
      <c r="T190" s="4" t="s">
        <v>3735</v>
      </c>
      <c r="U190" s="178"/>
    </row>
    <row r="191" spans="1:21">
      <c r="A191" s="7" t="s">
        <v>3755</v>
      </c>
      <c r="B191" s="7" t="s">
        <v>3555</v>
      </c>
      <c r="C191" s="7" t="s">
        <v>746</v>
      </c>
      <c r="D191" s="7" t="s">
        <v>906</v>
      </c>
      <c r="E191" s="32" t="s">
        <v>828</v>
      </c>
      <c r="F191" s="32" t="s">
        <v>12</v>
      </c>
      <c r="G191" s="7" t="s">
        <v>907</v>
      </c>
      <c r="H191" s="28" t="s">
        <v>85</v>
      </c>
      <c r="I191" s="14" t="s">
        <v>3756</v>
      </c>
      <c r="J191" s="14" t="s">
        <v>3757</v>
      </c>
      <c r="K191" s="28" t="s">
        <v>3758</v>
      </c>
      <c r="L191" s="14" t="s">
        <v>39</v>
      </c>
      <c r="M191" s="7" t="s">
        <v>39</v>
      </c>
      <c r="N191" s="32" t="s">
        <v>912</v>
      </c>
      <c r="O191" s="32"/>
      <c r="P191" s="7"/>
      <c r="Q191" s="14"/>
      <c r="R191" s="7" t="s">
        <v>3</v>
      </c>
      <c r="S191" s="47">
        <v>46267</v>
      </c>
      <c r="T191" s="4" t="s">
        <v>3735</v>
      </c>
      <c r="U191" s="178"/>
    </row>
    <row r="192" spans="1:21">
      <c r="A192" s="7" t="s">
        <v>3759</v>
      </c>
      <c r="B192" s="7" t="s">
        <v>3555</v>
      </c>
      <c r="C192" s="7" t="s">
        <v>746</v>
      </c>
      <c r="D192" s="7" t="s">
        <v>906</v>
      </c>
      <c r="E192" s="32" t="s">
        <v>828</v>
      </c>
      <c r="F192" s="32" t="s">
        <v>12</v>
      </c>
      <c r="G192" s="7" t="s">
        <v>907</v>
      </c>
      <c r="H192" s="28" t="s">
        <v>85</v>
      </c>
      <c r="I192" s="14" t="s">
        <v>3760</v>
      </c>
      <c r="J192" s="14" t="s">
        <v>3761</v>
      </c>
      <c r="K192" s="28" t="s">
        <v>3762</v>
      </c>
      <c r="L192" s="14" t="s">
        <v>39</v>
      </c>
      <c r="M192" s="7" t="s">
        <v>39</v>
      </c>
      <c r="N192" s="32" t="s">
        <v>912</v>
      </c>
      <c r="O192" s="32"/>
      <c r="P192" s="7"/>
      <c r="Q192" s="14"/>
      <c r="R192" s="7" t="s">
        <v>3</v>
      </c>
      <c r="S192" s="47">
        <v>46267</v>
      </c>
      <c r="T192" s="4" t="s">
        <v>3735</v>
      </c>
      <c r="U192" s="178"/>
    </row>
    <row r="193" spans="1:21" s="370" customFormat="1">
      <c r="A193" s="151" t="s">
        <v>3763</v>
      </c>
      <c r="B193" s="151" t="s">
        <v>3555</v>
      </c>
      <c r="C193" s="151" t="s">
        <v>746</v>
      </c>
      <c r="D193" s="151" t="s">
        <v>906</v>
      </c>
      <c r="E193" s="152" t="s">
        <v>767</v>
      </c>
      <c r="F193" s="151" t="s">
        <v>16</v>
      </c>
      <c r="G193" s="151" t="s">
        <v>2302</v>
      </c>
      <c r="H193" s="155" t="s">
        <v>85</v>
      </c>
      <c r="I193" s="154" t="s">
        <v>3764</v>
      </c>
      <c r="J193" s="154" t="s">
        <v>3407</v>
      </c>
      <c r="K193" s="155" t="s">
        <v>3765</v>
      </c>
      <c r="L193" s="154" t="s">
        <v>39</v>
      </c>
      <c r="M193" s="151" t="s">
        <v>39</v>
      </c>
      <c r="N193" s="152" t="s">
        <v>912</v>
      </c>
      <c r="O193" s="152" t="s">
        <v>973</v>
      </c>
      <c r="P193" s="151" t="s">
        <v>1017</v>
      </c>
      <c r="Q193" s="154" t="s">
        <v>3123</v>
      </c>
      <c r="R193" s="151" t="s">
        <v>3</v>
      </c>
      <c r="S193" s="151" t="s">
        <v>1278</v>
      </c>
      <c r="T193" s="156" t="s">
        <v>3766</v>
      </c>
      <c r="U193" s="167" t="s">
        <v>868</v>
      </c>
    </row>
    <row r="194" spans="1:21">
      <c r="A194" s="7" t="s">
        <v>3767</v>
      </c>
      <c r="B194" s="7" t="s">
        <v>3555</v>
      </c>
      <c r="C194" s="7" t="s">
        <v>769</v>
      </c>
      <c r="D194" s="7" t="s">
        <v>906</v>
      </c>
      <c r="E194" s="32" t="s">
        <v>1003</v>
      </c>
      <c r="F194" s="32" t="s">
        <v>12</v>
      </c>
      <c r="G194" s="7" t="s">
        <v>1085</v>
      </c>
      <c r="H194" s="28" t="s">
        <v>85</v>
      </c>
      <c r="I194" s="14" t="s">
        <v>3768</v>
      </c>
      <c r="J194" s="14" t="s">
        <v>3297</v>
      </c>
      <c r="K194" s="28" t="s">
        <v>3769</v>
      </c>
      <c r="L194" s="14" t="s">
        <v>39</v>
      </c>
      <c r="M194" s="7" t="s">
        <v>39</v>
      </c>
      <c r="N194" s="32" t="s">
        <v>912</v>
      </c>
      <c r="O194" s="32"/>
      <c r="P194" s="7"/>
      <c r="Q194" s="14"/>
      <c r="R194" s="7" t="s">
        <v>3</v>
      </c>
      <c r="S194" s="7" t="s">
        <v>2943</v>
      </c>
      <c r="T194" s="4"/>
      <c r="U194" s="178"/>
    </row>
    <row r="195" spans="1:21">
      <c r="A195" s="7" t="s">
        <v>3770</v>
      </c>
      <c r="B195" s="7" t="s">
        <v>3555</v>
      </c>
      <c r="C195" s="7" t="s">
        <v>769</v>
      </c>
      <c r="D195" s="7" t="s">
        <v>906</v>
      </c>
      <c r="E195" s="32" t="s">
        <v>828</v>
      </c>
      <c r="F195" s="32" t="s">
        <v>12</v>
      </c>
      <c r="G195" s="7" t="s">
        <v>2302</v>
      </c>
      <c r="H195" s="163" t="s">
        <v>148</v>
      </c>
      <c r="I195" s="14" t="s">
        <v>2992</v>
      </c>
      <c r="J195" s="14" t="s">
        <v>2993</v>
      </c>
      <c r="K195" s="28" t="s">
        <v>3771</v>
      </c>
      <c r="L195" s="14" t="s">
        <v>39</v>
      </c>
      <c r="M195" s="7" t="s">
        <v>39</v>
      </c>
      <c r="N195" s="32" t="s">
        <v>912</v>
      </c>
      <c r="O195" s="32" t="s">
        <v>912</v>
      </c>
      <c r="P195" s="32" t="s">
        <v>3007</v>
      </c>
      <c r="Q195" s="14" t="s">
        <v>3008</v>
      </c>
      <c r="R195" s="7" t="s">
        <v>3</v>
      </c>
      <c r="S195" s="47">
        <v>46175</v>
      </c>
      <c r="T195" s="4" t="s">
        <v>3772</v>
      </c>
      <c r="U195" s="178"/>
    </row>
    <row r="196" spans="1:21" s="27" customFormat="1">
      <c r="A196" s="7" t="s">
        <v>3773</v>
      </c>
      <c r="B196" s="7" t="s">
        <v>3555</v>
      </c>
      <c r="C196" s="7" t="s">
        <v>746</v>
      </c>
      <c r="D196" s="7" t="s">
        <v>906</v>
      </c>
      <c r="E196" s="32" t="s">
        <v>1574</v>
      </c>
      <c r="F196" s="32" t="s">
        <v>12</v>
      </c>
      <c r="G196" s="7" t="s">
        <v>804</v>
      </c>
      <c r="H196" t="s">
        <v>148</v>
      </c>
      <c r="I196" s="14" t="s">
        <v>3728</v>
      </c>
      <c r="J196" s="14" t="s">
        <v>3774</v>
      </c>
      <c r="K196" s="28" t="s">
        <v>3775</v>
      </c>
      <c r="L196" s="14" t="s">
        <v>39</v>
      </c>
      <c r="M196" s="7" t="s">
        <v>39</v>
      </c>
      <c r="N196" s="32" t="s">
        <v>912</v>
      </c>
      <c r="O196" s="32" t="s">
        <v>1009</v>
      </c>
      <c r="P196" s="7" t="s">
        <v>1017</v>
      </c>
      <c r="Q196" s="14" t="s">
        <v>1138</v>
      </c>
      <c r="R196" s="7" t="s">
        <v>4</v>
      </c>
      <c r="S196" s="7" t="s">
        <v>1658</v>
      </c>
      <c r="T196" s="4" t="s">
        <v>3124</v>
      </c>
      <c r="U196" s="59"/>
    </row>
    <row r="197" spans="1:21">
      <c r="A197" s="7" t="s">
        <v>3776</v>
      </c>
      <c r="B197" s="7" t="s">
        <v>3555</v>
      </c>
      <c r="C197" s="7" t="s">
        <v>746</v>
      </c>
      <c r="D197" s="7" t="s">
        <v>906</v>
      </c>
      <c r="E197" s="32" t="s">
        <v>3662</v>
      </c>
      <c r="F197" s="32" t="s">
        <v>12</v>
      </c>
      <c r="G197" s="7" t="s">
        <v>804</v>
      </c>
      <c r="H197" t="s">
        <v>148</v>
      </c>
      <c r="I197" s="14" t="s">
        <v>3777</v>
      </c>
      <c r="J197" s="14" t="s">
        <v>3778</v>
      </c>
      <c r="K197" s="56" t="s">
        <v>3779</v>
      </c>
      <c r="L197" s="14" t="s">
        <v>39</v>
      </c>
      <c r="M197" s="7" t="s">
        <v>39</v>
      </c>
      <c r="N197" s="32" t="s">
        <v>912</v>
      </c>
      <c r="O197" s="32" t="s">
        <v>1009</v>
      </c>
      <c r="P197" s="32" t="s">
        <v>3199</v>
      </c>
      <c r="Q197" s="14" t="s">
        <v>3616</v>
      </c>
      <c r="R197" s="7" t="s">
        <v>4</v>
      </c>
      <c r="S197" s="7" t="s">
        <v>1033</v>
      </c>
      <c r="T197" s="4" t="s">
        <v>3617</v>
      </c>
      <c r="U197" s="178"/>
    </row>
    <row r="198" spans="1:21" s="370" customFormat="1">
      <c r="A198" s="151" t="s">
        <v>3780</v>
      </c>
      <c r="B198" s="151" t="s">
        <v>3555</v>
      </c>
      <c r="C198" s="151" t="s">
        <v>746</v>
      </c>
      <c r="D198" s="151" t="s">
        <v>906</v>
      </c>
      <c r="E198" s="152" t="s">
        <v>767</v>
      </c>
      <c r="F198" s="151" t="s">
        <v>6</v>
      </c>
      <c r="G198" s="151" t="s">
        <v>2302</v>
      </c>
      <c r="H198" s="154" t="s">
        <v>3781</v>
      </c>
      <c r="I198" s="154" t="s">
        <v>3782</v>
      </c>
      <c r="J198" s="154" t="s">
        <v>3407</v>
      </c>
      <c r="K198" s="155" t="s">
        <v>3783</v>
      </c>
      <c r="L198" s="154" t="s">
        <v>39</v>
      </c>
      <c r="M198" s="151" t="s">
        <v>39</v>
      </c>
      <c r="N198" s="152" t="s">
        <v>912</v>
      </c>
      <c r="O198" s="152" t="s">
        <v>752</v>
      </c>
      <c r="P198" s="151" t="s">
        <v>1017</v>
      </c>
      <c r="Q198" s="154" t="s">
        <v>3123</v>
      </c>
      <c r="R198" s="151" t="s">
        <v>3</v>
      </c>
      <c r="S198" s="157">
        <v>46359</v>
      </c>
      <c r="T198" s="156" t="s">
        <v>3784</v>
      </c>
      <c r="U198" s="167" t="s">
        <v>868</v>
      </c>
    </row>
    <row r="199" spans="1:21">
      <c r="A199" s="7" t="s">
        <v>3785</v>
      </c>
      <c r="B199" s="7" t="s">
        <v>3555</v>
      </c>
      <c r="C199" s="7" t="s">
        <v>769</v>
      </c>
      <c r="D199" s="7" t="s">
        <v>906</v>
      </c>
      <c r="E199" s="32" t="s">
        <v>1003</v>
      </c>
      <c r="F199" s="32" t="s">
        <v>12</v>
      </c>
      <c r="G199" s="7" t="s">
        <v>1085</v>
      </c>
      <c r="H199" t="s">
        <v>148</v>
      </c>
      <c r="I199" s="14" t="s">
        <v>3786</v>
      </c>
      <c r="J199" s="14" t="s">
        <v>3297</v>
      </c>
      <c r="K199" s="28" t="s">
        <v>3787</v>
      </c>
      <c r="L199" s="14" t="s">
        <v>39</v>
      </c>
      <c r="M199" s="7" t="s">
        <v>39</v>
      </c>
      <c r="N199" s="32" t="s">
        <v>912</v>
      </c>
      <c r="O199" s="32"/>
      <c r="P199" s="7"/>
      <c r="Q199" s="14"/>
      <c r="R199" s="7" t="s">
        <v>3</v>
      </c>
      <c r="S199" s="7" t="s">
        <v>2943</v>
      </c>
      <c r="T199" s="4"/>
      <c r="U199" s="178"/>
    </row>
    <row r="200" spans="1:21">
      <c r="A200" s="7" t="s">
        <v>3788</v>
      </c>
      <c r="B200" s="7" t="s">
        <v>3555</v>
      </c>
      <c r="C200" s="7" t="s">
        <v>746</v>
      </c>
      <c r="D200" s="7" t="s">
        <v>906</v>
      </c>
      <c r="E200" s="32" t="s">
        <v>1003</v>
      </c>
      <c r="F200" s="32" t="s">
        <v>12</v>
      </c>
      <c r="G200" s="7" t="s">
        <v>969</v>
      </c>
      <c r="H200" s="163" t="s">
        <v>148</v>
      </c>
      <c r="I200" s="14" t="s">
        <v>3587</v>
      </c>
      <c r="J200" s="14" t="s">
        <v>3588</v>
      </c>
      <c r="K200" s="56" t="s">
        <v>3789</v>
      </c>
      <c r="L200" s="56" t="s">
        <v>3590</v>
      </c>
      <c r="M200" s="7" t="s">
        <v>39</v>
      </c>
      <c r="N200" s="32" t="s">
        <v>912</v>
      </c>
      <c r="O200" s="32" t="s">
        <v>3790</v>
      </c>
      <c r="P200" s="7" t="s">
        <v>3007</v>
      </c>
      <c r="Q200" s="14" t="s">
        <v>2103</v>
      </c>
      <c r="R200" s="7" t="s">
        <v>3</v>
      </c>
      <c r="S200" s="7" t="s">
        <v>1089</v>
      </c>
      <c r="T200" s="4" t="s">
        <v>3791</v>
      </c>
      <c r="U200" s="178"/>
    </row>
    <row r="201" spans="1:21">
      <c r="A201" s="7" t="s">
        <v>3792</v>
      </c>
      <c r="B201" s="7" t="s">
        <v>3555</v>
      </c>
      <c r="C201" s="7" t="s">
        <v>754</v>
      </c>
      <c r="D201" s="7" t="s">
        <v>906</v>
      </c>
      <c r="E201" s="32" t="s">
        <v>828</v>
      </c>
      <c r="F201" s="32" t="s">
        <v>12</v>
      </c>
      <c r="G201" s="9" t="s">
        <v>907</v>
      </c>
      <c r="H201" s="161" t="s">
        <v>148</v>
      </c>
      <c r="I201" s="13" t="s">
        <v>3793</v>
      </c>
      <c r="J201" s="14" t="s">
        <v>3794</v>
      </c>
      <c r="K201" s="28" t="s">
        <v>3795</v>
      </c>
      <c r="L201" s="14" t="s">
        <v>39</v>
      </c>
      <c r="M201" s="7" t="s">
        <v>39</v>
      </c>
      <c r="N201" s="32" t="s">
        <v>912</v>
      </c>
      <c r="O201" s="32" t="s">
        <v>752</v>
      </c>
      <c r="P201" s="7"/>
      <c r="Q201" s="14"/>
      <c r="R201" s="7" t="s">
        <v>1264</v>
      </c>
      <c r="S201" s="47">
        <v>46145</v>
      </c>
      <c r="T201" s="4" t="s">
        <v>3796</v>
      </c>
      <c r="U201" s="178"/>
    </row>
    <row r="202" spans="1:21">
      <c r="A202" s="7" t="s">
        <v>3797</v>
      </c>
      <c r="B202" s="7" t="s">
        <v>3555</v>
      </c>
      <c r="C202" s="7" t="s">
        <v>746</v>
      </c>
      <c r="D202" s="7" t="s">
        <v>906</v>
      </c>
      <c r="E202" s="32" t="s">
        <v>828</v>
      </c>
      <c r="F202" s="32" t="s">
        <v>12</v>
      </c>
      <c r="G202" s="9" t="s">
        <v>907</v>
      </c>
      <c r="H202" s="161" t="s">
        <v>148</v>
      </c>
      <c r="I202" s="13" t="s">
        <v>3798</v>
      </c>
      <c r="J202" s="14" t="s">
        <v>3799</v>
      </c>
      <c r="K202" s="28" t="s">
        <v>3800</v>
      </c>
      <c r="L202" s="14" t="s">
        <v>39</v>
      </c>
      <c r="M202" s="7" t="s">
        <v>39</v>
      </c>
      <c r="N202" s="32" t="s">
        <v>912</v>
      </c>
      <c r="O202" s="32"/>
      <c r="P202" s="7"/>
      <c r="Q202" s="14"/>
      <c r="R202" s="7" t="s">
        <v>3</v>
      </c>
      <c r="S202" s="7" t="s">
        <v>3174</v>
      </c>
      <c r="T202" s="4" t="s">
        <v>3359</v>
      </c>
      <c r="U202" s="178"/>
    </row>
    <row r="203" spans="1:21">
      <c r="A203" s="7" t="s">
        <v>3801</v>
      </c>
      <c r="B203" s="7" t="s">
        <v>3555</v>
      </c>
      <c r="C203" s="7" t="s">
        <v>746</v>
      </c>
      <c r="D203" s="7" t="s">
        <v>906</v>
      </c>
      <c r="E203" s="32" t="s">
        <v>828</v>
      </c>
      <c r="F203" s="32" t="s">
        <v>12</v>
      </c>
      <c r="G203" s="9" t="s">
        <v>1799</v>
      </c>
      <c r="H203" s="161" t="s">
        <v>148</v>
      </c>
      <c r="I203" s="13" t="s">
        <v>3802</v>
      </c>
      <c r="J203" s="14" t="s">
        <v>3803</v>
      </c>
      <c r="K203" s="28" t="s">
        <v>3804</v>
      </c>
      <c r="L203" s="14" t="s">
        <v>39</v>
      </c>
      <c r="M203" s="7" t="s">
        <v>39</v>
      </c>
      <c r="N203" s="32" t="s">
        <v>912</v>
      </c>
      <c r="O203" s="32"/>
      <c r="P203" s="7"/>
      <c r="Q203" s="14"/>
      <c r="R203" s="7" t="s">
        <v>3</v>
      </c>
      <c r="S203" s="7" t="s">
        <v>3174</v>
      </c>
      <c r="T203" s="4" t="s">
        <v>3805</v>
      </c>
      <c r="U203" s="178"/>
    </row>
    <row r="204" spans="1:21">
      <c r="A204" s="7" t="s">
        <v>3806</v>
      </c>
      <c r="B204" s="7" t="s">
        <v>3555</v>
      </c>
      <c r="C204" s="7" t="s">
        <v>746</v>
      </c>
      <c r="D204" s="7" t="s">
        <v>906</v>
      </c>
      <c r="E204" s="32" t="s">
        <v>828</v>
      </c>
      <c r="F204" s="32" t="s">
        <v>12</v>
      </c>
      <c r="G204" s="9" t="s">
        <v>907</v>
      </c>
      <c r="H204" s="161" t="s">
        <v>148</v>
      </c>
      <c r="I204" s="13" t="s">
        <v>3807</v>
      </c>
      <c r="J204" s="14" t="s">
        <v>3808</v>
      </c>
      <c r="K204" s="28" t="s">
        <v>3809</v>
      </c>
      <c r="L204" s="14" t="s">
        <v>39</v>
      </c>
      <c r="M204" s="7" t="s">
        <v>39</v>
      </c>
      <c r="N204" s="32" t="s">
        <v>912</v>
      </c>
      <c r="O204" s="32"/>
      <c r="P204" s="7"/>
      <c r="Q204" s="14"/>
      <c r="R204" s="7" t="s">
        <v>3</v>
      </c>
      <c r="S204" s="7" t="s">
        <v>3174</v>
      </c>
      <c r="T204" s="4" t="s">
        <v>3359</v>
      </c>
      <c r="U204" s="178"/>
    </row>
    <row r="205" spans="1:21">
      <c r="A205" s="7" t="s">
        <v>3810</v>
      </c>
      <c r="B205" s="7" t="s">
        <v>3555</v>
      </c>
      <c r="C205" s="7" t="s">
        <v>769</v>
      </c>
      <c r="D205" s="7" t="s">
        <v>906</v>
      </c>
      <c r="E205" s="32" t="s">
        <v>828</v>
      </c>
      <c r="F205" s="32" t="s">
        <v>12</v>
      </c>
      <c r="G205" s="7" t="s">
        <v>1085</v>
      </c>
      <c r="H205" t="s">
        <v>148</v>
      </c>
      <c r="I205" s="14" t="s">
        <v>3811</v>
      </c>
      <c r="J205" s="14" t="s">
        <v>3192</v>
      </c>
      <c r="K205" s="28" t="s">
        <v>3812</v>
      </c>
      <c r="L205" s="28" t="s">
        <v>3813</v>
      </c>
      <c r="M205" s="7" t="s">
        <v>39</v>
      </c>
      <c r="N205" s="32" t="s">
        <v>912</v>
      </c>
      <c r="O205" s="32" t="s">
        <v>912</v>
      </c>
      <c r="P205" s="32" t="s">
        <v>3007</v>
      </c>
      <c r="Q205" s="14" t="s">
        <v>3482</v>
      </c>
      <c r="R205" s="7" t="s">
        <v>3</v>
      </c>
      <c r="S205" s="7" t="s">
        <v>1033</v>
      </c>
      <c r="T205" s="4" t="s">
        <v>3814</v>
      </c>
      <c r="U205" s="178"/>
    </row>
    <row r="206" spans="1:21">
      <c r="A206" s="7" t="s">
        <v>3815</v>
      </c>
      <c r="B206" s="7" t="s">
        <v>3555</v>
      </c>
      <c r="C206" s="7" t="s">
        <v>746</v>
      </c>
      <c r="D206" s="7" t="s">
        <v>906</v>
      </c>
      <c r="E206" s="32" t="s">
        <v>828</v>
      </c>
      <c r="F206" s="32" t="s">
        <v>12</v>
      </c>
      <c r="G206" s="9" t="s">
        <v>907</v>
      </c>
      <c r="H206" s="161" t="s">
        <v>148</v>
      </c>
      <c r="I206" s="13" t="s">
        <v>3816</v>
      </c>
      <c r="J206" s="14" t="s">
        <v>3817</v>
      </c>
      <c r="K206" s="28" t="s">
        <v>3818</v>
      </c>
      <c r="L206" s="14" t="s">
        <v>39</v>
      </c>
      <c r="M206" s="7" t="s">
        <v>39</v>
      </c>
      <c r="N206" s="32" t="s">
        <v>912</v>
      </c>
      <c r="O206" s="32"/>
      <c r="P206" s="7"/>
      <c r="Q206" s="14"/>
      <c r="R206" s="7" t="s">
        <v>3</v>
      </c>
      <c r="S206" s="7" t="s">
        <v>3174</v>
      </c>
      <c r="T206" s="4" t="s">
        <v>3359</v>
      </c>
      <c r="U206" s="178"/>
    </row>
    <row r="207" spans="1:21">
      <c r="A207" s="7" t="s">
        <v>3819</v>
      </c>
      <c r="B207" s="7" t="s">
        <v>3555</v>
      </c>
      <c r="C207" s="7" t="s">
        <v>754</v>
      </c>
      <c r="D207" s="7" t="s">
        <v>906</v>
      </c>
      <c r="E207" s="32" t="s">
        <v>828</v>
      </c>
      <c r="F207" s="32" t="s">
        <v>12</v>
      </c>
      <c r="G207" s="9" t="s">
        <v>907</v>
      </c>
      <c r="H207" s="161" t="s">
        <v>148</v>
      </c>
      <c r="I207" s="13" t="s">
        <v>3820</v>
      </c>
      <c r="J207" s="14" t="s">
        <v>3821</v>
      </c>
      <c r="K207" s="28" t="s">
        <v>3822</v>
      </c>
      <c r="L207" s="14" t="s">
        <v>39</v>
      </c>
      <c r="M207" s="7" t="s">
        <v>39</v>
      </c>
      <c r="N207" s="32" t="s">
        <v>912</v>
      </c>
      <c r="O207" s="32"/>
      <c r="P207" s="7"/>
      <c r="Q207" s="14"/>
      <c r="R207" s="7" t="s">
        <v>3</v>
      </c>
      <c r="S207" s="7" t="s">
        <v>3174</v>
      </c>
      <c r="T207" s="4" t="s">
        <v>3359</v>
      </c>
      <c r="U207" s="178"/>
    </row>
    <row r="208" spans="1:21">
      <c r="A208" s="7" t="s">
        <v>3823</v>
      </c>
      <c r="B208" s="7" t="s">
        <v>3555</v>
      </c>
      <c r="C208" s="7" t="s">
        <v>769</v>
      </c>
      <c r="D208" s="7" t="s">
        <v>906</v>
      </c>
      <c r="E208" s="32" t="s">
        <v>828</v>
      </c>
      <c r="F208" s="32" t="s">
        <v>12</v>
      </c>
      <c r="G208" s="7" t="s">
        <v>2302</v>
      </c>
      <c r="H208" s="64" t="s">
        <v>170</v>
      </c>
      <c r="I208" s="14" t="s">
        <v>2992</v>
      </c>
      <c r="J208" s="14" t="s">
        <v>2993</v>
      </c>
      <c r="K208" s="28" t="s">
        <v>3824</v>
      </c>
      <c r="L208" s="14" t="s">
        <v>39</v>
      </c>
      <c r="M208" s="7" t="s">
        <v>39</v>
      </c>
      <c r="N208" s="32" t="s">
        <v>912</v>
      </c>
      <c r="O208" s="32" t="s">
        <v>912</v>
      </c>
      <c r="P208" s="32" t="s">
        <v>3007</v>
      </c>
      <c r="Q208" s="14" t="s">
        <v>3008</v>
      </c>
      <c r="R208" s="7" t="s">
        <v>3</v>
      </c>
      <c r="S208" s="47">
        <v>46175</v>
      </c>
      <c r="T208" s="4" t="s">
        <v>3825</v>
      </c>
      <c r="U208" s="178"/>
    </row>
    <row r="209" spans="1:21">
      <c r="A209" s="7" t="s">
        <v>3826</v>
      </c>
      <c r="B209" s="7" t="s">
        <v>3555</v>
      </c>
      <c r="C209" s="7" t="s">
        <v>754</v>
      </c>
      <c r="D209" s="7" t="s">
        <v>906</v>
      </c>
      <c r="E209" s="32" t="s">
        <v>1574</v>
      </c>
      <c r="F209" s="7" t="s">
        <v>16</v>
      </c>
      <c r="G209" s="7" t="s">
        <v>1182</v>
      </c>
      <c r="H209" s="28" t="s">
        <v>170</v>
      </c>
      <c r="I209" s="14" t="s">
        <v>3827</v>
      </c>
      <c r="J209" s="14" t="s">
        <v>3828</v>
      </c>
      <c r="K209" s="28" t="s">
        <v>3829</v>
      </c>
      <c r="L209" s="28" t="s">
        <v>3830</v>
      </c>
      <c r="M209" s="7" t="s">
        <v>39</v>
      </c>
      <c r="N209" s="32" t="s">
        <v>912</v>
      </c>
      <c r="O209" s="32" t="s">
        <v>973</v>
      </c>
      <c r="P209" s="7"/>
      <c r="Q209" s="14"/>
      <c r="R209" s="7" t="s">
        <v>3</v>
      </c>
      <c r="S209" s="47">
        <v>46267</v>
      </c>
      <c r="T209" s="4" t="s">
        <v>3831</v>
      </c>
      <c r="U209" s="160" t="s">
        <v>1028</v>
      </c>
    </row>
    <row r="210" spans="1:21">
      <c r="A210" s="7" t="s">
        <v>3832</v>
      </c>
      <c r="B210" s="7" t="s">
        <v>3555</v>
      </c>
      <c r="C210" s="7" t="s">
        <v>746</v>
      </c>
      <c r="D210" s="7" t="s">
        <v>906</v>
      </c>
      <c r="E210" s="32" t="s">
        <v>828</v>
      </c>
      <c r="F210" s="32" t="s">
        <v>16</v>
      </c>
      <c r="G210" s="7" t="s">
        <v>3462</v>
      </c>
      <c r="H210" s="56" t="s">
        <v>170</v>
      </c>
      <c r="I210" s="14" t="s">
        <v>3833</v>
      </c>
      <c r="J210" s="14" t="s">
        <v>3834</v>
      </c>
      <c r="K210" s="56" t="s">
        <v>3835</v>
      </c>
      <c r="L210" s="56" t="s">
        <v>3836</v>
      </c>
      <c r="M210" s="7" t="s">
        <v>39</v>
      </c>
      <c r="N210" s="32" t="s">
        <v>912</v>
      </c>
      <c r="O210" s="33" t="s">
        <v>973</v>
      </c>
      <c r="P210" s="32" t="s">
        <v>1017</v>
      </c>
      <c r="Q210" s="13" t="s">
        <v>3123</v>
      </c>
      <c r="R210" s="7" t="s">
        <v>3</v>
      </c>
      <c r="S210" s="47" t="s">
        <v>1564</v>
      </c>
      <c r="T210" s="4" t="s">
        <v>3837</v>
      </c>
      <c r="U210" s="160" t="s">
        <v>1028</v>
      </c>
    </row>
    <row r="211" spans="1:21" s="42" customFormat="1">
      <c r="A211" s="170" t="s">
        <v>3838</v>
      </c>
      <c r="B211" s="170" t="s">
        <v>3555</v>
      </c>
      <c r="C211" s="170" t="s">
        <v>754</v>
      </c>
      <c r="D211" s="170" t="s">
        <v>906</v>
      </c>
      <c r="E211" s="171" t="s">
        <v>1574</v>
      </c>
      <c r="F211" s="170" t="s">
        <v>16</v>
      </c>
      <c r="G211" s="170" t="s">
        <v>3492</v>
      </c>
      <c r="H211" s="172" t="s">
        <v>170</v>
      </c>
      <c r="I211" s="4" t="s">
        <v>3839</v>
      </c>
      <c r="J211" s="4" t="s">
        <v>3840</v>
      </c>
      <c r="K211" s="172" t="s">
        <v>3841</v>
      </c>
      <c r="L211" s="172" t="s">
        <v>3842</v>
      </c>
      <c r="M211" s="170" t="s">
        <v>39</v>
      </c>
      <c r="N211" s="171" t="s">
        <v>912</v>
      </c>
      <c r="O211" s="171" t="s">
        <v>973</v>
      </c>
      <c r="P211" s="170"/>
      <c r="Q211" s="4"/>
      <c r="R211" s="170" t="s">
        <v>3</v>
      </c>
      <c r="S211" s="173" t="s">
        <v>1089</v>
      </c>
      <c r="T211" s="175" t="s">
        <v>3843</v>
      </c>
      <c r="U211" s="174" t="s">
        <v>1028</v>
      </c>
    </row>
    <row r="212" spans="1:21">
      <c r="A212" s="7" t="s">
        <v>3844</v>
      </c>
      <c r="B212" s="7" t="s">
        <v>3555</v>
      </c>
      <c r="C212" s="7" t="s">
        <v>746</v>
      </c>
      <c r="D212" s="7" t="s">
        <v>906</v>
      </c>
      <c r="E212" s="32" t="s">
        <v>3662</v>
      </c>
      <c r="F212" s="32" t="s">
        <v>12</v>
      </c>
      <c r="G212" s="7" t="s">
        <v>804</v>
      </c>
      <c r="H212" s="28" t="s">
        <v>170</v>
      </c>
      <c r="I212" s="14" t="s">
        <v>3845</v>
      </c>
      <c r="J212" s="14" t="s">
        <v>3846</v>
      </c>
      <c r="K212" s="56" t="s">
        <v>3847</v>
      </c>
      <c r="L212" s="14" t="s">
        <v>39</v>
      </c>
      <c r="M212" s="7" t="s">
        <v>39</v>
      </c>
      <c r="N212" s="32" t="s">
        <v>912</v>
      </c>
      <c r="O212" s="32" t="s">
        <v>1009</v>
      </c>
      <c r="P212" s="32" t="s">
        <v>3199</v>
      </c>
      <c r="Q212" s="14" t="s">
        <v>3616</v>
      </c>
      <c r="R212" s="7" t="s">
        <v>4</v>
      </c>
      <c r="S212" s="7" t="s">
        <v>1537</v>
      </c>
      <c r="T212" s="4" t="s">
        <v>3617</v>
      </c>
      <c r="U212" s="178"/>
    </row>
    <row r="213" spans="1:21" s="27" customFormat="1">
      <c r="A213" s="7" t="s">
        <v>3848</v>
      </c>
      <c r="B213" s="7" t="s">
        <v>3555</v>
      </c>
      <c r="C213" s="7" t="s">
        <v>746</v>
      </c>
      <c r="D213" s="7" t="s">
        <v>906</v>
      </c>
      <c r="E213" s="32" t="s">
        <v>1574</v>
      </c>
      <c r="F213" s="32" t="s">
        <v>12</v>
      </c>
      <c r="G213" s="7" t="s">
        <v>804</v>
      </c>
      <c r="H213" s="28" t="s">
        <v>170</v>
      </c>
      <c r="I213" s="14" t="s">
        <v>3849</v>
      </c>
      <c r="J213" s="14" t="s">
        <v>3850</v>
      </c>
      <c r="K213" s="28" t="s">
        <v>3851</v>
      </c>
      <c r="L213" s="14" t="s">
        <v>39</v>
      </c>
      <c r="M213" s="7" t="s">
        <v>39</v>
      </c>
      <c r="N213" s="32" t="s">
        <v>912</v>
      </c>
      <c r="O213" s="32" t="s">
        <v>1009</v>
      </c>
      <c r="P213" s="7" t="s">
        <v>1017</v>
      </c>
      <c r="Q213" s="14" t="s">
        <v>1138</v>
      </c>
      <c r="R213" s="7" t="s">
        <v>4</v>
      </c>
      <c r="S213" s="7" t="s">
        <v>1658</v>
      </c>
      <c r="T213" s="4" t="s">
        <v>3124</v>
      </c>
      <c r="U213" s="59"/>
    </row>
    <row r="214" spans="1:21" s="27" customFormat="1">
      <c r="A214" s="7" t="s">
        <v>3852</v>
      </c>
      <c r="B214" s="7" t="s">
        <v>3555</v>
      </c>
      <c r="C214" s="7" t="s">
        <v>746</v>
      </c>
      <c r="D214" s="7" t="s">
        <v>906</v>
      </c>
      <c r="E214" s="32" t="s">
        <v>767</v>
      </c>
      <c r="F214" s="32" t="s">
        <v>12</v>
      </c>
      <c r="G214" s="7" t="s">
        <v>804</v>
      </c>
      <c r="H214" s="28" t="s">
        <v>170</v>
      </c>
      <c r="I214" s="14" t="s">
        <v>3853</v>
      </c>
      <c r="J214" s="14" t="s">
        <v>3854</v>
      </c>
      <c r="K214" s="28" t="s">
        <v>3855</v>
      </c>
      <c r="L214" s="14" t="s">
        <v>39</v>
      </c>
      <c r="M214" s="7" t="s">
        <v>39</v>
      </c>
      <c r="N214" s="32" t="s">
        <v>912</v>
      </c>
      <c r="O214" s="32" t="s">
        <v>1009</v>
      </c>
      <c r="P214" s="7" t="s">
        <v>1017</v>
      </c>
      <c r="Q214" s="14" t="s">
        <v>1138</v>
      </c>
      <c r="R214" s="7" t="s">
        <v>4</v>
      </c>
      <c r="S214" s="7" t="s">
        <v>1658</v>
      </c>
      <c r="T214" s="4" t="s">
        <v>3124</v>
      </c>
      <c r="U214" s="59"/>
    </row>
    <row r="215" spans="1:21">
      <c r="A215" s="7" t="s">
        <v>3856</v>
      </c>
      <c r="B215" s="7" t="s">
        <v>3555</v>
      </c>
      <c r="C215" s="7" t="s">
        <v>746</v>
      </c>
      <c r="D215" s="7" t="s">
        <v>906</v>
      </c>
      <c r="E215" s="32" t="s">
        <v>1003</v>
      </c>
      <c r="F215" s="32" t="s">
        <v>12</v>
      </c>
      <c r="G215" s="7" t="s">
        <v>2302</v>
      </c>
      <c r="H215" s="28" t="s">
        <v>170</v>
      </c>
      <c r="I215" s="14" t="s">
        <v>3857</v>
      </c>
      <c r="J215" s="14" t="s">
        <v>3858</v>
      </c>
      <c r="K215" s="28" t="s">
        <v>3859</v>
      </c>
      <c r="L215" s="28" t="s">
        <v>3860</v>
      </c>
      <c r="M215" s="7" t="s">
        <v>39</v>
      </c>
      <c r="N215" s="32" t="s">
        <v>912</v>
      </c>
      <c r="O215" s="32"/>
      <c r="P215" s="7"/>
      <c r="Q215" s="14"/>
      <c r="R215" s="7" t="s">
        <v>3</v>
      </c>
      <c r="S215" s="7" t="s">
        <v>2943</v>
      </c>
      <c r="T215" s="4"/>
      <c r="U215" s="178"/>
    </row>
    <row r="216" spans="1:21">
      <c r="A216" s="7" t="s">
        <v>3861</v>
      </c>
      <c r="B216" s="7" t="s">
        <v>3555</v>
      </c>
      <c r="C216" s="7" t="s">
        <v>746</v>
      </c>
      <c r="D216" s="7" t="s">
        <v>906</v>
      </c>
      <c r="E216" s="32" t="s">
        <v>1003</v>
      </c>
      <c r="F216" s="32" t="s">
        <v>16</v>
      </c>
      <c r="G216" s="32" t="s">
        <v>3532</v>
      </c>
      <c r="H216" s="56" t="s">
        <v>170</v>
      </c>
      <c r="I216" s="14" t="s">
        <v>3533</v>
      </c>
      <c r="J216" s="14" t="s">
        <v>3534</v>
      </c>
      <c r="K216" s="56" t="s">
        <v>3862</v>
      </c>
      <c r="L216" s="56" t="s">
        <v>3863</v>
      </c>
      <c r="M216" s="7" t="s">
        <v>39</v>
      </c>
      <c r="N216" s="32" t="s">
        <v>912</v>
      </c>
      <c r="O216" s="33" t="s">
        <v>973</v>
      </c>
      <c r="P216" s="32" t="s">
        <v>1017</v>
      </c>
      <c r="Q216" s="13" t="s">
        <v>3123</v>
      </c>
      <c r="R216" s="170" t="s">
        <v>3</v>
      </c>
      <c r="S216" s="173" t="s">
        <v>1089</v>
      </c>
      <c r="T216" s="4" t="s">
        <v>3864</v>
      </c>
      <c r="U216" s="160" t="s">
        <v>1028</v>
      </c>
    </row>
    <row r="217" spans="1:21">
      <c r="A217" s="7" t="s">
        <v>3865</v>
      </c>
      <c r="B217" s="7" t="s">
        <v>3555</v>
      </c>
      <c r="C217" s="7" t="s">
        <v>746</v>
      </c>
      <c r="D217" s="7" t="s">
        <v>906</v>
      </c>
      <c r="E217" s="32" t="s">
        <v>1003</v>
      </c>
      <c r="F217" s="32" t="s">
        <v>16</v>
      </c>
      <c r="G217" s="32" t="s">
        <v>1245</v>
      </c>
      <c r="H217" s="56" t="s">
        <v>170</v>
      </c>
      <c r="I217" s="14" t="s">
        <v>3185</v>
      </c>
      <c r="J217" s="14" t="s">
        <v>3866</v>
      </c>
      <c r="K217" s="56" t="s">
        <v>3867</v>
      </c>
      <c r="L217" s="56" t="s">
        <v>3868</v>
      </c>
      <c r="M217" s="7" t="s">
        <v>39</v>
      </c>
      <c r="N217" s="32" t="s">
        <v>912</v>
      </c>
      <c r="O217" s="33" t="s">
        <v>973</v>
      </c>
      <c r="P217" s="32" t="s">
        <v>1017</v>
      </c>
      <c r="Q217" s="13" t="s">
        <v>3123</v>
      </c>
      <c r="R217" s="7" t="s">
        <v>3</v>
      </c>
      <c r="S217" s="7" t="s">
        <v>1089</v>
      </c>
      <c r="T217" s="4" t="s">
        <v>3869</v>
      </c>
      <c r="U217" s="160" t="s">
        <v>1028</v>
      </c>
    </row>
    <row r="218" spans="1:21">
      <c r="A218" s="7" t="s">
        <v>3870</v>
      </c>
      <c r="B218" s="7" t="s">
        <v>3555</v>
      </c>
      <c r="C218" s="7" t="s">
        <v>746</v>
      </c>
      <c r="D218" s="7" t="s">
        <v>906</v>
      </c>
      <c r="E218" s="32" t="s">
        <v>1003</v>
      </c>
      <c r="F218" s="32" t="s">
        <v>12</v>
      </c>
      <c r="G218" s="7" t="s">
        <v>1182</v>
      </c>
      <c r="H218" s="28" t="s">
        <v>170</v>
      </c>
      <c r="I218" s="14" t="s">
        <v>3871</v>
      </c>
      <c r="J218" s="14" t="s">
        <v>3872</v>
      </c>
      <c r="K218" s="28" t="s">
        <v>3873</v>
      </c>
      <c r="L218" s="28" t="s">
        <v>3874</v>
      </c>
      <c r="M218" s="7" t="s">
        <v>39</v>
      </c>
      <c r="N218" s="32" t="s">
        <v>912</v>
      </c>
      <c r="O218" s="32" t="s">
        <v>912</v>
      </c>
      <c r="P218" s="7" t="s">
        <v>1028</v>
      </c>
      <c r="Q218" s="14"/>
      <c r="R218" s="7" t="s">
        <v>3</v>
      </c>
      <c r="S218" s="47">
        <v>46114</v>
      </c>
      <c r="T218" s="4" t="s">
        <v>3875</v>
      </c>
      <c r="U218" s="178"/>
    </row>
    <row r="219" spans="1:21">
      <c r="A219" s="7" t="s">
        <v>3876</v>
      </c>
      <c r="B219" s="7" t="s">
        <v>3555</v>
      </c>
      <c r="C219" s="7" t="s">
        <v>746</v>
      </c>
      <c r="D219" s="7" t="s">
        <v>906</v>
      </c>
      <c r="E219" s="32" t="s">
        <v>828</v>
      </c>
      <c r="F219" s="32" t="s">
        <v>12</v>
      </c>
      <c r="G219" s="7" t="s">
        <v>907</v>
      </c>
      <c r="H219" s="28" t="s">
        <v>170</v>
      </c>
      <c r="I219" s="14" t="s">
        <v>3877</v>
      </c>
      <c r="J219" s="14" t="s">
        <v>3878</v>
      </c>
      <c r="K219" s="28" t="s">
        <v>3879</v>
      </c>
      <c r="L219" s="14" t="s">
        <v>39</v>
      </c>
      <c r="M219" s="7" t="s">
        <v>39</v>
      </c>
      <c r="N219" s="32" t="s">
        <v>912</v>
      </c>
      <c r="O219" s="32" t="s">
        <v>752</v>
      </c>
      <c r="P219" s="7"/>
      <c r="Q219" s="14"/>
      <c r="R219" s="7" t="s">
        <v>1264</v>
      </c>
      <c r="S219" s="47">
        <v>46145</v>
      </c>
      <c r="T219" s="4" t="s">
        <v>3880</v>
      </c>
      <c r="U219" s="178"/>
    </row>
    <row r="220" spans="1:21">
      <c r="A220" s="7" t="s">
        <v>3881</v>
      </c>
      <c r="B220" s="7" t="s">
        <v>3555</v>
      </c>
      <c r="C220" s="7" t="s">
        <v>746</v>
      </c>
      <c r="D220" s="7" t="s">
        <v>906</v>
      </c>
      <c r="E220" s="32" t="s">
        <v>828</v>
      </c>
      <c r="F220" s="32" t="s">
        <v>12</v>
      </c>
      <c r="G220" s="7" t="s">
        <v>907</v>
      </c>
      <c r="H220" s="28" t="s">
        <v>170</v>
      </c>
      <c r="I220" s="14" t="s">
        <v>3882</v>
      </c>
      <c r="J220" s="14" t="s">
        <v>3883</v>
      </c>
      <c r="K220" s="28" t="s">
        <v>3884</v>
      </c>
      <c r="L220" s="14" t="s">
        <v>39</v>
      </c>
      <c r="M220" s="7" t="s">
        <v>39</v>
      </c>
      <c r="N220" s="32" t="s">
        <v>912</v>
      </c>
      <c r="O220" s="32"/>
      <c r="P220" s="7"/>
      <c r="Q220" s="14"/>
      <c r="R220" s="7" t="s">
        <v>3</v>
      </c>
      <c r="S220" s="7" t="s">
        <v>3174</v>
      </c>
      <c r="T220" s="4" t="s">
        <v>3885</v>
      </c>
      <c r="U220" s="178"/>
    </row>
    <row r="221" spans="1:21">
      <c r="A221" s="7" t="s">
        <v>3886</v>
      </c>
      <c r="B221" s="7" t="s">
        <v>3555</v>
      </c>
      <c r="C221" s="7" t="s">
        <v>746</v>
      </c>
      <c r="D221" s="7" t="s">
        <v>906</v>
      </c>
      <c r="E221" s="32" t="s">
        <v>3887</v>
      </c>
      <c r="F221" s="7" t="s">
        <v>16</v>
      </c>
      <c r="G221" s="7" t="s">
        <v>3208</v>
      </c>
      <c r="H221" s="28" t="s">
        <v>170</v>
      </c>
      <c r="I221" s="14" t="s">
        <v>3888</v>
      </c>
      <c r="J221" s="14" t="s">
        <v>3889</v>
      </c>
      <c r="K221" s="28" t="s">
        <v>3890</v>
      </c>
      <c r="L221" s="14" t="s">
        <v>39</v>
      </c>
      <c r="M221" s="7" t="s">
        <v>39</v>
      </c>
      <c r="N221" s="32" t="s">
        <v>912</v>
      </c>
      <c r="O221" s="32" t="s">
        <v>973</v>
      </c>
      <c r="P221" s="7"/>
      <c r="Q221" s="14"/>
      <c r="R221" s="7" t="s">
        <v>3</v>
      </c>
      <c r="S221" s="7" t="s">
        <v>1089</v>
      </c>
      <c r="T221" s="4" t="s">
        <v>3891</v>
      </c>
      <c r="U221" s="160" t="s">
        <v>1028</v>
      </c>
    </row>
    <row r="222" spans="1:21">
      <c r="A222" s="7" t="s">
        <v>3892</v>
      </c>
      <c r="B222" s="7" t="s">
        <v>3555</v>
      </c>
      <c r="C222" s="7" t="s">
        <v>746</v>
      </c>
      <c r="D222" s="7" t="s">
        <v>906</v>
      </c>
      <c r="E222" s="32" t="s">
        <v>828</v>
      </c>
      <c r="F222" s="32" t="s">
        <v>12</v>
      </c>
      <c r="G222" s="7" t="s">
        <v>907</v>
      </c>
      <c r="H222" s="28" t="s">
        <v>170</v>
      </c>
      <c r="I222" s="14" t="s">
        <v>3893</v>
      </c>
      <c r="J222" s="14" t="s">
        <v>3894</v>
      </c>
      <c r="K222" s="28" t="s">
        <v>3895</v>
      </c>
      <c r="L222" s="14" t="s">
        <v>39</v>
      </c>
      <c r="M222" s="7" t="s">
        <v>39</v>
      </c>
      <c r="N222" s="32" t="s">
        <v>912</v>
      </c>
      <c r="O222" s="32"/>
      <c r="P222" s="7"/>
      <c r="Q222" s="14"/>
      <c r="R222" s="7" t="s">
        <v>3</v>
      </c>
      <c r="S222" s="7" t="s">
        <v>3174</v>
      </c>
      <c r="T222" s="4" t="s">
        <v>3896</v>
      </c>
      <c r="U222" s="178"/>
    </row>
    <row r="223" spans="1:21">
      <c r="A223" s="7" t="s">
        <v>3897</v>
      </c>
      <c r="B223" s="7" t="s">
        <v>3555</v>
      </c>
      <c r="C223" s="7" t="s">
        <v>746</v>
      </c>
      <c r="D223" s="7" t="s">
        <v>906</v>
      </c>
      <c r="E223" s="32" t="s">
        <v>828</v>
      </c>
      <c r="F223" s="32" t="s">
        <v>12</v>
      </c>
      <c r="G223" s="7" t="s">
        <v>1799</v>
      </c>
      <c r="H223" s="28" t="s">
        <v>170</v>
      </c>
      <c r="I223" s="14" t="s">
        <v>3898</v>
      </c>
      <c r="J223" s="14" t="s">
        <v>3899</v>
      </c>
      <c r="K223" s="28" t="s">
        <v>3900</v>
      </c>
      <c r="L223" s="14" t="s">
        <v>39</v>
      </c>
      <c r="M223" s="7" t="s">
        <v>39</v>
      </c>
      <c r="N223" s="32" t="s">
        <v>912</v>
      </c>
      <c r="O223" s="32" t="s">
        <v>752</v>
      </c>
      <c r="P223" s="7"/>
      <c r="Q223" s="14"/>
      <c r="R223" s="7" t="s">
        <v>4</v>
      </c>
      <c r="S223" s="7" t="s">
        <v>3174</v>
      </c>
      <c r="T223" s="4" t="s">
        <v>3901</v>
      </c>
      <c r="U223" s="178"/>
    </row>
    <row r="224" spans="1:21">
      <c r="A224" s="7" t="s">
        <v>3902</v>
      </c>
      <c r="B224" s="7" t="s">
        <v>3555</v>
      </c>
      <c r="C224" s="7" t="s">
        <v>746</v>
      </c>
      <c r="D224" s="7" t="s">
        <v>906</v>
      </c>
      <c r="E224" s="32" t="s">
        <v>828</v>
      </c>
      <c r="F224" s="32" t="s">
        <v>12</v>
      </c>
      <c r="G224" s="7" t="s">
        <v>907</v>
      </c>
      <c r="H224" s="28" t="s">
        <v>170</v>
      </c>
      <c r="I224" s="14" t="s">
        <v>3903</v>
      </c>
      <c r="J224" s="14" t="s">
        <v>3904</v>
      </c>
      <c r="K224" s="28" t="s">
        <v>3905</v>
      </c>
      <c r="L224" s="14" t="s">
        <v>39</v>
      </c>
      <c r="M224" s="7" t="s">
        <v>39</v>
      </c>
      <c r="N224" s="32" t="s">
        <v>912</v>
      </c>
      <c r="O224" s="32"/>
      <c r="P224" s="7"/>
      <c r="Q224" s="14"/>
      <c r="R224" s="7" t="s">
        <v>3</v>
      </c>
      <c r="S224" s="7" t="s">
        <v>3174</v>
      </c>
      <c r="T224" s="4" t="s">
        <v>3906</v>
      </c>
      <c r="U224" s="178"/>
    </row>
    <row r="225" spans="1:21">
      <c r="A225" s="7" t="s">
        <v>3907</v>
      </c>
      <c r="B225" s="7" t="s">
        <v>3555</v>
      </c>
      <c r="C225" s="7" t="s">
        <v>746</v>
      </c>
      <c r="D225" s="7" t="s">
        <v>906</v>
      </c>
      <c r="E225" s="32" t="s">
        <v>828</v>
      </c>
      <c r="F225" s="32" t="s">
        <v>12</v>
      </c>
      <c r="G225" s="7" t="s">
        <v>907</v>
      </c>
      <c r="H225" s="28" t="s">
        <v>170</v>
      </c>
      <c r="I225" s="14" t="s">
        <v>3672</v>
      </c>
      <c r="J225" s="14" t="s">
        <v>3908</v>
      </c>
      <c r="K225" s="28" t="s">
        <v>3909</v>
      </c>
      <c r="L225" s="14" t="s">
        <v>39</v>
      </c>
      <c r="M225" s="7" t="s">
        <v>39</v>
      </c>
      <c r="N225" s="32" t="s">
        <v>912</v>
      </c>
      <c r="O225" s="32"/>
      <c r="P225" s="7"/>
      <c r="Q225" s="14"/>
      <c r="R225" s="7" t="s">
        <v>3</v>
      </c>
      <c r="S225" s="7" t="s">
        <v>3174</v>
      </c>
      <c r="T225" s="4" t="s">
        <v>3906</v>
      </c>
      <c r="U225" s="178"/>
    </row>
    <row r="226" spans="1:21">
      <c r="A226" s="7" t="s">
        <v>3910</v>
      </c>
      <c r="B226" s="7" t="s">
        <v>3555</v>
      </c>
      <c r="C226" s="7" t="s">
        <v>769</v>
      </c>
      <c r="D226" s="7" t="s">
        <v>906</v>
      </c>
      <c r="E226" s="32" t="s">
        <v>1003</v>
      </c>
      <c r="F226" s="32" t="s">
        <v>12</v>
      </c>
      <c r="G226" s="7" t="s">
        <v>1085</v>
      </c>
      <c r="H226" s="28" t="s">
        <v>170</v>
      </c>
      <c r="I226" s="14" t="s">
        <v>3786</v>
      </c>
      <c r="J226" s="14" t="s">
        <v>3297</v>
      </c>
      <c r="K226" s="28" t="s">
        <v>3911</v>
      </c>
      <c r="L226" s="14" t="s">
        <v>39</v>
      </c>
      <c r="M226" s="7" t="s">
        <v>39</v>
      </c>
      <c r="N226" s="32" t="s">
        <v>912</v>
      </c>
      <c r="O226" s="32"/>
      <c r="P226" s="7"/>
      <c r="Q226" s="14"/>
      <c r="R226" s="7" t="s">
        <v>3</v>
      </c>
      <c r="S226" s="7" t="s">
        <v>2943</v>
      </c>
      <c r="T226" s="4"/>
      <c r="U226" s="178"/>
    </row>
    <row r="227" spans="1:21">
      <c r="A227" s="7" t="s">
        <v>3912</v>
      </c>
      <c r="B227" s="7" t="s">
        <v>3555</v>
      </c>
      <c r="C227" s="7" t="s">
        <v>769</v>
      </c>
      <c r="D227" s="7" t="s">
        <v>906</v>
      </c>
      <c r="E227" s="32" t="s">
        <v>828</v>
      </c>
      <c r="F227" s="32" t="s">
        <v>12</v>
      </c>
      <c r="G227" s="7" t="s">
        <v>1085</v>
      </c>
      <c r="H227" s="28" t="s">
        <v>170</v>
      </c>
      <c r="I227" s="14" t="s">
        <v>3811</v>
      </c>
      <c r="J227" s="14" t="s">
        <v>3192</v>
      </c>
      <c r="K227" s="28" t="s">
        <v>3913</v>
      </c>
      <c r="L227" s="28" t="s">
        <v>3914</v>
      </c>
      <c r="M227" s="7" t="s">
        <v>39</v>
      </c>
      <c r="N227" s="32" t="s">
        <v>912</v>
      </c>
      <c r="O227" s="32" t="s">
        <v>912</v>
      </c>
      <c r="P227" s="32" t="s">
        <v>3007</v>
      </c>
      <c r="Q227" s="14" t="s">
        <v>3482</v>
      </c>
      <c r="R227" s="7" t="s">
        <v>3</v>
      </c>
      <c r="S227" s="7" t="s">
        <v>1033</v>
      </c>
      <c r="T227" s="4" t="s">
        <v>3915</v>
      </c>
      <c r="U227" s="178"/>
    </row>
    <row r="228" spans="1:21">
      <c r="A228" s="7" t="s">
        <v>3916</v>
      </c>
      <c r="B228" s="7" t="s">
        <v>3555</v>
      </c>
      <c r="C228" s="7" t="s">
        <v>746</v>
      </c>
      <c r="D228" s="7" t="s">
        <v>906</v>
      </c>
      <c r="E228" s="32" t="s">
        <v>828</v>
      </c>
      <c r="F228" s="32" t="s">
        <v>12</v>
      </c>
      <c r="G228" s="7" t="s">
        <v>907</v>
      </c>
      <c r="H228" s="28" t="s">
        <v>170</v>
      </c>
      <c r="I228" s="14" t="s">
        <v>3917</v>
      </c>
      <c r="J228" s="14" t="s">
        <v>3918</v>
      </c>
      <c r="K228" s="28" t="s">
        <v>3919</v>
      </c>
      <c r="L228" s="14" t="s">
        <v>39</v>
      </c>
      <c r="M228" s="7" t="s">
        <v>39</v>
      </c>
      <c r="N228" s="32" t="s">
        <v>912</v>
      </c>
      <c r="O228" s="32"/>
      <c r="P228" s="7"/>
      <c r="Q228" s="14"/>
      <c r="R228" s="7" t="s">
        <v>3</v>
      </c>
      <c r="S228" s="7" t="s">
        <v>3174</v>
      </c>
      <c r="T228" s="4" t="s">
        <v>3359</v>
      </c>
      <c r="U228" s="178"/>
    </row>
    <row r="229" spans="1:21">
      <c r="A229" s="7" t="s">
        <v>3920</v>
      </c>
      <c r="B229" s="7" t="s">
        <v>3555</v>
      </c>
      <c r="C229" s="7" t="s">
        <v>746</v>
      </c>
      <c r="D229" s="7" t="s">
        <v>906</v>
      </c>
      <c r="E229" s="32" t="s">
        <v>828</v>
      </c>
      <c r="F229" s="32" t="s">
        <v>12</v>
      </c>
      <c r="G229" s="7" t="s">
        <v>907</v>
      </c>
      <c r="H229" s="28" t="s">
        <v>170</v>
      </c>
      <c r="I229" s="14" t="s">
        <v>3921</v>
      </c>
      <c r="J229" s="14" t="s">
        <v>3817</v>
      </c>
      <c r="K229" s="28" t="s">
        <v>3922</v>
      </c>
      <c r="L229" s="14" t="s">
        <v>39</v>
      </c>
      <c r="M229" s="7" t="s">
        <v>39</v>
      </c>
      <c r="N229" s="32" t="s">
        <v>912</v>
      </c>
      <c r="O229" s="32"/>
      <c r="P229" s="7"/>
      <c r="Q229" s="14"/>
      <c r="R229" s="7" t="s">
        <v>3</v>
      </c>
      <c r="S229" s="7" t="s">
        <v>3174</v>
      </c>
      <c r="T229" s="4" t="s">
        <v>3359</v>
      </c>
      <c r="U229" s="178"/>
    </row>
    <row r="230" spans="1:21">
      <c r="A230" s="7" t="s">
        <v>3923</v>
      </c>
      <c r="B230" s="7" t="s">
        <v>3555</v>
      </c>
      <c r="C230" s="7" t="s">
        <v>746</v>
      </c>
      <c r="D230" s="7" t="s">
        <v>906</v>
      </c>
      <c r="E230" s="32" t="s">
        <v>828</v>
      </c>
      <c r="F230" s="32" t="s">
        <v>12</v>
      </c>
      <c r="G230" s="7" t="s">
        <v>907</v>
      </c>
      <c r="H230" s="28" t="s">
        <v>170</v>
      </c>
      <c r="I230" s="14" t="s">
        <v>3924</v>
      </c>
      <c r="J230" s="14" t="s">
        <v>3925</v>
      </c>
      <c r="K230" s="28" t="s">
        <v>3926</v>
      </c>
      <c r="L230" s="14" t="s">
        <v>39</v>
      </c>
      <c r="M230" s="7" t="s">
        <v>39</v>
      </c>
      <c r="N230" s="32" t="s">
        <v>912</v>
      </c>
      <c r="O230" s="32"/>
      <c r="P230" s="7"/>
      <c r="Q230" s="14"/>
      <c r="R230" s="7" t="s">
        <v>3</v>
      </c>
      <c r="S230" s="7" t="s">
        <v>3174</v>
      </c>
      <c r="T230" s="4" t="s">
        <v>3927</v>
      </c>
      <c r="U230" s="178"/>
    </row>
    <row r="231" spans="1:21">
      <c r="A231" s="7" t="s">
        <v>3928</v>
      </c>
      <c r="B231" s="7" t="s">
        <v>3555</v>
      </c>
      <c r="C231" s="7" t="s">
        <v>754</v>
      </c>
      <c r="D231" s="7" t="s">
        <v>906</v>
      </c>
      <c r="E231" s="32" t="s">
        <v>828</v>
      </c>
      <c r="F231" s="32" t="s">
        <v>12</v>
      </c>
      <c r="G231" s="7" t="s">
        <v>907</v>
      </c>
      <c r="H231" s="28" t="s">
        <v>170</v>
      </c>
      <c r="I231" s="14" t="s">
        <v>3929</v>
      </c>
      <c r="J231" s="14" t="s">
        <v>3930</v>
      </c>
      <c r="K231" s="28" t="s">
        <v>3931</v>
      </c>
      <c r="L231" s="14" t="s">
        <v>39</v>
      </c>
      <c r="M231" s="7" t="s">
        <v>39</v>
      </c>
      <c r="N231" s="32" t="s">
        <v>912</v>
      </c>
      <c r="O231" s="32"/>
      <c r="P231" s="7"/>
      <c r="Q231" s="14"/>
      <c r="R231" s="7" t="s">
        <v>3</v>
      </c>
      <c r="S231" s="7" t="s">
        <v>3174</v>
      </c>
      <c r="T231" s="4" t="s">
        <v>3932</v>
      </c>
      <c r="U231" s="178"/>
    </row>
    <row r="232" spans="1:21">
      <c r="A232" s="7" t="s">
        <v>3933</v>
      </c>
      <c r="B232" s="7" t="s">
        <v>3555</v>
      </c>
      <c r="C232" s="7" t="s">
        <v>754</v>
      </c>
      <c r="D232" s="7" t="s">
        <v>906</v>
      </c>
      <c r="E232" s="32" t="s">
        <v>828</v>
      </c>
      <c r="F232" s="32" t="s">
        <v>12</v>
      </c>
      <c r="G232" s="7" t="s">
        <v>907</v>
      </c>
      <c r="H232" s="28" t="s">
        <v>170</v>
      </c>
      <c r="I232" s="14" t="s">
        <v>3934</v>
      </c>
      <c r="J232" s="14" t="s">
        <v>3935</v>
      </c>
      <c r="K232" s="28" t="s">
        <v>3936</v>
      </c>
      <c r="L232" s="14" t="s">
        <v>39</v>
      </c>
      <c r="M232" s="7" t="s">
        <v>39</v>
      </c>
      <c r="N232" s="32" t="s">
        <v>912</v>
      </c>
      <c r="O232" s="32" t="s">
        <v>752</v>
      </c>
      <c r="P232" s="7"/>
      <c r="Q232" s="14"/>
      <c r="R232" s="7" t="s">
        <v>1264</v>
      </c>
      <c r="S232" s="47">
        <v>46145</v>
      </c>
      <c r="T232" s="4" t="s">
        <v>3937</v>
      </c>
      <c r="U232" s="178"/>
    </row>
    <row r="233" spans="1:21">
      <c r="A233" s="7" t="s">
        <v>3938</v>
      </c>
      <c r="B233" s="7" t="s">
        <v>3555</v>
      </c>
      <c r="C233" s="7" t="s">
        <v>746</v>
      </c>
      <c r="D233" s="7" t="s">
        <v>906</v>
      </c>
      <c r="E233" s="32" t="s">
        <v>828</v>
      </c>
      <c r="F233" s="32" t="s">
        <v>12</v>
      </c>
      <c r="G233" s="7" t="s">
        <v>907</v>
      </c>
      <c r="H233" s="28" t="s">
        <v>170</v>
      </c>
      <c r="I233" s="14" t="s">
        <v>3939</v>
      </c>
      <c r="J233" s="14" t="s">
        <v>3940</v>
      </c>
      <c r="K233" s="28" t="s">
        <v>3941</v>
      </c>
      <c r="L233" s="14" t="s">
        <v>39</v>
      </c>
      <c r="M233" s="7" t="s">
        <v>39</v>
      </c>
      <c r="N233" s="32" t="s">
        <v>912</v>
      </c>
      <c r="O233" s="32"/>
      <c r="P233" s="7"/>
      <c r="Q233" s="14"/>
      <c r="R233" s="7" t="s">
        <v>5</v>
      </c>
      <c r="S233" s="7" t="s">
        <v>2943</v>
      </c>
      <c r="T233" s="4" t="s">
        <v>3942</v>
      </c>
      <c r="U233" s="178"/>
    </row>
    <row r="234" spans="1:21">
      <c r="A234" s="7" t="s">
        <v>3943</v>
      </c>
      <c r="B234" s="7" t="s">
        <v>3555</v>
      </c>
      <c r="C234" s="7" t="s">
        <v>746</v>
      </c>
      <c r="D234" s="7" t="s">
        <v>906</v>
      </c>
      <c r="E234" s="32" t="s">
        <v>828</v>
      </c>
      <c r="F234" s="32" t="s">
        <v>12</v>
      </c>
      <c r="G234" s="7" t="s">
        <v>907</v>
      </c>
      <c r="H234" s="28" t="s">
        <v>58</v>
      </c>
      <c r="I234" s="14" t="s">
        <v>3939</v>
      </c>
      <c r="J234" s="14" t="s">
        <v>3944</v>
      </c>
      <c r="K234" s="28" t="s">
        <v>3945</v>
      </c>
      <c r="L234" s="14" t="s">
        <v>39</v>
      </c>
      <c r="M234" s="7" t="s">
        <v>39</v>
      </c>
      <c r="N234" s="32" t="s">
        <v>912</v>
      </c>
      <c r="O234" s="32"/>
      <c r="P234" s="7"/>
      <c r="Q234" s="14"/>
      <c r="R234" s="7" t="s">
        <v>5</v>
      </c>
      <c r="S234" s="47">
        <v>46267</v>
      </c>
      <c r="T234" s="4" t="s">
        <v>3946</v>
      </c>
      <c r="U234" s="178"/>
    </row>
    <row r="235" spans="1:21">
      <c r="A235" s="7" t="s">
        <v>3947</v>
      </c>
      <c r="B235" s="7" t="s">
        <v>3555</v>
      </c>
      <c r="C235" s="7" t="s">
        <v>746</v>
      </c>
      <c r="D235" s="7" t="s">
        <v>906</v>
      </c>
      <c r="E235" s="32" t="s">
        <v>828</v>
      </c>
      <c r="F235" s="32" t="s">
        <v>12</v>
      </c>
      <c r="G235" s="7" t="s">
        <v>907</v>
      </c>
      <c r="H235" s="28" t="s">
        <v>176</v>
      </c>
      <c r="I235" s="14" t="s">
        <v>3939</v>
      </c>
      <c r="J235" s="14" t="s">
        <v>3944</v>
      </c>
      <c r="K235" s="28" t="s">
        <v>3948</v>
      </c>
      <c r="L235" s="14" t="s">
        <v>39</v>
      </c>
      <c r="M235" s="7" t="s">
        <v>39</v>
      </c>
      <c r="N235" s="32" t="s">
        <v>912</v>
      </c>
      <c r="O235" s="32"/>
      <c r="P235" s="7"/>
      <c r="Q235" s="14"/>
      <c r="R235" s="7" t="s">
        <v>5</v>
      </c>
      <c r="S235" s="7" t="s">
        <v>2943</v>
      </c>
      <c r="T235" s="4" t="s">
        <v>3942</v>
      </c>
      <c r="U235" s="178"/>
    </row>
    <row r="236" spans="1:21">
      <c r="A236" s="7" t="s">
        <v>3949</v>
      </c>
      <c r="B236" s="7" t="s">
        <v>3555</v>
      </c>
      <c r="C236" s="7" t="s">
        <v>746</v>
      </c>
      <c r="D236" s="7" t="s">
        <v>906</v>
      </c>
      <c r="E236" s="32" t="s">
        <v>828</v>
      </c>
      <c r="F236" s="32" t="s">
        <v>12</v>
      </c>
      <c r="G236" s="7" t="s">
        <v>907</v>
      </c>
      <c r="H236" s="28" t="s">
        <v>70</v>
      </c>
      <c r="I236" s="14" t="s">
        <v>3939</v>
      </c>
      <c r="J236" s="14" t="s">
        <v>3950</v>
      </c>
      <c r="K236" s="28" t="s">
        <v>3951</v>
      </c>
      <c r="L236" s="14" t="s">
        <v>39</v>
      </c>
      <c r="M236" s="7" t="s">
        <v>39</v>
      </c>
      <c r="N236" s="32" t="s">
        <v>912</v>
      </c>
      <c r="O236" s="32"/>
      <c r="P236" s="7"/>
      <c r="Q236" s="14"/>
      <c r="R236" s="7" t="s">
        <v>5</v>
      </c>
      <c r="S236" s="47">
        <v>46267</v>
      </c>
      <c r="T236" s="4" t="s">
        <v>3952</v>
      </c>
      <c r="U236" s="178"/>
    </row>
    <row r="237" spans="1:21">
      <c r="A237" s="7" t="s">
        <v>3953</v>
      </c>
      <c r="B237" s="7" t="s">
        <v>3555</v>
      </c>
      <c r="C237" s="7" t="s">
        <v>746</v>
      </c>
      <c r="D237" s="7" t="s">
        <v>906</v>
      </c>
      <c r="E237" s="32" t="s">
        <v>828</v>
      </c>
      <c r="F237" s="32" t="s">
        <v>12</v>
      </c>
      <c r="G237" s="7" t="s">
        <v>907</v>
      </c>
      <c r="H237" s="28" t="s">
        <v>180</v>
      </c>
      <c r="I237" s="14" t="s">
        <v>3939</v>
      </c>
      <c r="J237" s="14" t="s">
        <v>3944</v>
      </c>
      <c r="K237" s="28" t="s">
        <v>3954</v>
      </c>
      <c r="L237" s="14" t="s">
        <v>39</v>
      </c>
      <c r="M237" s="7" t="s">
        <v>39</v>
      </c>
      <c r="N237" s="32" t="s">
        <v>912</v>
      </c>
      <c r="O237" s="32"/>
      <c r="P237" s="7"/>
      <c r="Q237" s="14"/>
      <c r="R237" s="7" t="s">
        <v>5</v>
      </c>
      <c r="S237" s="7" t="s">
        <v>2943</v>
      </c>
      <c r="T237" s="4" t="s">
        <v>3942</v>
      </c>
      <c r="U237" s="178"/>
    </row>
    <row r="238" spans="1:21">
      <c r="A238" s="7" t="s">
        <v>3955</v>
      </c>
      <c r="B238" s="7" t="s">
        <v>3555</v>
      </c>
      <c r="C238" s="7" t="s">
        <v>746</v>
      </c>
      <c r="D238" s="7" t="s">
        <v>906</v>
      </c>
      <c r="E238" s="32" t="s">
        <v>828</v>
      </c>
      <c r="F238" s="32" t="s">
        <v>12</v>
      </c>
      <c r="G238" s="7" t="s">
        <v>907</v>
      </c>
      <c r="H238" s="28" t="s">
        <v>145</v>
      </c>
      <c r="I238" s="14" t="s">
        <v>3939</v>
      </c>
      <c r="J238" s="14" t="s">
        <v>3944</v>
      </c>
      <c r="K238" s="28" t="s">
        <v>3956</v>
      </c>
      <c r="L238" s="14" t="s">
        <v>39</v>
      </c>
      <c r="M238" s="7" t="s">
        <v>39</v>
      </c>
      <c r="N238" s="32" t="s">
        <v>912</v>
      </c>
      <c r="O238" s="32"/>
      <c r="P238" s="7"/>
      <c r="Q238" s="14"/>
      <c r="R238" s="7" t="s">
        <v>5</v>
      </c>
      <c r="S238" s="7" t="s">
        <v>2943</v>
      </c>
      <c r="T238" s="4" t="s">
        <v>3942</v>
      </c>
      <c r="U238" s="178"/>
    </row>
    <row r="239" spans="1:21">
      <c r="A239" s="7" t="s">
        <v>3957</v>
      </c>
      <c r="B239" s="7" t="s">
        <v>3555</v>
      </c>
      <c r="C239" s="7" t="s">
        <v>746</v>
      </c>
      <c r="D239" s="7" t="s">
        <v>906</v>
      </c>
      <c r="E239" s="32" t="s">
        <v>828</v>
      </c>
      <c r="F239" s="32" t="s">
        <v>12</v>
      </c>
      <c r="G239" s="7" t="s">
        <v>907</v>
      </c>
      <c r="H239" s="28" t="s">
        <v>3556</v>
      </c>
      <c r="I239" s="14" t="s">
        <v>3939</v>
      </c>
      <c r="J239" s="14" t="s">
        <v>3958</v>
      </c>
      <c r="K239" s="28" t="s">
        <v>3959</v>
      </c>
      <c r="L239" s="14" t="s">
        <v>39</v>
      </c>
      <c r="M239" s="7" t="s">
        <v>39</v>
      </c>
      <c r="N239" s="32" t="s">
        <v>912</v>
      </c>
      <c r="O239" s="32"/>
      <c r="P239" s="7"/>
      <c r="Q239" s="14"/>
      <c r="R239" s="7" t="s">
        <v>5</v>
      </c>
      <c r="S239" s="47">
        <v>46267</v>
      </c>
      <c r="T239" s="4" t="s">
        <v>3960</v>
      </c>
      <c r="U239" s="178"/>
    </row>
    <row r="240" spans="1:21">
      <c r="A240" s="7" t="s">
        <v>3961</v>
      </c>
      <c r="B240" s="7" t="s">
        <v>3555</v>
      </c>
      <c r="C240" s="7" t="s">
        <v>746</v>
      </c>
      <c r="D240" s="7" t="s">
        <v>906</v>
      </c>
      <c r="E240" s="32" t="s">
        <v>828</v>
      </c>
      <c r="F240" s="32" t="s">
        <v>12</v>
      </c>
      <c r="G240" s="7" t="s">
        <v>907</v>
      </c>
      <c r="H240" s="28" t="s">
        <v>479</v>
      </c>
      <c r="I240" s="14" t="s">
        <v>3939</v>
      </c>
      <c r="J240" s="14" t="s">
        <v>3962</v>
      </c>
      <c r="K240" s="28" t="s">
        <v>3963</v>
      </c>
      <c r="L240" s="14" t="s">
        <v>39</v>
      </c>
      <c r="M240" s="7" t="s">
        <v>39</v>
      </c>
      <c r="N240" s="32" t="s">
        <v>912</v>
      </c>
      <c r="O240" s="32"/>
      <c r="P240" s="7"/>
      <c r="Q240" s="14"/>
      <c r="R240" s="7" t="s">
        <v>5</v>
      </c>
      <c r="S240" s="47">
        <v>46267</v>
      </c>
      <c r="T240" s="4" t="s">
        <v>3964</v>
      </c>
      <c r="U240" s="178"/>
    </row>
    <row r="241" spans="1:21">
      <c r="A241" s="7" t="s">
        <v>3965</v>
      </c>
      <c r="B241" s="7" t="s">
        <v>3555</v>
      </c>
      <c r="C241" s="7" t="s">
        <v>746</v>
      </c>
      <c r="D241" s="7" t="s">
        <v>906</v>
      </c>
      <c r="E241" s="32" t="s">
        <v>828</v>
      </c>
      <c r="F241" s="32" t="s">
        <v>12</v>
      </c>
      <c r="G241" s="7" t="s">
        <v>907</v>
      </c>
      <c r="H241" s="28" t="s">
        <v>85</v>
      </c>
      <c r="I241" s="14" t="s">
        <v>3939</v>
      </c>
      <c r="J241" s="14" t="s">
        <v>3944</v>
      </c>
      <c r="K241" s="28" t="s">
        <v>3966</v>
      </c>
      <c r="L241" s="14" t="s">
        <v>39</v>
      </c>
      <c r="M241" s="7" t="s">
        <v>39</v>
      </c>
      <c r="N241" s="32" t="s">
        <v>912</v>
      </c>
      <c r="O241" s="32"/>
      <c r="P241" s="7"/>
      <c r="Q241" s="14"/>
      <c r="R241" s="7" t="s">
        <v>5</v>
      </c>
      <c r="S241" s="47">
        <v>46267</v>
      </c>
      <c r="T241" s="4" t="s">
        <v>3967</v>
      </c>
      <c r="U241" s="178"/>
    </row>
    <row r="242" spans="1:21">
      <c r="A242" s="7" t="s">
        <v>3968</v>
      </c>
      <c r="B242" s="7" t="s">
        <v>3555</v>
      </c>
      <c r="C242" s="7" t="s">
        <v>769</v>
      </c>
      <c r="D242" s="7" t="s">
        <v>906</v>
      </c>
      <c r="E242" s="32" t="s">
        <v>828</v>
      </c>
      <c r="F242" s="7" t="s">
        <v>16</v>
      </c>
      <c r="G242" s="7" t="s">
        <v>1204</v>
      </c>
      <c r="H242" s="14" t="s">
        <v>781</v>
      </c>
      <c r="I242" s="14" t="s">
        <v>3939</v>
      </c>
      <c r="J242" s="14" t="s">
        <v>3969</v>
      </c>
      <c r="K242" s="56" t="s">
        <v>3970</v>
      </c>
      <c r="L242" s="14" t="s">
        <v>39</v>
      </c>
      <c r="M242" s="7" t="s">
        <v>39</v>
      </c>
      <c r="N242" s="32" t="s">
        <v>912</v>
      </c>
      <c r="O242" s="32" t="s">
        <v>973</v>
      </c>
      <c r="P242" s="16" t="s">
        <v>2996</v>
      </c>
      <c r="Q242" s="14" t="s">
        <v>3971</v>
      </c>
      <c r="R242" s="7" t="s">
        <v>3</v>
      </c>
      <c r="S242" s="47" t="s">
        <v>1164</v>
      </c>
      <c r="T242" s="4" t="s">
        <v>3972</v>
      </c>
      <c r="U242" s="160" t="s">
        <v>975</v>
      </c>
    </row>
    <row r="243" spans="1:21" s="27" customFormat="1">
      <c r="A243" s="7" t="s">
        <v>3973</v>
      </c>
      <c r="B243" s="7" t="s">
        <v>3555</v>
      </c>
      <c r="C243" s="7" t="s">
        <v>769</v>
      </c>
      <c r="D243" s="7" t="s">
        <v>906</v>
      </c>
      <c r="E243" s="32" t="s">
        <v>755</v>
      </c>
      <c r="F243" s="32" t="s">
        <v>12</v>
      </c>
      <c r="G243" s="7" t="s">
        <v>1004</v>
      </c>
      <c r="H243" s="56" t="s">
        <v>176</v>
      </c>
      <c r="I243" s="14" t="s">
        <v>3974</v>
      </c>
      <c r="J243" s="14" t="s">
        <v>3975</v>
      </c>
      <c r="K243" s="56" t="s">
        <v>3976</v>
      </c>
      <c r="L243" s="14" t="s">
        <v>39</v>
      </c>
      <c r="M243" s="7" t="s">
        <v>466</v>
      </c>
      <c r="N243" s="32" t="s">
        <v>912</v>
      </c>
      <c r="O243" s="33" t="s">
        <v>749</v>
      </c>
      <c r="P243" s="32" t="s">
        <v>2996</v>
      </c>
      <c r="Q243" s="13" t="s">
        <v>3977</v>
      </c>
      <c r="R243" s="7" t="s">
        <v>3</v>
      </c>
      <c r="S243" s="47" t="s">
        <v>1026</v>
      </c>
      <c r="T243" s="14" t="s">
        <v>3978</v>
      </c>
      <c r="U243" s="59"/>
    </row>
    <row r="244" spans="1:21">
      <c r="A244" s="7" t="s">
        <v>3979</v>
      </c>
      <c r="B244" s="7" t="s">
        <v>3555</v>
      </c>
      <c r="C244" s="7" t="s">
        <v>769</v>
      </c>
      <c r="D244" s="7" t="s">
        <v>906</v>
      </c>
      <c r="E244" s="32" t="s">
        <v>755</v>
      </c>
      <c r="F244" s="32" t="s">
        <v>12</v>
      </c>
      <c r="G244" s="7" t="s">
        <v>1004</v>
      </c>
      <c r="H244" s="56" t="s">
        <v>180</v>
      </c>
      <c r="I244" s="14" t="s">
        <v>3980</v>
      </c>
      <c r="J244" s="14" t="s">
        <v>3975</v>
      </c>
      <c r="K244" s="56" t="s">
        <v>3981</v>
      </c>
      <c r="L244" s="14" t="s">
        <v>39</v>
      </c>
      <c r="M244" s="7" t="s">
        <v>466</v>
      </c>
      <c r="N244" s="32" t="s">
        <v>912</v>
      </c>
      <c r="O244" s="32" t="s">
        <v>912</v>
      </c>
      <c r="P244" s="17" t="s">
        <v>3007</v>
      </c>
      <c r="Q244" s="49" t="s">
        <v>3982</v>
      </c>
      <c r="R244" s="7" t="s">
        <v>3</v>
      </c>
      <c r="S244" s="7" t="s">
        <v>1026</v>
      </c>
      <c r="T244" s="4" t="s">
        <v>3983</v>
      </c>
      <c r="U244" s="178"/>
    </row>
    <row r="245" spans="1:21">
      <c r="A245" s="7" t="s">
        <v>3984</v>
      </c>
      <c r="B245" s="7" t="s">
        <v>3555</v>
      </c>
      <c r="C245" s="7" t="s">
        <v>769</v>
      </c>
      <c r="D245" s="7" t="s">
        <v>906</v>
      </c>
      <c r="E245" s="32" t="s">
        <v>755</v>
      </c>
      <c r="F245" s="32" t="s">
        <v>12</v>
      </c>
      <c r="G245" s="7" t="s">
        <v>1004</v>
      </c>
      <c r="H245" s="56" t="s">
        <v>145</v>
      </c>
      <c r="I245" s="14" t="s">
        <v>3985</v>
      </c>
      <c r="J245" s="14" t="s">
        <v>3975</v>
      </c>
      <c r="K245" s="56" t="s">
        <v>3986</v>
      </c>
      <c r="L245" s="14" t="s">
        <v>39</v>
      </c>
      <c r="M245" s="7" t="s">
        <v>466</v>
      </c>
      <c r="N245" s="32" t="s">
        <v>912</v>
      </c>
      <c r="O245" s="32" t="s">
        <v>912</v>
      </c>
      <c r="P245" s="7" t="s">
        <v>3007</v>
      </c>
      <c r="Q245" s="49" t="s">
        <v>3982</v>
      </c>
      <c r="R245" s="7" t="s">
        <v>3</v>
      </c>
      <c r="S245" s="7" t="s">
        <v>1026</v>
      </c>
      <c r="T245" s="4" t="s">
        <v>3987</v>
      </c>
      <c r="U245" s="178"/>
    </row>
    <row r="246" spans="1:21">
      <c r="A246" s="7" t="s">
        <v>3988</v>
      </c>
      <c r="B246" s="7" t="s">
        <v>3555</v>
      </c>
      <c r="C246" s="7" t="s">
        <v>769</v>
      </c>
      <c r="D246" s="7" t="s">
        <v>906</v>
      </c>
      <c r="E246" s="32" t="s">
        <v>755</v>
      </c>
      <c r="F246" s="32" t="s">
        <v>12</v>
      </c>
      <c r="G246" s="7" t="s">
        <v>1004</v>
      </c>
      <c r="H246" s="56" t="s">
        <v>479</v>
      </c>
      <c r="I246" s="14" t="s">
        <v>3989</v>
      </c>
      <c r="J246" s="14" t="s">
        <v>3975</v>
      </c>
      <c r="K246" s="56" t="s">
        <v>3990</v>
      </c>
      <c r="L246" s="14" t="s">
        <v>39</v>
      </c>
      <c r="M246" s="7" t="s">
        <v>3169</v>
      </c>
      <c r="N246" s="32" t="s">
        <v>912</v>
      </c>
      <c r="O246" s="32" t="s">
        <v>912</v>
      </c>
      <c r="P246" s="7" t="s">
        <v>3007</v>
      </c>
      <c r="Q246" s="49" t="s">
        <v>3982</v>
      </c>
      <c r="R246" s="7" t="s">
        <v>3</v>
      </c>
      <c r="S246" s="7" t="s">
        <v>1026</v>
      </c>
      <c r="T246" s="4" t="s">
        <v>3991</v>
      </c>
      <c r="U246" s="178"/>
    </row>
    <row r="247" spans="1:21">
      <c r="A247" s="7" t="s">
        <v>3992</v>
      </c>
      <c r="B247" s="7" t="s">
        <v>3555</v>
      </c>
      <c r="C247" s="7" t="s">
        <v>769</v>
      </c>
      <c r="D247" s="7" t="s">
        <v>906</v>
      </c>
      <c r="E247" s="32" t="s">
        <v>755</v>
      </c>
      <c r="F247" s="32" t="s">
        <v>12</v>
      </c>
      <c r="G247" s="7" t="s">
        <v>1004</v>
      </c>
      <c r="H247" s="56" t="s">
        <v>148</v>
      </c>
      <c r="I247" s="14" t="s">
        <v>3993</v>
      </c>
      <c r="J247" s="14" t="s">
        <v>3975</v>
      </c>
      <c r="K247" s="56" t="s">
        <v>3994</v>
      </c>
      <c r="L247" s="14" t="s">
        <v>39</v>
      </c>
      <c r="M247" s="7" t="s">
        <v>466</v>
      </c>
      <c r="N247" s="32" t="s">
        <v>912</v>
      </c>
      <c r="O247" s="32" t="s">
        <v>912</v>
      </c>
      <c r="P247" s="7" t="s">
        <v>3007</v>
      </c>
      <c r="Q247" s="49" t="s">
        <v>3982</v>
      </c>
      <c r="R247" s="7" t="s">
        <v>3</v>
      </c>
      <c r="S247" s="47" t="s">
        <v>1026</v>
      </c>
      <c r="T247" s="4" t="s">
        <v>3995</v>
      </c>
      <c r="U247" s="178"/>
    </row>
    <row r="248" spans="1:21">
      <c r="A248" s="7" t="s">
        <v>3996</v>
      </c>
      <c r="B248" s="7" t="s">
        <v>3555</v>
      </c>
      <c r="C248" s="7" t="s">
        <v>769</v>
      </c>
      <c r="D248" s="7" t="s">
        <v>906</v>
      </c>
      <c r="E248" s="32" t="s">
        <v>755</v>
      </c>
      <c r="F248" s="32" t="s">
        <v>12</v>
      </c>
      <c r="G248" s="7" t="s">
        <v>1004</v>
      </c>
      <c r="H248" s="56" t="s">
        <v>170</v>
      </c>
      <c r="I248" s="14" t="s">
        <v>3993</v>
      </c>
      <c r="J248" s="14" t="s">
        <v>3975</v>
      </c>
      <c r="K248" s="56" t="s">
        <v>3997</v>
      </c>
      <c r="L248" s="14" t="s">
        <v>39</v>
      </c>
      <c r="M248" s="7" t="s">
        <v>466</v>
      </c>
      <c r="N248" s="32" t="s">
        <v>912</v>
      </c>
      <c r="O248" s="32" t="s">
        <v>912</v>
      </c>
      <c r="P248" s="7" t="s">
        <v>3007</v>
      </c>
      <c r="Q248" s="49" t="s">
        <v>3982</v>
      </c>
      <c r="R248" s="7" t="s">
        <v>3</v>
      </c>
      <c r="S248" s="47" t="s">
        <v>1026</v>
      </c>
      <c r="T248" s="4" t="s">
        <v>3998</v>
      </c>
      <c r="U248" s="178"/>
    </row>
    <row r="249" spans="1:21">
      <c r="A249" s="7" t="s">
        <v>3999</v>
      </c>
      <c r="B249" s="7" t="s">
        <v>1139</v>
      </c>
      <c r="C249" s="7" t="s">
        <v>746</v>
      </c>
      <c r="D249" s="7" t="s">
        <v>906</v>
      </c>
      <c r="E249" s="32" t="s">
        <v>828</v>
      </c>
      <c r="F249" s="32" t="s">
        <v>12</v>
      </c>
      <c r="G249" s="7" t="s">
        <v>907</v>
      </c>
      <c r="H249" s="28" t="s">
        <v>70</v>
      </c>
      <c r="I249" s="14" t="s">
        <v>4000</v>
      </c>
      <c r="J249" s="14" t="s">
        <v>4001</v>
      </c>
      <c r="K249" s="28" t="s">
        <v>4002</v>
      </c>
      <c r="L249" s="14" t="s">
        <v>39</v>
      </c>
      <c r="M249" s="7" t="s">
        <v>39</v>
      </c>
      <c r="N249" s="32" t="s">
        <v>912</v>
      </c>
      <c r="O249" s="32"/>
      <c r="P249" s="7"/>
      <c r="Q249" s="14"/>
      <c r="R249" s="7" t="s">
        <v>3</v>
      </c>
      <c r="S249" s="47">
        <v>46267</v>
      </c>
      <c r="T249" s="4" t="s">
        <v>3150</v>
      </c>
      <c r="U249" s="178"/>
    </row>
    <row r="250" spans="1:21">
      <c r="A250" s="7" t="s">
        <v>4003</v>
      </c>
      <c r="B250" s="7" t="s">
        <v>1139</v>
      </c>
      <c r="C250" s="7" t="s">
        <v>754</v>
      </c>
      <c r="D250" s="7" t="s">
        <v>906</v>
      </c>
      <c r="E250" s="32" t="s">
        <v>1574</v>
      </c>
      <c r="F250" s="7" t="s">
        <v>16</v>
      </c>
      <c r="G250" s="7" t="s">
        <v>1915</v>
      </c>
      <c r="H250" s="14" t="s">
        <v>781</v>
      </c>
      <c r="I250" s="14" t="s">
        <v>4004</v>
      </c>
      <c r="J250" s="14" t="s">
        <v>4005</v>
      </c>
      <c r="K250" s="28" t="s">
        <v>4006</v>
      </c>
      <c r="L250" s="28" t="s">
        <v>4007</v>
      </c>
      <c r="M250" s="7" t="s">
        <v>39</v>
      </c>
      <c r="N250" s="32" t="s">
        <v>912</v>
      </c>
      <c r="O250" s="32" t="s">
        <v>973</v>
      </c>
      <c r="P250" s="7"/>
      <c r="Q250" s="14"/>
      <c r="R250" s="7" t="s">
        <v>3</v>
      </c>
      <c r="S250" s="7" t="s">
        <v>1564</v>
      </c>
      <c r="T250" s="4" t="s">
        <v>4008</v>
      </c>
      <c r="U250" s="160" t="s">
        <v>868</v>
      </c>
    </row>
    <row r="251" spans="1:21">
      <c r="A251" s="7" t="s">
        <v>4009</v>
      </c>
      <c r="B251" s="7" t="s">
        <v>4010</v>
      </c>
      <c r="C251" s="7" t="s">
        <v>746</v>
      </c>
      <c r="D251" s="7" t="s">
        <v>906</v>
      </c>
      <c r="E251" s="32" t="s">
        <v>1574</v>
      </c>
      <c r="F251" s="32" t="s">
        <v>12</v>
      </c>
      <c r="G251" s="7" t="s">
        <v>804</v>
      </c>
      <c r="H251" s="28" t="s">
        <v>4011</v>
      </c>
      <c r="I251" s="14" t="s">
        <v>4012</v>
      </c>
      <c r="J251" s="14" t="s">
        <v>4013</v>
      </c>
      <c r="K251" s="28" t="s">
        <v>4014</v>
      </c>
      <c r="L251" s="14" t="s">
        <v>39</v>
      </c>
      <c r="M251" s="7" t="s">
        <v>39</v>
      </c>
      <c r="N251" s="32" t="s">
        <v>912</v>
      </c>
      <c r="O251" s="32" t="s">
        <v>1009</v>
      </c>
      <c r="P251" s="32" t="s">
        <v>3199</v>
      </c>
      <c r="Q251" s="14" t="s">
        <v>3200</v>
      </c>
      <c r="R251" s="7" t="s">
        <v>4</v>
      </c>
      <c r="S251" s="7" t="s">
        <v>3454</v>
      </c>
      <c r="T251" s="4" t="s">
        <v>3124</v>
      </c>
      <c r="U251" s="178"/>
    </row>
    <row r="252" spans="1:21">
      <c r="A252" s="7" t="s">
        <v>4015</v>
      </c>
      <c r="B252" s="7" t="s">
        <v>4010</v>
      </c>
      <c r="C252" s="7" t="s">
        <v>746</v>
      </c>
      <c r="D252" s="7" t="s">
        <v>906</v>
      </c>
      <c r="E252" s="32" t="s">
        <v>767</v>
      </c>
      <c r="F252" s="7" t="s">
        <v>16</v>
      </c>
      <c r="G252" s="7" t="s">
        <v>1004</v>
      </c>
      <c r="H252" s="28" t="s">
        <v>4011</v>
      </c>
      <c r="I252" s="14" t="s">
        <v>4016</v>
      </c>
      <c r="J252" s="14" t="s">
        <v>4017</v>
      </c>
      <c r="K252" s="28" t="s">
        <v>4018</v>
      </c>
      <c r="L252" s="14" t="s">
        <v>39</v>
      </c>
      <c r="M252" s="7" t="s">
        <v>39</v>
      </c>
      <c r="N252" s="32" t="s">
        <v>912</v>
      </c>
      <c r="O252" s="32" t="s">
        <v>973</v>
      </c>
      <c r="P252" s="7"/>
      <c r="Q252" s="14"/>
      <c r="R252" s="7" t="s">
        <v>3</v>
      </c>
      <c r="S252" s="47" t="s">
        <v>1164</v>
      </c>
      <c r="T252" s="4" t="s">
        <v>4019</v>
      </c>
      <c r="U252" s="160" t="s">
        <v>1028</v>
      </c>
    </row>
    <row r="253" spans="1:21">
      <c r="A253" s="7" t="s">
        <v>4020</v>
      </c>
      <c r="B253" s="7" t="s">
        <v>4010</v>
      </c>
      <c r="C253" s="7" t="s">
        <v>769</v>
      </c>
      <c r="D253" s="7" t="s">
        <v>906</v>
      </c>
      <c r="E253" s="32" t="s">
        <v>828</v>
      </c>
      <c r="F253" s="32" t="s">
        <v>12</v>
      </c>
      <c r="G253" s="7" t="s">
        <v>1085</v>
      </c>
      <c r="H253" s="28" t="s">
        <v>4011</v>
      </c>
      <c r="I253" s="14" t="s">
        <v>4021</v>
      </c>
      <c r="J253" s="61" t="s">
        <v>4022</v>
      </c>
      <c r="K253" s="28" t="s">
        <v>4023</v>
      </c>
      <c r="L253" s="14" t="s">
        <v>39</v>
      </c>
      <c r="M253" s="7" t="s">
        <v>39</v>
      </c>
      <c r="N253" s="32" t="s">
        <v>912</v>
      </c>
      <c r="O253" s="32" t="s">
        <v>912</v>
      </c>
      <c r="P253" s="7" t="s">
        <v>3007</v>
      </c>
      <c r="Q253" s="49" t="s">
        <v>4024</v>
      </c>
      <c r="R253" s="7" t="s">
        <v>3</v>
      </c>
      <c r="S253" s="7" t="s">
        <v>1073</v>
      </c>
      <c r="T253" s="4" t="s">
        <v>4025</v>
      </c>
      <c r="U253" s="178"/>
    </row>
    <row r="254" spans="1:21">
      <c r="A254" s="7" t="s">
        <v>4026</v>
      </c>
      <c r="B254" s="7" t="s">
        <v>4010</v>
      </c>
      <c r="C254" s="7" t="s">
        <v>746</v>
      </c>
      <c r="D254" s="7" t="s">
        <v>906</v>
      </c>
      <c r="E254" s="32" t="s">
        <v>828</v>
      </c>
      <c r="F254" s="7" t="s">
        <v>16</v>
      </c>
      <c r="G254" s="7" t="s">
        <v>1142</v>
      </c>
      <c r="H254" s="28" t="s">
        <v>4011</v>
      </c>
      <c r="I254" s="14" t="s">
        <v>4027</v>
      </c>
      <c r="J254" s="14" t="s">
        <v>4028</v>
      </c>
      <c r="K254" s="28" t="s">
        <v>4029</v>
      </c>
      <c r="L254" s="28" t="s">
        <v>4030</v>
      </c>
      <c r="M254" s="7" t="s">
        <v>39</v>
      </c>
      <c r="N254" s="32" t="s">
        <v>912</v>
      </c>
      <c r="O254" s="32" t="s">
        <v>973</v>
      </c>
      <c r="P254" s="7"/>
      <c r="Q254" s="14"/>
      <c r="R254" s="7" t="s">
        <v>3</v>
      </c>
      <c r="S254" s="47">
        <v>46267</v>
      </c>
      <c r="T254" s="4" t="s">
        <v>4031</v>
      </c>
      <c r="U254" s="160" t="s">
        <v>1028</v>
      </c>
    </row>
    <row r="255" spans="1:21">
      <c r="A255" s="7" t="s">
        <v>4032</v>
      </c>
      <c r="B255" s="7" t="s">
        <v>4010</v>
      </c>
      <c r="C255" s="7" t="s">
        <v>746</v>
      </c>
      <c r="D255" s="7" t="s">
        <v>906</v>
      </c>
      <c r="E255" s="32" t="s">
        <v>828</v>
      </c>
      <c r="F255" s="7" t="s">
        <v>16</v>
      </c>
      <c r="G255" s="7" t="s">
        <v>1142</v>
      </c>
      <c r="H255" s="28" t="s">
        <v>4011</v>
      </c>
      <c r="I255" s="14" t="s">
        <v>4033</v>
      </c>
      <c r="J255" s="14" t="s">
        <v>4034</v>
      </c>
      <c r="K255" s="28" t="s">
        <v>4035</v>
      </c>
      <c r="L255" s="28" t="s">
        <v>4036</v>
      </c>
      <c r="M255" s="7" t="s">
        <v>39</v>
      </c>
      <c r="N255" s="32" t="s">
        <v>912</v>
      </c>
      <c r="O255" s="32" t="s">
        <v>973</v>
      </c>
      <c r="P255" s="7"/>
      <c r="Q255" s="14"/>
      <c r="R255" s="7" t="s">
        <v>3</v>
      </c>
      <c r="S255" s="47" t="s">
        <v>1164</v>
      </c>
      <c r="T255" s="4" t="s">
        <v>4019</v>
      </c>
      <c r="U255" s="160" t="s">
        <v>1028</v>
      </c>
    </row>
    <row r="256" spans="1:21">
      <c r="A256" s="7" t="s">
        <v>4037</v>
      </c>
      <c r="B256" s="7" t="s">
        <v>4010</v>
      </c>
      <c r="C256" s="7" t="s">
        <v>746</v>
      </c>
      <c r="D256" s="7" t="s">
        <v>906</v>
      </c>
      <c r="E256" s="32" t="s">
        <v>828</v>
      </c>
      <c r="F256" s="7" t="s">
        <v>16</v>
      </c>
      <c r="G256" s="7" t="s">
        <v>1142</v>
      </c>
      <c r="H256" s="28" t="s">
        <v>4011</v>
      </c>
      <c r="I256" s="14" t="s">
        <v>4038</v>
      </c>
      <c r="J256" s="14" t="s">
        <v>4039</v>
      </c>
      <c r="K256" s="28" t="s">
        <v>4040</v>
      </c>
      <c r="L256" s="28" t="s">
        <v>4041</v>
      </c>
      <c r="M256" s="7" t="s">
        <v>39</v>
      </c>
      <c r="N256" s="32" t="s">
        <v>912</v>
      </c>
      <c r="O256" s="32" t="s">
        <v>973</v>
      </c>
      <c r="P256" s="7"/>
      <c r="Q256" s="14"/>
      <c r="R256" s="7" t="s">
        <v>3</v>
      </c>
      <c r="S256" s="7" t="s">
        <v>1164</v>
      </c>
      <c r="T256" s="4" t="s">
        <v>4042</v>
      </c>
      <c r="U256" s="160" t="s">
        <v>1028</v>
      </c>
    </row>
    <row r="257" spans="1:21">
      <c r="A257" s="7" t="s">
        <v>4043</v>
      </c>
      <c r="B257" s="7" t="s">
        <v>2943</v>
      </c>
      <c r="C257" s="7" t="s">
        <v>746</v>
      </c>
      <c r="D257" s="7" t="s">
        <v>906</v>
      </c>
      <c r="E257" s="32" t="s">
        <v>828</v>
      </c>
      <c r="F257" s="32" t="s">
        <v>12</v>
      </c>
      <c r="G257" s="7" t="s">
        <v>907</v>
      </c>
      <c r="H257" s="28" t="s">
        <v>4011</v>
      </c>
      <c r="I257" s="14" t="s">
        <v>4044</v>
      </c>
      <c r="J257" s="14" t="s">
        <v>4045</v>
      </c>
      <c r="K257" s="28" t="s">
        <v>4046</v>
      </c>
      <c r="L257" s="14" t="s">
        <v>39</v>
      </c>
      <c r="M257" s="7" t="s">
        <v>39</v>
      </c>
      <c r="N257" s="32" t="s">
        <v>912</v>
      </c>
      <c r="O257" s="32"/>
      <c r="P257" s="7"/>
      <c r="Q257" s="14"/>
      <c r="R257" s="7" t="s">
        <v>3</v>
      </c>
      <c r="S257" s="7" t="s">
        <v>3174</v>
      </c>
      <c r="T257" s="4" t="s">
        <v>3175</v>
      </c>
      <c r="U257" s="178"/>
    </row>
    <row r="258" spans="1:21">
      <c r="A258" s="7" t="s">
        <v>4047</v>
      </c>
      <c r="B258" s="7" t="s">
        <v>1159</v>
      </c>
      <c r="C258" s="7" t="s">
        <v>769</v>
      </c>
      <c r="D258" s="7" t="s">
        <v>906</v>
      </c>
      <c r="E258" s="32" t="s">
        <v>828</v>
      </c>
      <c r="F258" s="32" t="s">
        <v>12</v>
      </c>
      <c r="G258" s="7" t="s">
        <v>2302</v>
      </c>
      <c r="H258" s="28" t="s">
        <v>82</v>
      </c>
      <c r="I258" s="14" t="s">
        <v>4048</v>
      </c>
      <c r="J258" s="14" t="s">
        <v>4049</v>
      </c>
      <c r="K258" s="28" t="s">
        <v>4050</v>
      </c>
      <c r="L258" s="14" t="s">
        <v>39</v>
      </c>
      <c r="M258" s="7" t="s">
        <v>39</v>
      </c>
      <c r="N258" s="32" t="s">
        <v>912</v>
      </c>
      <c r="O258" s="32" t="s">
        <v>912</v>
      </c>
      <c r="P258" s="32" t="s">
        <v>3007</v>
      </c>
      <c r="Q258" s="14" t="s">
        <v>3008</v>
      </c>
      <c r="R258" s="7" t="s">
        <v>3</v>
      </c>
      <c r="S258" s="47">
        <v>46175</v>
      </c>
      <c r="T258" s="4" t="s">
        <v>4051</v>
      </c>
      <c r="U258" s="178"/>
    </row>
    <row r="259" spans="1:21">
      <c r="A259" s="7" t="s">
        <v>4052</v>
      </c>
      <c r="B259" s="7" t="s">
        <v>1159</v>
      </c>
      <c r="C259" s="7" t="s">
        <v>769</v>
      </c>
      <c r="D259" s="7" t="s">
        <v>906</v>
      </c>
      <c r="E259" s="32" t="s">
        <v>828</v>
      </c>
      <c r="F259" s="32" t="s">
        <v>12</v>
      </c>
      <c r="G259" s="7" t="s">
        <v>2302</v>
      </c>
      <c r="H259" s="28" t="s">
        <v>88</v>
      </c>
      <c r="I259" s="14" t="s">
        <v>4048</v>
      </c>
      <c r="J259" s="14" t="s">
        <v>4049</v>
      </c>
      <c r="K259" s="28" t="s">
        <v>4053</v>
      </c>
      <c r="L259" s="14" t="s">
        <v>39</v>
      </c>
      <c r="M259" s="7" t="s">
        <v>39</v>
      </c>
      <c r="N259" s="32" t="s">
        <v>912</v>
      </c>
      <c r="O259" s="32" t="s">
        <v>912</v>
      </c>
      <c r="P259" s="32" t="s">
        <v>3007</v>
      </c>
      <c r="Q259" s="14" t="s">
        <v>3008</v>
      </c>
      <c r="R259" s="7" t="s">
        <v>3</v>
      </c>
      <c r="S259" s="47">
        <v>46175</v>
      </c>
      <c r="T259" s="4" t="s">
        <v>4051</v>
      </c>
      <c r="U259" s="178"/>
    </row>
    <row r="260" spans="1:21">
      <c r="A260" s="7" t="s">
        <v>4054</v>
      </c>
      <c r="B260" s="7" t="s">
        <v>1159</v>
      </c>
      <c r="C260" s="7" t="s">
        <v>769</v>
      </c>
      <c r="D260" s="7" t="s">
        <v>906</v>
      </c>
      <c r="E260" s="32" t="s">
        <v>828</v>
      </c>
      <c r="F260" s="32" t="s">
        <v>12</v>
      </c>
      <c r="G260" s="7" t="s">
        <v>2302</v>
      </c>
      <c r="H260" s="28" t="s">
        <v>100</v>
      </c>
      <c r="I260" s="14" t="s">
        <v>4048</v>
      </c>
      <c r="J260" s="14" t="s">
        <v>4049</v>
      </c>
      <c r="K260" s="28" t="s">
        <v>4055</v>
      </c>
      <c r="L260" s="14" t="s">
        <v>39</v>
      </c>
      <c r="M260" s="7" t="s">
        <v>39</v>
      </c>
      <c r="N260" s="32" t="s">
        <v>912</v>
      </c>
      <c r="O260" s="32" t="s">
        <v>912</v>
      </c>
      <c r="P260" s="32" t="s">
        <v>3007</v>
      </c>
      <c r="Q260" s="14" t="s">
        <v>3008</v>
      </c>
      <c r="R260" s="7" t="s">
        <v>3</v>
      </c>
      <c r="S260" s="47">
        <v>46175</v>
      </c>
      <c r="T260" s="4" t="s">
        <v>4051</v>
      </c>
      <c r="U260" s="178"/>
    </row>
    <row r="261" spans="1:21">
      <c r="A261" s="7" t="s">
        <v>4056</v>
      </c>
      <c r="B261" s="7" t="s">
        <v>1159</v>
      </c>
      <c r="C261" s="7" t="s">
        <v>746</v>
      </c>
      <c r="D261" s="7" t="s">
        <v>906</v>
      </c>
      <c r="E261" s="32" t="s">
        <v>828</v>
      </c>
      <c r="F261" s="32" t="s">
        <v>12</v>
      </c>
      <c r="G261" s="7" t="s">
        <v>2302</v>
      </c>
      <c r="H261" s="28" t="s">
        <v>106</v>
      </c>
      <c r="I261" s="14" t="s">
        <v>3333</v>
      </c>
      <c r="J261" s="14" t="s">
        <v>4057</v>
      </c>
      <c r="K261" s="28" t="s">
        <v>4058</v>
      </c>
      <c r="L261" s="28" t="s">
        <v>4059</v>
      </c>
      <c r="M261" s="7" t="s">
        <v>39</v>
      </c>
      <c r="N261" s="32" t="s">
        <v>912</v>
      </c>
      <c r="O261" s="32" t="s">
        <v>3272</v>
      </c>
      <c r="P261" s="7" t="s">
        <v>1028</v>
      </c>
      <c r="Q261" s="14"/>
      <c r="R261" s="7" t="s">
        <v>3</v>
      </c>
      <c r="S261" s="7" t="s">
        <v>1046</v>
      </c>
      <c r="T261" s="4"/>
      <c r="U261" s="178"/>
    </row>
    <row r="262" spans="1:21">
      <c r="A262" s="7" t="s">
        <v>4060</v>
      </c>
      <c r="B262" s="7" t="s">
        <v>1159</v>
      </c>
      <c r="C262" s="7" t="s">
        <v>769</v>
      </c>
      <c r="D262" s="7" t="s">
        <v>906</v>
      </c>
      <c r="E262" s="32" t="s">
        <v>828</v>
      </c>
      <c r="F262" s="32" t="s">
        <v>12</v>
      </c>
      <c r="G262" s="7" t="s">
        <v>2302</v>
      </c>
      <c r="H262" s="28" t="s">
        <v>106</v>
      </c>
      <c r="I262" s="14" t="s">
        <v>4048</v>
      </c>
      <c r="J262" s="14" t="s">
        <v>4049</v>
      </c>
      <c r="K262" s="28" t="s">
        <v>4061</v>
      </c>
      <c r="L262" s="14" t="s">
        <v>39</v>
      </c>
      <c r="M262" s="7" t="s">
        <v>39</v>
      </c>
      <c r="N262" s="32" t="s">
        <v>912</v>
      </c>
      <c r="O262" s="32" t="s">
        <v>912</v>
      </c>
      <c r="P262" s="32" t="s">
        <v>3007</v>
      </c>
      <c r="Q262" s="14" t="s">
        <v>3008</v>
      </c>
      <c r="R262" s="7" t="s">
        <v>3</v>
      </c>
      <c r="S262" s="47">
        <v>46175</v>
      </c>
      <c r="T262" s="4" t="s">
        <v>4051</v>
      </c>
      <c r="U262" s="178"/>
    </row>
    <row r="263" spans="1:21">
      <c r="A263" s="7" t="s">
        <v>4062</v>
      </c>
      <c r="B263" s="7" t="s">
        <v>1159</v>
      </c>
      <c r="C263" s="7" t="s">
        <v>769</v>
      </c>
      <c r="D263" s="7" t="s">
        <v>906</v>
      </c>
      <c r="E263" s="32" t="s">
        <v>828</v>
      </c>
      <c r="F263" s="32" t="s">
        <v>12</v>
      </c>
      <c r="G263" s="7" t="s">
        <v>2302</v>
      </c>
      <c r="H263" s="28" t="s">
        <v>110</v>
      </c>
      <c r="I263" s="14" t="s">
        <v>4048</v>
      </c>
      <c r="J263" s="14" t="s">
        <v>4049</v>
      </c>
      <c r="K263" s="28" t="s">
        <v>4063</v>
      </c>
      <c r="L263" s="14" t="s">
        <v>39</v>
      </c>
      <c r="M263" s="7" t="s">
        <v>39</v>
      </c>
      <c r="N263" s="32" t="s">
        <v>912</v>
      </c>
      <c r="O263" s="32" t="s">
        <v>912</v>
      </c>
      <c r="P263" s="32" t="s">
        <v>3007</v>
      </c>
      <c r="Q263" s="14" t="s">
        <v>3008</v>
      </c>
      <c r="R263" s="7" t="s">
        <v>3</v>
      </c>
      <c r="S263" s="47">
        <v>46175</v>
      </c>
      <c r="T263" s="4" t="s">
        <v>4051</v>
      </c>
      <c r="U263" s="178"/>
    </row>
    <row r="264" spans="1:21">
      <c r="A264" s="7" t="s">
        <v>4064</v>
      </c>
      <c r="B264" s="7" t="s">
        <v>1159</v>
      </c>
      <c r="C264" s="7" t="s">
        <v>769</v>
      </c>
      <c r="D264" s="7" t="s">
        <v>906</v>
      </c>
      <c r="E264" s="32" t="s">
        <v>828</v>
      </c>
      <c r="F264" s="32" t="s">
        <v>12</v>
      </c>
      <c r="G264" s="7" t="s">
        <v>2302</v>
      </c>
      <c r="H264" s="56" t="s">
        <v>117</v>
      </c>
      <c r="I264" s="14" t="s">
        <v>4065</v>
      </c>
      <c r="J264" s="14" t="s">
        <v>4066</v>
      </c>
      <c r="K264" s="56" t="s">
        <v>4067</v>
      </c>
      <c r="L264" s="56" t="s">
        <v>4068</v>
      </c>
      <c r="M264" s="7" t="s">
        <v>39</v>
      </c>
      <c r="N264" s="32" t="s">
        <v>912</v>
      </c>
      <c r="O264" s="32" t="s">
        <v>912</v>
      </c>
      <c r="P264" s="7" t="s">
        <v>1028</v>
      </c>
      <c r="Q264" s="14"/>
      <c r="R264" s="7" t="s">
        <v>3</v>
      </c>
      <c r="S264" s="7" t="s">
        <v>1658</v>
      </c>
      <c r="T264" s="4" t="s">
        <v>4069</v>
      </c>
      <c r="U264" s="178"/>
    </row>
    <row r="265" spans="1:21">
      <c r="A265" s="7" t="s">
        <v>4070</v>
      </c>
      <c r="B265" s="7" t="s">
        <v>1159</v>
      </c>
      <c r="C265" s="7" t="s">
        <v>769</v>
      </c>
      <c r="D265" s="7" t="s">
        <v>906</v>
      </c>
      <c r="E265" s="32" t="s">
        <v>828</v>
      </c>
      <c r="F265" s="32" t="s">
        <v>12</v>
      </c>
      <c r="G265" s="7" t="s">
        <v>2302</v>
      </c>
      <c r="H265" s="28" t="s">
        <v>117</v>
      </c>
      <c r="I265" s="14" t="s">
        <v>4048</v>
      </c>
      <c r="J265" s="14" t="s">
        <v>4049</v>
      </c>
      <c r="K265" s="28" t="s">
        <v>4071</v>
      </c>
      <c r="L265" s="14" t="s">
        <v>39</v>
      </c>
      <c r="M265" s="7" t="s">
        <v>39</v>
      </c>
      <c r="N265" s="32" t="s">
        <v>912</v>
      </c>
      <c r="O265" s="32" t="s">
        <v>912</v>
      </c>
      <c r="P265" s="32" t="s">
        <v>3007</v>
      </c>
      <c r="Q265" s="14" t="s">
        <v>3008</v>
      </c>
      <c r="R265" s="7" t="s">
        <v>3</v>
      </c>
      <c r="S265" s="47">
        <v>46175</v>
      </c>
      <c r="T265" s="4" t="s">
        <v>4051</v>
      </c>
      <c r="U265" s="178"/>
    </row>
    <row r="266" spans="1:21">
      <c r="A266" s="7" t="s">
        <v>4072</v>
      </c>
      <c r="B266" s="7" t="s">
        <v>1159</v>
      </c>
      <c r="C266" s="7" t="s">
        <v>769</v>
      </c>
      <c r="D266" s="7" t="s">
        <v>906</v>
      </c>
      <c r="E266" s="32" t="s">
        <v>828</v>
      </c>
      <c r="F266" s="32" t="s">
        <v>12</v>
      </c>
      <c r="G266" s="7" t="s">
        <v>2302</v>
      </c>
      <c r="H266" s="28" t="s">
        <v>120</v>
      </c>
      <c r="I266" s="14" t="s">
        <v>4048</v>
      </c>
      <c r="J266" s="14" t="s">
        <v>4049</v>
      </c>
      <c r="K266" s="28" t="s">
        <v>4073</v>
      </c>
      <c r="L266" s="14" t="s">
        <v>39</v>
      </c>
      <c r="M266" s="7" t="s">
        <v>39</v>
      </c>
      <c r="N266" s="32" t="s">
        <v>912</v>
      </c>
      <c r="O266" s="32" t="s">
        <v>912</v>
      </c>
      <c r="P266" s="32" t="s">
        <v>3007</v>
      </c>
      <c r="Q266" s="14" t="s">
        <v>3008</v>
      </c>
      <c r="R266" s="7" t="s">
        <v>3</v>
      </c>
      <c r="S266" s="47">
        <v>46175</v>
      </c>
      <c r="T266" s="4" t="s">
        <v>4051</v>
      </c>
      <c r="U266" s="178"/>
    </row>
    <row r="267" spans="1:21">
      <c r="A267" s="7" t="s">
        <v>4074</v>
      </c>
      <c r="B267" s="7" t="s">
        <v>1159</v>
      </c>
      <c r="C267" s="7" t="s">
        <v>769</v>
      </c>
      <c r="D267" s="7" t="s">
        <v>906</v>
      </c>
      <c r="E267" s="32" t="s">
        <v>828</v>
      </c>
      <c r="F267" s="32" t="s">
        <v>12</v>
      </c>
      <c r="G267" s="7" t="s">
        <v>2302</v>
      </c>
      <c r="H267" s="28" t="s">
        <v>123</v>
      </c>
      <c r="I267" s="14" t="s">
        <v>4048</v>
      </c>
      <c r="J267" s="14" t="s">
        <v>4049</v>
      </c>
      <c r="K267" s="28" t="s">
        <v>4075</v>
      </c>
      <c r="L267" s="14" t="s">
        <v>39</v>
      </c>
      <c r="M267" s="7" t="s">
        <v>39</v>
      </c>
      <c r="N267" s="32" t="s">
        <v>912</v>
      </c>
      <c r="O267" s="32" t="s">
        <v>912</v>
      </c>
      <c r="P267" s="32" t="s">
        <v>3007</v>
      </c>
      <c r="Q267" s="14" t="s">
        <v>3008</v>
      </c>
      <c r="R267" s="7" t="s">
        <v>3</v>
      </c>
      <c r="S267" s="47">
        <v>46175</v>
      </c>
      <c r="T267" s="4" t="s">
        <v>4051</v>
      </c>
      <c r="U267" s="178"/>
    </row>
    <row r="268" spans="1:21">
      <c r="A268" s="7" t="s">
        <v>4076</v>
      </c>
      <c r="B268" s="7" t="s">
        <v>1159</v>
      </c>
      <c r="C268" s="7" t="s">
        <v>769</v>
      </c>
      <c r="D268" s="7" t="s">
        <v>906</v>
      </c>
      <c r="E268" s="32" t="s">
        <v>828</v>
      </c>
      <c r="F268" s="32" t="s">
        <v>12</v>
      </c>
      <c r="G268" s="7" t="s">
        <v>2302</v>
      </c>
      <c r="H268" s="28" t="s">
        <v>126</v>
      </c>
      <c r="I268" s="14" t="s">
        <v>4048</v>
      </c>
      <c r="J268" s="14" t="s">
        <v>4049</v>
      </c>
      <c r="K268" s="28" t="s">
        <v>4077</v>
      </c>
      <c r="L268" s="14" t="s">
        <v>39</v>
      </c>
      <c r="M268" s="7" t="s">
        <v>39</v>
      </c>
      <c r="N268" s="32" t="s">
        <v>912</v>
      </c>
      <c r="O268" s="32" t="s">
        <v>912</v>
      </c>
      <c r="P268" s="32" t="s">
        <v>3007</v>
      </c>
      <c r="Q268" s="14" t="s">
        <v>3008</v>
      </c>
      <c r="R268" s="7" t="s">
        <v>3</v>
      </c>
      <c r="S268" s="47">
        <v>46175</v>
      </c>
      <c r="T268" s="4" t="s">
        <v>4051</v>
      </c>
      <c r="U268" s="178"/>
    </row>
    <row r="269" spans="1:21">
      <c r="A269" s="7" t="s">
        <v>4078</v>
      </c>
      <c r="B269" s="7" t="s">
        <v>1159</v>
      </c>
      <c r="C269" s="7" t="s">
        <v>769</v>
      </c>
      <c r="D269" s="7" t="s">
        <v>906</v>
      </c>
      <c r="E269" s="32" t="s">
        <v>828</v>
      </c>
      <c r="F269" s="32" t="s">
        <v>12</v>
      </c>
      <c r="G269" s="7" t="s">
        <v>2302</v>
      </c>
      <c r="H269" s="28" t="s">
        <v>539</v>
      </c>
      <c r="I269" s="14" t="s">
        <v>4048</v>
      </c>
      <c r="J269" s="14" t="s">
        <v>4049</v>
      </c>
      <c r="K269" s="28" t="s">
        <v>4079</v>
      </c>
      <c r="L269" s="14" t="s">
        <v>39</v>
      </c>
      <c r="M269" s="7" t="s">
        <v>39</v>
      </c>
      <c r="N269" s="32" t="s">
        <v>912</v>
      </c>
      <c r="O269" s="32" t="s">
        <v>912</v>
      </c>
      <c r="P269" s="32" t="s">
        <v>3007</v>
      </c>
      <c r="Q269" s="14" t="s">
        <v>3008</v>
      </c>
      <c r="R269" s="7" t="s">
        <v>3</v>
      </c>
      <c r="S269" s="47">
        <v>46175</v>
      </c>
      <c r="T269" s="4" t="s">
        <v>4051</v>
      </c>
      <c r="U269" s="178"/>
    </row>
    <row r="270" spans="1:21" s="370" customFormat="1">
      <c r="A270" s="151" t="s">
        <v>4080</v>
      </c>
      <c r="B270" s="151" t="s">
        <v>1159</v>
      </c>
      <c r="C270" s="151" t="s">
        <v>746</v>
      </c>
      <c r="D270" s="151" t="s">
        <v>906</v>
      </c>
      <c r="E270" s="152" t="s">
        <v>828</v>
      </c>
      <c r="F270" s="152" t="s">
        <v>6</v>
      </c>
      <c r="G270" s="151" t="s">
        <v>2302</v>
      </c>
      <c r="H270" s="153" t="s">
        <v>4081</v>
      </c>
      <c r="I270" s="154" t="s">
        <v>4082</v>
      </c>
      <c r="J270" s="154" t="s">
        <v>4083</v>
      </c>
      <c r="K270" s="155" t="s">
        <v>4084</v>
      </c>
      <c r="L270" s="155" t="s">
        <v>4085</v>
      </c>
      <c r="M270" s="151" t="s">
        <v>39</v>
      </c>
      <c r="N270" s="152" t="s">
        <v>912</v>
      </c>
      <c r="O270" s="152" t="s">
        <v>752</v>
      </c>
      <c r="P270" s="151" t="s">
        <v>3007</v>
      </c>
      <c r="Q270" s="154" t="s">
        <v>3008</v>
      </c>
      <c r="R270" s="151" t="s">
        <v>4</v>
      </c>
      <c r="S270" s="151" t="s">
        <v>1278</v>
      </c>
      <c r="T270" s="156" t="s">
        <v>4086</v>
      </c>
      <c r="U270" s="167" t="s">
        <v>1028</v>
      </c>
    </row>
    <row r="271" spans="1:21">
      <c r="A271" s="7" t="s">
        <v>4087</v>
      </c>
      <c r="B271" s="7" t="s">
        <v>1159</v>
      </c>
      <c r="C271" s="7" t="s">
        <v>769</v>
      </c>
      <c r="D271" s="7" t="s">
        <v>906</v>
      </c>
      <c r="E271" s="32" t="s">
        <v>828</v>
      </c>
      <c r="F271" s="32" t="s">
        <v>12</v>
      </c>
      <c r="G271" s="7" t="s">
        <v>2302</v>
      </c>
      <c r="H271" s="28" t="s">
        <v>158</v>
      </c>
      <c r="I271" s="14" t="s">
        <v>4048</v>
      </c>
      <c r="J271" s="14" t="s">
        <v>4049</v>
      </c>
      <c r="K271" s="28" t="s">
        <v>4088</v>
      </c>
      <c r="L271" s="14" t="s">
        <v>39</v>
      </c>
      <c r="M271" s="7" t="s">
        <v>39</v>
      </c>
      <c r="N271" s="32" t="s">
        <v>912</v>
      </c>
      <c r="O271" s="32" t="s">
        <v>912</v>
      </c>
      <c r="P271" s="32" t="s">
        <v>3007</v>
      </c>
      <c r="Q271" s="14" t="s">
        <v>3008</v>
      </c>
      <c r="R271" s="7" t="s">
        <v>3</v>
      </c>
      <c r="S271" s="47">
        <v>46175</v>
      </c>
      <c r="T271" s="4" t="s">
        <v>4051</v>
      </c>
      <c r="U271" s="178"/>
    </row>
    <row r="272" spans="1:21">
      <c r="A272" s="7" t="s">
        <v>4089</v>
      </c>
      <c r="B272" s="7" t="s">
        <v>1159</v>
      </c>
      <c r="C272" s="7" t="s">
        <v>769</v>
      </c>
      <c r="D272" s="7" t="s">
        <v>906</v>
      </c>
      <c r="E272" s="32" t="s">
        <v>828</v>
      </c>
      <c r="F272" s="32" t="s">
        <v>12</v>
      </c>
      <c r="G272" s="7" t="s">
        <v>2302</v>
      </c>
      <c r="H272" s="28" t="s">
        <v>161</v>
      </c>
      <c r="I272" s="14" t="s">
        <v>4048</v>
      </c>
      <c r="J272" s="14" t="s">
        <v>4049</v>
      </c>
      <c r="K272" s="28" t="s">
        <v>4090</v>
      </c>
      <c r="L272" s="14" t="s">
        <v>39</v>
      </c>
      <c r="M272" s="7" t="s">
        <v>39</v>
      </c>
      <c r="N272" s="32" t="s">
        <v>912</v>
      </c>
      <c r="O272" s="32" t="s">
        <v>912</v>
      </c>
      <c r="P272" s="32" t="s">
        <v>3007</v>
      </c>
      <c r="Q272" s="14" t="s">
        <v>3008</v>
      </c>
      <c r="R272" s="7" t="s">
        <v>3</v>
      </c>
      <c r="S272" s="47">
        <v>46175</v>
      </c>
      <c r="T272" s="4" t="s">
        <v>4051</v>
      </c>
      <c r="U272" s="178"/>
    </row>
    <row r="273" spans="1:21">
      <c r="A273" s="7" t="s">
        <v>4091</v>
      </c>
      <c r="B273" s="7" t="s">
        <v>1159</v>
      </c>
      <c r="C273" s="7" t="s">
        <v>769</v>
      </c>
      <c r="D273" s="7" t="s">
        <v>906</v>
      </c>
      <c r="E273" s="32" t="s">
        <v>828</v>
      </c>
      <c r="F273" s="32" t="s">
        <v>12</v>
      </c>
      <c r="G273" s="7" t="s">
        <v>2302</v>
      </c>
      <c r="H273" s="28" t="s">
        <v>164</v>
      </c>
      <c r="I273" s="14" t="s">
        <v>4048</v>
      </c>
      <c r="J273" s="14" t="s">
        <v>4049</v>
      </c>
      <c r="K273" s="28" t="s">
        <v>4092</v>
      </c>
      <c r="L273" s="14" t="s">
        <v>39</v>
      </c>
      <c r="M273" s="7" t="s">
        <v>39</v>
      </c>
      <c r="N273" s="32" t="s">
        <v>912</v>
      </c>
      <c r="O273" s="32" t="s">
        <v>912</v>
      </c>
      <c r="P273" s="32" t="s">
        <v>3007</v>
      </c>
      <c r="Q273" s="14" t="s">
        <v>3008</v>
      </c>
      <c r="R273" s="7" t="s">
        <v>3</v>
      </c>
      <c r="S273" s="47">
        <v>46175</v>
      </c>
      <c r="T273" s="4" t="s">
        <v>4051</v>
      </c>
      <c r="U273" s="178"/>
    </row>
    <row r="274" spans="1:21">
      <c r="A274" s="7" t="s">
        <v>4093</v>
      </c>
      <c r="B274" s="7" t="s">
        <v>1159</v>
      </c>
      <c r="C274" s="7" t="s">
        <v>769</v>
      </c>
      <c r="D274" s="7" t="s">
        <v>906</v>
      </c>
      <c r="E274" s="32" t="s">
        <v>828</v>
      </c>
      <c r="F274" s="32" t="s">
        <v>12</v>
      </c>
      <c r="G274" s="7" t="s">
        <v>2302</v>
      </c>
      <c r="H274" s="28" t="s">
        <v>167</v>
      </c>
      <c r="I274" s="14" t="s">
        <v>4048</v>
      </c>
      <c r="J274" s="14" t="s">
        <v>4049</v>
      </c>
      <c r="K274" s="28" t="s">
        <v>4094</v>
      </c>
      <c r="L274" s="14" t="s">
        <v>39</v>
      </c>
      <c r="M274" s="7" t="s">
        <v>39</v>
      </c>
      <c r="N274" s="32" t="s">
        <v>912</v>
      </c>
      <c r="O274" s="32" t="s">
        <v>912</v>
      </c>
      <c r="P274" s="32" t="s">
        <v>3007</v>
      </c>
      <c r="Q274" s="14" t="s">
        <v>3008</v>
      </c>
      <c r="R274" s="7" t="s">
        <v>3</v>
      </c>
      <c r="S274" s="47">
        <v>46175</v>
      </c>
      <c r="T274" s="4" t="s">
        <v>4051</v>
      </c>
      <c r="U274" s="178"/>
    </row>
    <row r="275" spans="1:21" s="27" customFormat="1">
      <c r="A275" s="7" t="s">
        <v>4095</v>
      </c>
      <c r="B275" s="7" t="s">
        <v>1159</v>
      </c>
      <c r="C275" s="7" t="s">
        <v>1624</v>
      </c>
      <c r="D275" s="7" t="s">
        <v>906</v>
      </c>
      <c r="E275" s="32" t="s">
        <v>828</v>
      </c>
      <c r="F275" s="32" t="s">
        <v>12</v>
      </c>
      <c r="G275" s="7" t="s">
        <v>4096</v>
      </c>
      <c r="H275" s="14" t="s">
        <v>4097</v>
      </c>
      <c r="I275" s="14" t="s">
        <v>4098</v>
      </c>
      <c r="J275" s="14" t="s">
        <v>4099</v>
      </c>
      <c r="K275" s="28" t="s">
        <v>4100</v>
      </c>
      <c r="L275" s="14" t="s">
        <v>39</v>
      </c>
      <c r="M275" s="7" t="s">
        <v>39</v>
      </c>
      <c r="N275" s="32" t="s">
        <v>912</v>
      </c>
      <c r="O275" s="32" t="s">
        <v>3272</v>
      </c>
      <c r="P275" s="7" t="s">
        <v>3273</v>
      </c>
      <c r="Q275" s="14" t="s">
        <v>4101</v>
      </c>
      <c r="R275" s="7" t="s">
        <v>3</v>
      </c>
      <c r="S275" s="7" t="s">
        <v>1658</v>
      </c>
      <c r="T275" s="4"/>
      <c r="U275" s="59"/>
    </row>
    <row r="276" spans="1:21">
      <c r="A276" s="7" t="s">
        <v>4102</v>
      </c>
      <c r="B276" s="7" t="s">
        <v>1046</v>
      </c>
      <c r="C276" s="7" t="s">
        <v>769</v>
      </c>
      <c r="D276" s="7" t="s">
        <v>906</v>
      </c>
      <c r="E276" s="32" t="s">
        <v>828</v>
      </c>
      <c r="F276" s="32" t="s">
        <v>12</v>
      </c>
      <c r="G276" s="7" t="s">
        <v>2302</v>
      </c>
      <c r="H276" s="28" t="s">
        <v>4103</v>
      </c>
      <c r="I276" s="14" t="s">
        <v>4048</v>
      </c>
      <c r="J276" s="14" t="s">
        <v>4049</v>
      </c>
      <c r="K276" s="28" t="s">
        <v>4104</v>
      </c>
      <c r="L276" s="14" t="s">
        <v>39</v>
      </c>
      <c r="M276" s="7" t="s">
        <v>39</v>
      </c>
      <c r="N276" s="32" t="s">
        <v>912</v>
      </c>
      <c r="O276" s="32" t="s">
        <v>912</v>
      </c>
      <c r="P276" s="32" t="s">
        <v>3007</v>
      </c>
      <c r="Q276" s="14" t="s">
        <v>3008</v>
      </c>
      <c r="R276" s="7" t="s">
        <v>3</v>
      </c>
      <c r="S276" s="47">
        <v>46175</v>
      </c>
      <c r="T276" s="4" t="s">
        <v>4051</v>
      </c>
      <c r="U276" s="178"/>
    </row>
    <row r="277" spans="1:21">
      <c r="A277" s="7" t="s">
        <v>4105</v>
      </c>
      <c r="B277" s="7" t="s">
        <v>1033</v>
      </c>
      <c r="C277" s="7" t="s">
        <v>769</v>
      </c>
      <c r="D277" s="7" t="s">
        <v>906</v>
      </c>
      <c r="E277" s="32" t="s">
        <v>828</v>
      </c>
      <c r="F277" s="32" t="s">
        <v>12</v>
      </c>
      <c r="G277" s="7" t="s">
        <v>2302</v>
      </c>
      <c r="H277" s="28" t="s">
        <v>183</v>
      </c>
      <c r="I277" s="14" t="s">
        <v>4048</v>
      </c>
      <c r="J277" s="14" t="s">
        <v>4049</v>
      </c>
      <c r="K277" s="28" t="s">
        <v>4106</v>
      </c>
      <c r="L277" s="14" t="s">
        <v>39</v>
      </c>
      <c r="M277" s="7" t="s">
        <v>39</v>
      </c>
      <c r="N277" s="32" t="s">
        <v>912</v>
      </c>
      <c r="O277" s="32" t="s">
        <v>912</v>
      </c>
      <c r="P277" s="32" t="s">
        <v>3007</v>
      </c>
      <c r="Q277" s="14" t="s">
        <v>3008</v>
      </c>
      <c r="R277" s="7" t="s">
        <v>3</v>
      </c>
      <c r="S277" s="47">
        <v>46175</v>
      </c>
      <c r="T277" s="4" t="s">
        <v>4051</v>
      </c>
      <c r="U277" s="178"/>
    </row>
    <row r="278" spans="1:21" s="370" customFormat="1">
      <c r="A278" s="151" t="s">
        <v>4107</v>
      </c>
      <c r="B278" s="151" t="s">
        <v>1033</v>
      </c>
      <c r="C278" s="151" t="s">
        <v>769</v>
      </c>
      <c r="D278" s="151" t="s">
        <v>906</v>
      </c>
      <c r="E278" s="152" t="s">
        <v>828</v>
      </c>
      <c r="F278" s="152" t="s">
        <v>6</v>
      </c>
      <c r="G278" s="151" t="s">
        <v>2302</v>
      </c>
      <c r="H278" s="154" t="s">
        <v>781</v>
      </c>
      <c r="I278" s="154" t="s">
        <v>4108</v>
      </c>
      <c r="J278" s="154" t="s">
        <v>4109</v>
      </c>
      <c r="K278" s="155" t="s">
        <v>4110</v>
      </c>
      <c r="L278" s="154" t="s">
        <v>39</v>
      </c>
      <c r="M278" s="151" t="s">
        <v>39</v>
      </c>
      <c r="N278" s="152" t="s">
        <v>912</v>
      </c>
      <c r="O278" s="152" t="s">
        <v>912</v>
      </c>
      <c r="P278" s="151"/>
      <c r="Q278" s="154" t="s">
        <v>4111</v>
      </c>
      <c r="R278" s="151" t="s">
        <v>3</v>
      </c>
      <c r="S278" s="157" t="s">
        <v>3174</v>
      </c>
      <c r="T278" s="156" t="s">
        <v>4112</v>
      </c>
      <c r="U278" s="291"/>
    </row>
    <row r="279" spans="1:21">
      <c r="A279" s="7" t="s">
        <v>4113</v>
      </c>
      <c r="B279" s="7" t="s">
        <v>1033</v>
      </c>
      <c r="C279" s="7" t="s">
        <v>769</v>
      </c>
      <c r="D279" s="7" t="s">
        <v>906</v>
      </c>
      <c r="E279" s="32" t="s">
        <v>828</v>
      </c>
      <c r="F279" s="32" t="s">
        <v>12</v>
      </c>
      <c r="G279" s="7" t="s">
        <v>2302</v>
      </c>
      <c r="H279" s="28" t="s">
        <v>93</v>
      </c>
      <c r="I279" s="14" t="s">
        <v>4048</v>
      </c>
      <c r="J279" s="14" t="s">
        <v>4049</v>
      </c>
      <c r="K279" s="28" t="s">
        <v>4114</v>
      </c>
      <c r="L279" s="14" t="s">
        <v>39</v>
      </c>
      <c r="M279" s="7" t="s">
        <v>39</v>
      </c>
      <c r="N279" s="32" t="s">
        <v>912</v>
      </c>
      <c r="O279" s="32" t="s">
        <v>912</v>
      </c>
      <c r="P279" s="32" t="s">
        <v>3007</v>
      </c>
      <c r="Q279" s="14" t="s">
        <v>3008</v>
      </c>
      <c r="R279" s="7" t="s">
        <v>3</v>
      </c>
      <c r="S279" s="47">
        <v>46175</v>
      </c>
      <c r="T279" s="4" t="s">
        <v>4051</v>
      </c>
      <c r="U279" s="178"/>
    </row>
    <row r="280" spans="1:21">
      <c r="A280" s="7" t="s">
        <v>4115</v>
      </c>
      <c r="B280" s="7" t="s">
        <v>1033</v>
      </c>
      <c r="C280" s="7" t="s">
        <v>769</v>
      </c>
      <c r="D280" s="7" t="s">
        <v>906</v>
      </c>
      <c r="E280" s="32" t="s">
        <v>828</v>
      </c>
      <c r="F280" s="32" t="s">
        <v>12</v>
      </c>
      <c r="G280" s="7" t="s">
        <v>2302</v>
      </c>
      <c r="H280" s="28" t="s">
        <v>478</v>
      </c>
      <c r="I280" s="14" t="s">
        <v>4048</v>
      </c>
      <c r="J280" s="14" t="s">
        <v>4049</v>
      </c>
      <c r="K280" s="28" t="s">
        <v>4116</v>
      </c>
      <c r="L280" s="14" t="s">
        <v>39</v>
      </c>
      <c r="M280" s="7" t="s">
        <v>39</v>
      </c>
      <c r="N280" s="32" t="s">
        <v>912</v>
      </c>
      <c r="O280" s="32" t="s">
        <v>912</v>
      </c>
      <c r="P280" s="32" t="s">
        <v>3007</v>
      </c>
      <c r="Q280" s="14" t="s">
        <v>3008</v>
      </c>
      <c r="R280" s="7" t="s">
        <v>3</v>
      </c>
      <c r="S280" s="47">
        <v>46175</v>
      </c>
      <c r="T280" s="4" t="s">
        <v>4051</v>
      </c>
      <c r="U280" s="178"/>
    </row>
    <row r="281" spans="1:21">
      <c r="A281" s="7" t="s">
        <v>4117</v>
      </c>
      <c r="B281" s="7" t="s">
        <v>1033</v>
      </c>
      <c r="C281" s="7" t="s">
        <v>769</v>
      </c>
      <c r="D281" s="7" t="s">
        <v>906</v>
      </c>
      <c r="E281" s="32" t="s">
        <v>828</v>
      </c>
      <c r="F281" s="32" t="s">
        <v>12</v>
      </c>
      <c r="G281" s="7" t="s">
        <v>2302</v>
      </c>
      <c r="H281" s="28" t="s">
        <v>129</v>
      </c>
      <c r="I281" s="14" t="s">
        <v>4048</v>
      </c>
      <c r="J281" s="14" t="s">
        <v>4049</v>
      </c>
      <c r="K281" s="28" t="s">
        <v>4118</v>
      </c>
      <c r="L281" s="14" t="s">
        <v>39</v>
      </c>
      <c r="M281" s="7" t="s">
        <v>39</v>
      </c>
      <c r="N281" s="32" t="s">
        <v>912</v>
      </c>
      <c r="O281" s="32" t="s">
        <v>912</v>
      </c>
      <c r="P281" s="32" t="s">
        <v>3007</v>
      </c>
      <c r="Q281" s="14" t="s">
        <v>3008</v>
      </c>
      <c r="R281" s="7" t="s">
        <v>3</v>
      </c>
      <c r="S281" s="47">
        <v>46175</v>
      </c>
      <c r="T281" s="4" t="s">
        <v>4051</v>
      </c>
      <c r="U281" s="178"/>
    </row>
    <row r="282" spans="1:21">
      <c r="A282" s="7" t="s">
        <v>4119</v>
      </c>
      <c r="B282" s="7" t="s">
        <v>1033</v>
      </c>
      <c r="C282" s="7" t="s">
        <v>769</v>
      </c>
      <c r="D282" s="7" t="s">
        <v>906</v>
      </c>
      <c r="E282" s="32" t="s">
        <v>828</v>
      </c>
      <c r="F282" s="32" t="s">
        <v>12</v>
      </c>
      <c r="G282" s="7" t="s">
        <v>2302</v>
      </c>
      <c r="H282" s="28" t="s">
        <v>135</v>
      </c>
      <c r="I282" s="14" t="s">
        <v>4048</v>
      </c>
      <c r="J282" s="14" t="s">
        <v>4049</v>
      </c>
      <c r="K282" s="28" t="s">
        <v>4120</v>
      </c>
      <c r="L282" s="14" t="s">
        <v>39</v>
      </c>
      <c r="M282" s="7" t="s">
        <v>39</v>
      </c>
      <c r="N282" s="32" t="s">
        <v>912</v>
      </c>
      <c r="O282" s="32" t="s">
        <v>912</v>
      </c>
      <c r="P282" s="32" t="s">
        <v>3007</v>
      </c>
      <c r="Q282" s="14" t="s">
        <v>3008</v>
      </c>
      <c r="R282" s="7" t="s">
        <v>3</v>
      </c>
      <c r="S282" s="47">
        <v>46175</v>
      </c>
      <c r="T282" s="4" t="s">
        <v>4051</v>
      </c>
      <c r="U282" s="178"/>
    </row>
    <row r="283" spans="1:21">
      <c r="A283" s="7" t="s">
        <v>4121</v>
      </c>
      <c r="B283" s="7" t="s">
        <v>1033</v>
      </c>
      <c r="C283" s="7" t="s">
        <v>769</v>
      </c>
      <c r="D283" s="7" t="s">
        <v>906</v>
      </c>
      <c r="E283" s="32" t="s">
        <v>828</v>
      </c>
      <c r="F283" s="32" t="s">
        <v>12</v>
      </c>
      <c r="G283" s="7" t="s">
        <v>2302</v>
      </c>
      <c r="H283" s="28" t="s">
        <v>4122</v>
      </c>
      <c r="I283" s="14" t="s">
        <v>4048</v>
      </c>
      <c r="J283" s="14" t="s">
        <v>4049</v>
      </c>
      <c r="K283" s="28" t="s">
        <v>4123</v>
      </c>
      <c r="L283" s="14" t="s">
        <v>39</v>
      </c>
      <c r="M283" s="7" t="s">
        <v>39</v>
      </c>
      <c r="N283" s="32" t="s">
        <v>912</v>
      </c>
      <c r="O283" s="32" t="s">
        <v>912</v>
      </c>
      <c r="P283" s="32" t="s">
        <v>3007</v>
      </c>
      <c r="Q283" s="14" t="s">
        <v>3008</v>
      </c>
      <c r="R283" s="7" t="s">
        <v>3</v>
      </c>
      <c r="S283" s="47">
        <v>46175</v>
      </c>
      <c r="T283" s="4" t="s">
        <v>4051</v>
      </c>
      <c r="U283" s="178"/>
    </row>
    <row r="284" spans="1:21">
      <c r="A284" s="7" t="s">
        <v>4124</v>
      </c>
      <c r="B284" s="7" t="s">
        <v>1033</v>
      </c>
      <c r="C284" s="7" t="s">
        <v>754</v>
      </c>
      <c r="D284" s="7" t="s">
        <v>906</v>
      </c>
      <c r="E284" s="32" t="s">
        <v>828</v>
      </c>
      <c r="F284" s="32" t="s">
        <v>12</v>
      </c>
      <c r="G284" s="7" t="s">
        <v>2302</v>
      </c>
      <c r="H284" s="28" t="s">
        <v>4122</v>
      </c>
      <c r="I284" s="14" t="s">
        <v>4082</v>
      </c>
      <c r="J284" s="14" t="s">
        <v>4125</v>
      </c>
      <c r="K284" s="28" t="s">
        <v>4126</v>
      </c>
      <c r="L284" s="28" t="s">
        <v>4127</v>
      </c>
      <c r="M284" s="7" t="s">
        <v>39</v>
      </c>
      <c r="N284" s="32" t="s">
        <v>912</v>
      </c>
      <c r="O284" s="32"/>
      <c r="P284" s="7"/>
      <c r="Q284" s="14"/>
      <c r="R284" s="7" t="s">
        <v>3</v>
      </c>
      <c r="S284" s="47">
        <v>46175</v>
      </c>
      <c r="T284" s="4" t="s">
        <v>4051</v>
      </c>
      <c r="U284" s="178"/>
    </row>
    <row r="285" spans="1:21">
      <c r="A285" s="7" t="s">
        <v>4128</v>
      </c>
      <c r="B285" s="7" t="s">
        <v>1033</v>
      </c>
      <c r="C285" s="7" t="s">
        <v>769</v>
      </c>
      <c r="D285" s="7" t="s">
        <v>906</v>
      </c>
      <c r="E285" s="32" t="s">
        <v>828</v>
      </c>
      <c r="F285" s="32" t="s">
        <v>12</v>
      </c>
      <c r="G285" s="7" t="s">
        <v>2302</v>
      </c>
      <c r="H285" s="28" t="s">
        <v>643</v>
      </c>
      <c r="I285" s="14" t="s">
        <v>4048</v>
      </c>
      <c r="J285" s="14" t="s">
        <v>4129</v>
      </c>
      <c r="K285" s="28" t="s">
        <v>4130</v>
      </c>
      <c r="L285" s="14" t="s">
        <v>39</v>
      </c>
      <c r="M285" s="7" t="s">
        <v>39</v>
      </c>
      <c r="N285" s="32" t="s">
        <v>912</v>
      </c>
      <c r="O285" s="32" t="s">
        <v>912</v>
      </c>
      <c r="P285" s="32" t="s">
        <v>3007</v>
      </c>
      <c r="Q285" s="14" t="s">
        <v>3008</v>
      </c>
      <c r="R285" s="7" t="s">
        <v>3</v>
      </c>
      <c r="S285" s="47">
        <v>46175</v>
      </c>
      <c r="T285" s="4" t="s">
        <v>4051</v>
      </c>
      <c r="U285" s="178"/>
    </row>
    <row r="286" spans="1:21">
      <c r="A286" s="7" t="s">
        <v>4131</v>
      </c>
      <c r="B286" s="7" t="s">
        <v>1033</v>
      </c>
      <c r="C286" s="7" t="s">
        <v>769</v>
      </c>
      <c r="D286" s="7" t="s">
        <v>906</v>
      </c>
      <c r="E286" s="32" t="s">
        <v>755</v>
      </c>
      <c r="F286" s="7" t="s">
        <v>16</v>
      </c>
      <c r="G286" s="7" t="s">
        <v>1142</v>
      </c>
      <c r="H286" s="28" t="s">
        <v>154</v>
      </c>
      <c r="I286" s="14" t="s">
        <v>4132</v>
      </c>
      <c r="J286" s="14" t="s">
        <v>4133</v>
      </c>
      <c r="K286" s="28" t="s">
        <v>4134</v>
      </c>
      <c r="L286" s="28" t="s">
        <v>4135</v>
      </c>
      <c r="M286" s="7" t="s">
        <v>39</v>
      </c>
      <c r="N286" s="32" t="s">
        <v>912</v>
      </c>
      <c r="O286" s="32" t="s">
        <v>973</v>
      </c>
      <c r="P286" s="7"/>
      <c r="Q286" s="14"/>
      <c r="R286" s="7" t="s">
        <v>3</v>
      </c>
      <c r="S286" s="7" t="s">
        <v>1164</v>
      </c>
      <c r="T286" s="4" t="s">
        <v>4136</v>
      </c>
      <c r="U286" s="160" t="s">
        <v>1028</v>
      </c>
    </row>
    <row r="287" spans="1:21">
      <c r="A287" s="7" t="s">
        <v>4137</v>
      </c>
      <c r="B287" s="7" t="s">
        <v>1033</v>
      </c>
      <c r="C287" s="7" t="s">
        <v>769</v>
      </c>
      <c r="D287" s="7" t="s">
        <v>906</v>
      </c>
      <c r="E287" s="32" t="s">
        <v>828</v>
      </c>
      <c r="F287" s="32" t="s">
        <v>12</v>
      </c>
      <c r="G287" s="7" t="s">
        <v>2302</v>
      </c>
      <c r="H287" s="28" t="s">
        <v>509</v>
      </c>
      <c r="I287" s="14" t="s">
        <v>4048</v>
      </c>
      <c r="J287" s="14" t="s">
        <v>4049</v>
      </c>
      <c r="K287" s="28" t="s">
        <v>4138</v>
      </c>
      <c r="L287" s="14" t="s">
        <v>39</v>
      </c>
      <c r="M287" s="7" t="s">
        <v>39</v>
      </c>
      <c r="N287" s="32" t="s">
        <v>912</v>
      </c>
      <c r="O287" s="32" t="s">
        <v>912</v>
      </c>
      <c r="P287" s="32" t="s">
        <v>3007</v>
      </c>
      <c r="Q287" s="14" t="s">
        <v>3008</v>
      </c>
      <c r="R287" s="7" t="s">
        <v>3</v>
      </c>
      <c r="S287" s="47">
        <v>46175</v>
      </c>
      <c r="T287" s="4" t="s">
        <v>4051</v>
      </c>
      <c r="U287" s="178"/>
    </row>
    <row r="288" spans="1:21" s="370" customFormat="1">
      <c r="A288" s="151" t="s">
        <v>4139</v>
      </c>
      <c r="B288" s="151" t="s">
        <v>1033</v>
      </c>
      <c r="C288" s="151" t="s">
        <v>746</v>
      </c>
      <c r="D288" s="151" t="s">
        <v>906</v>
      </c>
      <c r="E288" s="152" t="s">
        <v>1574</v>
      </c>
      <c r="F288" s="152" t="s">
        <v>6</v>
      </c>
      <c r="G288" s="151" t="s">
        <v>2302</v>
      </c>
      <c r="H288" s="154" t="s">
        <v>4140</v>
      </c>
      <c r="I288" s="154" t="s">
        <v>4141</v>
      </c>
      <c r="J288" s="154" t="s">
        <v>4142</v>
      </c>
      <c r="K288" s="155" t="s">
        <v>4143</v>
      </c>
      <c r="L288" s="154" t="s">
        <v>39</v>
      </c>
      <c r="M288" s="151" t="s">
        <v>39</v>
      </c>
      <c r="N288" s="152" t="s">
        <v>912</v>
      </c>
      <c r="O288" s="200" t="s">
        <v>752</v>
      </c>
      <c r="P288" s="152" t="s">
        <v>1017</v>
      </c>
      <c r="Q288" s="201" t="s">
        <v>4144</v>
      </c>
      <c r="R288" s="151" t="s">
        <v>3</v>
      </c>
      <c r="S288" s="157">
        <v>46359</v>
      </c>
      <c r="T288" s="156" t="s">
        <v>4145</v>
      </c>
      <c r="U288" s="291"/>
    </row>
    <row r="289" spans="1:21" s="370" customFormat="1">
      <c r="A289" s="151" t="s">
        <v>4146</v>
      </c>
      <c r="B289" s="151" t="s">
        <v>1033</v>
      </c>
      <c r="C289" s="151" t="s">
        <v>746</v>
      </c>
      <c r="D289" s="151" t="s">
        <v>906</v>
      </c>
      <c r="E289" s="152" t="s">
        <v>1574</v>
      </c>
      <c r="F289" s="152" t="s">
        <v>6</v>
      </c>
      <c r="G289" s="151" t="s">
        <v>2302</v>
      </c>
      <c r="H289" s="154" t="s">
        <v>4147</v>
      </c>
      <c r="I289" s="154" t="s">
        <v>4141</v>
      </c>
      <c r="J289" s="154" t="s">
        <v>4142</v>
      </c>
      <c r="K289" s="155" t="s">
        <v>4148</v>
      </c>
      <c r="L289" s="154" t="s">
        <v>39</v>
      </c>
      <c r="M289" s="151" t="s">
        <v>39</v>
      </c>
      <c r="N289" s="152" t="s">
        <v>912</v>
      </c>
      <c r="O289" s="200" t="s">
        <v>912</v>
      </c>
      <c r="P289" s="152" t="s">
        <v>1017</v>
      </c>
      <c r="Q289" s="201" t="s">
        <v>4144</v>
      </c>
      <c r="R289" s="151" t="s">
        <v>3</v>
      </c>
      <c r="S289" s="157" t="s">
        <v>3174</v>
      </c>
      <c r="T289" s="156" t="s">
        <v>4149</v>
      </c>
      <c r="U289" s="291"/>
    </row>
    <row r="290" spans="1:21">
      <c r="A290" s="7" t="s">
        <v>4150</v>
      </c>
      <c r="B290" s="7" t="s">
        <v>1033</v>
      </c>
      <c r="C290" s="7" t="s">
        <v>769</v>
      </c>
      <c r="D290" s="7" t="s">
        <v>906</v>
      </c>
      <c r="E290" s="32" t="s">
        <v>828</v>
      </c>
      <c r="F290" s="32" t="s">
        <v>6</v>
      </c>
      <c r="G290" s="7" t="s">
        <v>1004</v>
      </c>
      <c r="H290" s="14" t="s">
        <v>4151</v>
      </c>
      <c r="I290" s="14" t="s">
        <v>4152</v>
      </c>
      <c r="J290" s="14" t="s">
        <v>4153</v>
      </c>
      <c r="K290" s="28" t="s">
        <v>4154</v>
      </c>
      <c r="L290" s="14" t="s">
        <v>39</v>
      </c>
      <c r="M290" s="7" t="s">
        <v>39</v>
      </c>
      <c r="N290" s="32" t="s">
        <v>912</v>
      </c>
      <c r="O290" s="32" t="s">
        <v>912</v>
      </c>
      <c r="P290" s="7" t="s">
        <v>1028</v>
      </c>
      <c r="Q290" s="14"/>
      <c r="R290" s="7" t="s">
        <v>3</v>
      </c>
      <c r="S290" s="47">
        <v>46145</v>
      </c>
      <c r="T290" s="4" t="s">
        <v>4155</v>
      </c>
      <c r="U290" s="160" t="s">
        <v>868</v>
      </c>
    </row>
    <row r="291" spans="1:21">
      <c r="A291" s="7" t="s">
        <v>4156</v>
      </c>
      <c r="B291" s="7" t="s">
        <v>1033</v>
      </c>
      <c r="C291" s="7" t="s">
        <v>746</v>
      </c>
      <c r="D291" s="7" t="s">
        <v>906</v>
      </c>
      <c r="E291" s="32" t="s">
        <v>828</v>
      </c>
      <c r="F291" s="32" t="s">
        <v>12</v>
      </c>
      <c r="G291" s="7" t="s">
        <v>4157</v>
      </c>
      <c r="H291" s="14" t="s">
        <v>4151</v>
      </c>
      <c r="I291" s="14" t="s">
        <v>4158</v>
      </c>
      <c r="J291" s="14" t="s">
        <v>4159</v>
      </c>
      <c r="K291" s="28" t="s">
        <v>4160</v>
      </c>
      <c r="L291" s="14" t="s">
        <v>39</v>
      </c>
      <c r="M291" s="7" t="s">
        <v>39</v>
      </c>
      <c r="N291" s="32" t="s">
        <v>912</v>
      </c>
      <c r="O291" s="32" t="s">
        <v>749</v>
      </c>
      <c r="P291" s="7"/>
      <c r="Q291" s="14"/>
      <c r="R291" s="7" t="s">
        <v>4</v>
      </c>
      <c r="S291" s="7"/>
      <c r="T291" s="4"/>
      <c r="U291" s="178"/>
    </row>
    <row r="292" spans="1:21" s="370" customFormat="1">
      <c r="A292" s="151" t="s">
        <v>4161</v>
      </c>
      <c r="B292" s="157">
        <v>46175</v>
      </c>
      <c r="C292" s="151" t="s">
        <v>746</v>
      </c>
      <c r="D292" s="151" t="s">
        <v>906</v>
      </c>
      <c r="E292" s="152" t="s">
        <v>828</v>
      </c>
      <c r="F292" s="152" t="s">
        <v>6</v>
      </c>
      <c r="G292" s="151" t="s">
        <v>2302</v>
      </c>
      <c r="H292" s="154" t="s">
        <v>4162</v>
      </c>
      <c r="I292" s="154" t="s">
        <v>4163</v>
      </c>
      <c r="J292" s="154" t="s">
        <v>4164</v>
      </c>
      <c r="K292" s="155" t="s">
        <v>4165</v>
      </c>
      <c r="L292" s="154" t="s">
        <v>39</v>
      </c>
      <c r="M292" s="151" t="s">
        <v>39</v>
      </c>
      <c r="N292" s="152" t="s">
        <v>912</v>
      </c>
      <c r="O292" s="152" t="s">
        <v>912</v>
      </c>
      <c r="P292" s="151"/>
      <c r="Q292" s="154"/>
      <c r="R292" s="151" t="s">
        <v>3</v>
      </c>
      <c r="S292" s="151" t="s">
        <v>3174</v>
      </c>
      <c r="T292" s="156" t="s">
        <v>4166</v>
      </c>
      <c r="U292" s="167" t="s">
        <v>1028</v>
      </c>
    </row>
    <row r="293" spans="1:21" s="370" customFormat="1">
      <c r="A293" s="151" t="s">
        <v>4167</v>
      </c>
      <c r="B293" s="157">
        <v>46175</v>
      </c>
      <c r="C293" s="151" t="s">
        <v>754</v>
      </c>
      <c r="D293" s="151" t="s">
        <v>906</v>
      </c>
      <c r="E293" s="152" t="s">
        <v>828</v>
      </c>
      <c r="F293" s="152" t="s">
        <v>6</v>
      </c>
      <c r="G293" s="151" t="s">
        <v>2302</v>
      </c>
      <c r="H293" s="154" t="s">
        <v>4168</v>
      </c>
      <c r="I293" s="154" t="s">
        <v>4169</v>
      </c>
      <c r="J293" s="154" t="s">
        <v>4170</v>
      </c>
      <c r="K293" s="155" t="s">
        <v>2799</v>
      </c>
      <c r="L293" s="154" t="s">
        <v>39</v>
      </c>
      <c r="M293" s="151" t="s">
        <v>39</v>
      </c>
      <c r="N293" s="152" t="s">
        <v>912</v>
      </c>
      <c r="O293" s="152" t="s">
        <v>912</v>
      </c>
      <c r="P293" s="151"/>
      <c r="Q293" s="154" t="s">
        <v>2103</v>
      </c>
      <c r="R293" s="151" t="s">
        <v>3</v>
      </c>
      <c r="S293" s="157">
        <v>46145</v>
      </c>
      <c r="T293" s="156" t="s">
        <v>4171</v>
      </c>
      <c r="U293" s="291"/>
    </row>
    <row r="294" spans="1:21" s="370" customFormat="1">
      <c r="A294" s="151" t="s">
        <v>4172</v>
      </c>
      <c r="B294" s="157">
        <v>46175</v>
      </c>
      <c r="C294" s="151" t="s">
        <v>769</v>
      </c>
      <c r="D294" s="151" t="s">
        <v>906</v>
      </c>
      <c r="E294" s="152" t="s">
        <v>4173</v>
      </c>
      <c r="F294" s="152" t="s">
        <v>6</v>
      </c>
      <c r="G294" s="151" t="s">
        <v>2302</v>
      </c>
      <c r="H294" s="154" t="s">
        <v>4174</v>
      </c>
      <c r="I294" s="154" t="s">
        <v>4175</v>
      </c>
      <c r="J294" s="154" t="s">
        <v>4176</v>
      </c>
      <c r="K294" s="155" t="s">
        <v>4177</v>
      </c>
      <c r="L294" s="154" t="s">
        <v>39</v>
      </c>
      <c r="M294" s="151" t="s">
        <v>39</v>
      </c>
      <c r="N294" s="152" t="s">
        <v>912</v>
      </c>
      <c r="O294" s="152" t="s">
        <v>912</v>
      </c>
      <c r="P294" s="151" t="s">
        <v>1028</v>
      </c>
      <c r="Q294" s="154" t="s">
        <v>4178</v>
      </c>
      <c r="R294" s="151" t="s">
        <v>3</v>
      </c>
      <c r="S294" s="151" t="s">
        <v>1073</v>
      </c>
      <c r="T294" s="156" t="s">
        <v>4179</v>
      </c>
      <c r="U294" s="291"/>
    </row>
    <row r="295" spans="1:21" s="370" customFormat="1">
      <c r="A295" s="151" t="s">
        <v>4180</v>
      </c>
      <c r="B295" s="157">
        <v>46175</v>
      </c>
      <c r="C295" s="151" t="s">
        <v>754</v>
      </c>
      <c r="D295" s="151" t="s">
        <v>906</v>
      </c>
      <c r="E295" s="152" t="s">
        <v>828</v>
      </c>
      <c r="F295" s="152" t="s">
        <v>6</v>
      </c>
      <c r="G295" s="151" t="s">
        <v>2302</v>
      </c>
      <c r="H295" s="154" t="s">
        <v>539</v>
      </c>
      <c r="I295" s="154" t="s">
        <v>4181</v>
      </c>
      <c r="J295" s="154" t="s">
        <v>4182</v>
      </c>
      <c r="K295" s="155" t="s">
        <v>4183</v>
      </c>
      <c r="L295" s="154" t="s">
        <v>39</v>
      </c>
      <c r="M295" s="151" t="s">
        <v>39</v>
      </c>
      <c r="N295" s="152" t="s">
        <v>912</v>
      </c>
      <c r="O295" s="152" t="s">
        <v>912</v>
      </c>
      <c r="P295" s="151" t="s">
        <v>1028</v>
      </c>
      <c r="Q295" s="154" t="s">
        <v>4178</v>
      </c>
      <c r="R295" s="151" t="s">
        <v>3</v>
      </c>
      <c r="S295" s="157" t="s">
        <v>1073</v>
      </c>
      <c r="T295" s="156" t="s">
        <v>4184</v>
      </c>
      <c r="U295" s="291"/>
    </row>
    <row r="296" spans="1:21">
      <c r="A296" s="7" t="s">
        <v>4185</v>
      </c>
      <c r="B296" s="47">
        <v>46175</v>
      </c>
      <c r="C296" s="7" t="s">
        <v>769</v>
      </c>
      <c r="D296" s="7" t="s">
        <v>906</v>
      </c>
      <c r="E296" s="32" t="s">
        <v>4173</v>
      </c>
      <c r="F296" s="32" t="s">
        <v>6</v>
      </c>
      <c r="G296" s="7" t="s">
        <v>2302</v>
      </c>
      <c r="H296" s="14" t="s">
        <v>4186</v>
      </c>
      <c r="I296" s="14" t="s">
        <v>4187</v>
      </c>
      <c r="J296" s="14" t="s">
        <v>4176</v>
      </c>
      <c r="K296" s="56" t="s">
        <v>4188</v>
      </c>
      <c r="L296" s="14" t="s">
        <v>39</v>
      </c>
      <c r="M296" s="7" t="s">
        <v>39</v>
      </c>
      <c r="N296" s="32" t="s">
        <v>912</v>
      </c>
      <c r="O296" s="32" t="s">
        <v>912</v>
      </c>
      <c r="P296" s="7" t="s">
        <v>1028</v>
      </c>
      <c r="Q296" s="14" t="s">
        <v>4189</v>
      </c>
      <c r="R296" s="7" t="s">
        <v>3</v>
      </c>
      <c r="S296" s="7" t="s">
        <v>1026</v>
      </c>
      <c r="T296" s="4" t="s">
        <v>4190</v>
      </c>
      <c r="U296" s="178"/>
    </row>
    <row r="297" spans="1:21" s="370" customFormat="1">
      <c r="A297" s="151" t="s">
        <v>4191</v>
      </c>
      <c r="B297" s="157">
        <v>46175</v>
      </c>
      <c r="C297" s="151" t="s">
        <v>746</v>
      </c>
      <c r="D297" s="151" t="s">
        <v>906</v>
      </c>
      <c r="E297" s="152" t="s">
        <v>828</v>
      </c>
      <c r="F297" s="152" t="s">
        <v>6</v>
      </c>
      <c r="G297" s="151" t="s">
        <v>2302</v>
      </c>
      <c r="H297" s="154" t="s">
        <v>781</v>
      </c>
      <c r="I297" s="154" t="s">
        <v>4192</v>
      </c>
      <c r="J297" s="154" t="s">
        <v>4193</v>
      </c>
      <c r="K297" s="155" t="s">
        <v>4194</v>
      </c>
      <c r="L297" s="154" t="s">
        <v>39</v>
      </c>
      <c r="M297" s="151" t="s">
        <v>39</v>
      </c>
      <c r="N297" s="152" t="s">
        <v>912</v>
      </c>
      <c r="O297" s="152" t="s">
        <v>752</v>
      </c>
      <c r="P297" s="151"/>
      <c r="Q297" s="154" t="s">
        <v>2103</v>
      </c>
      <c r="R297" s="151" t="s">
        <v>1264</v>
      </c>
      <c r="S297" s="157">
        <v>46145</v>
      </c>
      <c r="T297" s="156" t="s">
        <v>4195</v>
      </c>
      <c r="U297" s="291"/>
    </row>
    <row r="298" spans="1:21" s="370" customFormat="1">
      <c r="A298" s="151" t="s">
        <v>4196</v>
      </c>
      <c r="B298" s="157">
        <v>46175</v>
      </c>
      <c r="C298" s="151" t="s">
        <v>769</v>
      </c>
      <c r="D298" s="151" t="s">
        <v>906</v>
      </c>
      <c r="E298" s="152" t="s">
        <v>767</v>
      </c>
      <c r="F298" s="152" t="s">
        <v>6</v>
      </c>
      <c r="G298" s="151" t="s">
        <v>2302</v>
      </c>
      <c r="H298" s="154" t="s">
        <v>85</v>
      </c>
      <c r="I298" s="154" t="s">
        <v>4197</v>
      </c>
      <c r="J298" s="154" t="s">
        <v>4198</v>
      </c>
      <c r="K298" s="155" t="s">
        <v>4199</v>
      </c>
      <c r="L298" s="154" t="s">
        <v>39</v>
      </c>
      <c r="M298" s="151" t="s">
        <v>39</v>
      </c>
      <c r="N298" s="152" t="s">
        <v>912</v>
      </c>
      <c r="O298" s="152" t="s">
        <v>912</v>
      </c>
      <c r="P298" s="151"/>
      <c r="Q298" s="154"/>
      <c r="R298" s="151" t="s">
        <v>3</v>
      </c>
      <c r="S298" s="151" t="s">
        <v>1278</v>
      </c>
      <c r="T298" s="156" t="s">
        <v>4200</v>
      </c>
      <c r="U298" s="291"/>
    </row>
    <row r="299" spans="1:21" s="370" customFormat="1">
      <c r="A299" s="151" t="s">
        <v>4201</v>
      </c>
      <c r="B299" s="157">
        <v>46175</v>
      </c>
      <c r="C299" s="151" t="s">
        <v>746</v>
      </c>
      <c r="D299" s="151" t="s">
        <v>906</v>
      </c>
      <c r="E299" s="152" t="s">
        <v>4202</v>
      </c>
      <c r="F299" s="152" t="s">
        <v>12</v>
      </c>
      <c r="G299" s="151" t="s">
        <v>2302</v>
      </c>
      <c r="H299" s="154" t="s">
        <v>781</v>
      </c>
      <c r="I299" s="154" t="s">
        <v>4203</v>
      </c>
      <c r="J299" s="154" t="s">
        <v>4204</v>
      </c>
      <c r="K299" s="155" t="s">
        <v>4205</v>
      </c>
      <c r="L299" s="154" t="s">
        <v>39</v>
      </c>
      <c r="M299" s="151" t="s">
        <v>39</v>
      </c>
      <c r="N299" s="152" t="s">
        <v>912</v>
      </c>
      <c r="O299" s="152" t="s">
        <v>912</v>
      </c>
      <c r="P299" s="151"/>
      <c r="Q299" s="154"/>
      <c r="R299" s="151" t="s">
        <v>3</v>
      </c>
      <c r="S299" s="151" t="s">
        <v>3174</v>
      </c>
      <c r="T299" s="156" t="s">
        <v>4206</v>
      </c>
      <c r="U299" s="167" t="s">
        <v>1028</v>
      </c>
    </row>
    <row r="300" spans="1:21">
      <c r="A300" s="7" t="s">
        <v>4207</v>
      </c>
      <c r="B300" s="7" t="s">
        <v>1033</v>
      </c>
      <c r="C300" s="7" t="s">
        <v>769</v>
      </c>
      <c r="D300" s="7" t="s">
        <v>906</v>
      </c>
      <c r="E300" s="32" t="s">
        <v>1574</v>
      </c>
      <c r="F300" s="32" t="s">
        <v>16</v>
      </c>
      <c r="G300" s="7" t="s">
        <v>2663</v>
      </c>
      <c r="H300" s="14" t="s">
        <v>781</v>
      </c>
      <c r="I300" s="14" t="s">
        <v>4208</v>
      </c>
      <c r="J300" s="14" t="s">
        <v>4209</v>
      </c>
      <c r="K300" s="28" t="s">
        <v>4210</v>
      </c>
      <c r="L300" s="14" t="s">
        <v>39</v>
      </c>
      <c r="M300" s="7" t="s">
        <v>39</v>
      </c>
      <c r="N300" s="32" t="s">
        <v>912</v>
      </c>
      <c r="O300" s="32"/>
      <c r="P300" s="7" t="s">
        <v>1028</v>
      </c>
      <c r="Q300" s="14"/>
      <c r="R300" s="7" t="s">
        <v>3</v>
      </c>
      <c r="S300" s="7" t="s">
        <v>1089</v>
      </c>
      <c r="T300" s="4" t="s">
        <v>4211</v>
      </c>
      <c r="U300" s="160" t="s">
        <v>868</v>
      </c>
    </row>
    <row r="301" spans="1:21" s="370" customFormat="1">
      <c r="A301" s="151" t="s">
        <v>4212</v>
      </c>
      <c r="B301" s="157">
        <v>46358</v>
      </c>
      <c r="C301" s="151" t="s">
        <v>769</v>
      </c>
      <c r="D301" s="151" t="s">
        <v>906</v>
      </c>
      <c r="E301" s="152" t="s">
        <v>767</v>
      </c>
      <c r="F301" s="152" t="s">
        <v>16</v>
      </c>
      <c r="G301" s="151" t="s">
        <v>2302</v>
      </c>
      <c r="H301" s="154" t="s">
        <v>4213</v>
      </c>
      <c r="I301" s="154" t="s">
        <v>4214</v>
      </c>
      <c r="J301" s="154" t="s">
        <v>4215</v>
      </c>
      <c r="K301" s="155" t="s">
        <v>4216</v>
      </c>
      <c r="L301" s="155" t="s">
        <v>4217</v>
      </c>
      <c r="M301" s="151" t="s">
        <v>39</v>
      </c>
      <c r="N301" s="152" t="s">
        <v>912</v>
      </c>
      <c r="O301" s="152"/>
      <c r="P301" s="151"/>
      <c r="Q301" s="154"/>
      <c r="R301" s="151" t="s">
        <v>3</v>
      </c>
      <c r="S301" s="151" t="s">
        <v>1026</v>
      </c>
      <c r="T301" s="156" t="s">
        <v>4218</v>
      </c>
      <c r="U301" s="167" t="s">
        <v>1028</v>
      </c>
    </row>
    <row r="302" spans="1:21">
      <c r="A302" s="7" t="s">
        <v>4219</v>
      </c>
      <c r="B302" s="47">
        <v>46358</v>
      </c>
      <c r="C302" s="7" t="s">
        <v>746</v>
      </c>
      <c r="D302" s="7" t="s">
        <v>906</v>
      </c>
      <c r="E302" s="32" t="s">
        <v>828</v>
      </c>
      <c r="F302" s="32" t="s">
        <v>6</v>
      </c>
      <c r="G302" s="7" t="s">
        <v>907</v>
      </c>
      <c r="H302" s="14" t="s">
        <v>4220</v>
      </c>
      <c r="I302" s="14" t="s">
        <v>4221</v>
      </c>
      <c r="J302" s="14" t="s">
        <v>4222</v>
      </c>
      <c r="K302" s="56" t="s">
        <v>4223</v>
      </c>
      <c r="L302" s="14" t="s">
        <v>39</v>
      </c>
      <c r="M302" s="7" t="s">
        <v>39</v>
      </c>
      <c r="N302" s="32" t="s">
        <v>912</v>
      </c>
      <c r="O302" s="32" t="s">
        <v>912</v>
      </c>
      <c r="P302" s="7"/>
      <c r="Q302" s="14" t="s">
        <v>2103</v>
      </c>
      <c r="R302" s="7" t="s">
        <v>3</v>
      </c>
      <c r="S302" s="7" t="s">
        <v>1026</v>
      </c>
      <c r="T302" s="4" t="s">
        <v>4224</v>
      </c>
      <c r="U302" s="160"/>
    </row>
    <row r="303" spans="1:21">
      <c r="A303" s="7" t="s">
        <v>4225</v>
      </c>
      <c r="B303" s="47">
        <v>46358</v>
      </c>
      <c r="C303" s="7" t="s">
        <v>746</v>
      </c>
      <c r="D303" s="7" t="s">
        <v>906</v>
      </c>
      <c r="E303" s="32" t="s">
        <v>828</v>
      </c>
      <c r="F303" s="32" t="s">
        <v>6</v>
      </c>
      <c r="G303" s="7" t="s">
        <v>907</v>
      </c>
      <c r="H303" s="14" t="s">
        <v>4226</v>
      </c>
      <c r="I303" s="14" t="s">
        <v>4227</v>
      </c>
      <c r="J303" s="14" t="s">
        <v>4228</v>
      </c>
      <c r="K303" s="56" t="s">
        <v>4229</v>
      </c>
      <c r="L303" s="14" t="s">
        <v>39</v>
      </c>
      <c r="M303" s="7" t="s">
        <v>39</v>
      </c>
      <c r="N303" s="32" t="s">
        <v>912</v>
      </c>
      <c r="O303" s="32" t="s">
        <v>752</v>
      </c>
      <c r="P303" s="7"/>
      <c r="Q303" s="14"/>
      <c r="R303" s="7" t="s">
        <v>3</v>
      </c>
      <c r="S303" s="7" t="s">
        <v>2580</v>
      </c>
      <c r="T303" s="4" t="s">
        <v>4230</v>
      </c>
      <c r="U303" s="160"/>
    </row>
    <row r="304" spans="1:21" s="370" customFormat="1">
      <c r="A304" s="151" t="s">
        <v>4231</v>
      </c>
      <c r="B304" s="157">
        <v>46358</v>
      </c>
      <c r="C304" s="151" t="s">
        <v>746</v>
      </c>
      <c r="D304" s="151" t="s">
        <v>906</v>
      </c>
      <c r="E304" s="152" t="s">
        <v>828</v>
      </c>
      <c r="F304" s="152" t="s">
        <v>6</v>
      </c>
      <c r="G304" s="151" t="s">
        <v>2302</v>
      </c>
      <c r="H304" s="154" t="s">
        <v>4232</v>
      </c>
      <c r="I304" s="154" t="s">
        <v>4233</v>
      </c>
      <c r="J304" s="154" t="s">
        <v>4234</v>
      </c>
      <c r="K304" s="155" t="s">
        <v>4235</v>
      </c>
      <c r="L304" s="154" t="s">
        <v>39</v>
      </c>
      <c r="M304" s="151" t="s">
        <v>39</v>
      </c>
      <c r="N304" s="152" t="s">
        <v>912</v>
      </c>
      <c r="O304" s="152" t="s">
        <v>752</v>
      </c>
      <c r="P304" s="151"/>
      <c r="Q304" s="154"/>
      <c r="R304" s="151" t="s">
        <v>3</v>
      </c>
      <c r="S304" s="157">
        <v>46145</v>
      </c>
      <c r="T304" s="156" t="s">
        <v>4236</v>
      </c>
      <c r="U304" s="167"/>
    </row>
    <row r="305" spans="1:21">
      <c r="A305" s="7" t="s">
        <v>4237</v>
      </c>
      <c r="B305" s="47">
        <v>46358</v>
      </c>
      <c r="C305" s="7" t="s">
        <v>746</v>
      </c>
      <c r="D305" s="7" t="s">
        <v>906</v>
      </c>
      <c r="E305" s="32" t="s">
        <v>828</v>
      </c>
      <c r="F305" s="32" t="s">
        <v>6</v>
      </c>
      <c r="G305" s="7" t="s">
        <v>907</v>
      </c>
      <c r="H305" s="14" t="s">
        <v>4238</v>
      </c>
      <c r="I305" s="14" t="s">
        <v>4239</v>
      </c>
      <c r="J305" s="14" t="s">
        <v>4240</v>
      </c>
      <c r="K305" s="56" t="s">
        <v>4241</v>
      </c>
      <c r="L305" s="14" t="s">
        <v>39</v>
      </c>
      <c r="M305" s="7" t="s">
        <v>39</v>
      </c>
      <c r="N305" s="32" t="s">
        <v>912</v>
      </c>
      <c r="O305" s="32" t="s">
        <v>752</v>
      </c>
      <c r="P305" s="7"/>
      <c r="Q305" s="14"/>
      <c r="R305" s="7" t="s">
        <v>4</v>
      </c>
      <c r="S305" s="7" t="s">
        <v>1026</v>
      </c>
      <c r="T305" s="4" t="s">
        <v>4242</v>
      </c>
      <c r="U305" s="160"/>
    </row>
    <row r="306" spans="1:21">
      <c r="A306" s="7" t="s">
        <v>4243</v>
      </c>
      <c r="B306" s="47">
        <v>46358</v>
      </c>
      <c r="C306" s="7" t="s">
        <v>746</v>
      </c>
      <c r="D306" s="7" t="s">
        <v>906</v>
      </c>
      <c r="E306" s="32" t="s">
        <v>828</v>
      </c>
      <c r="F306" s="32" t="s">
        <v>6</v>
      </c>
      <c r="G306" s="7" t="s">
        <v>907</v>
      </c>
      <c r="H306" s="14" t="s">
        <v>183</v>
      </c>
      <c r="I306" s="14" t="s">
        <v>4244</v>
      </c>
      <c r="J306" s="14" t="s">
        <v>4245</v>
      </c>
      <c r="K306" s="56" t="s">
        <v>4246</v>
      </c>
      <c r="L306" s="14" t="s">
        <v>39</v>
      </c>
      <c r="M306" s="7" t="s">
        <v>39</v>
      </c>
      <c r="N306" s="32" t="s">
        <v>912</v>
      </c>
      <c r="O306" s="32" t="s">
        <v>752</v>
      </c>
      <c r="P306" s="7"/>
      <c r="Q306" s="14"/>
      <c r="R306" s="7" t="s">
        <v>4</v>
      </c>
      <c r="S306" s="7" t="s">
        <v>1026</v>
      </c>
      <c r="T306" s="4" t="s">
        <v>4242</v>
      </c>
      <c r="U306" s="160"/>
    </row>
    <row r="307" spans="1:21">
      <c r="A307" s="7" t="s">
        <v>4247</v>
      </c>
      <c r="B307" s="47">
        <v>46358</v>
      </c>
      <c r="C307" s="7" t="s">
        <v>754</v>
      </c>
      <c r="D307" s="7" t="s">
        <v>906</v>
      </c>
      <c r="E307" s="32" t="s">
        <v>828</v>
      </c>
      <c r="F307" s="32" t="s">
        <v>6</v>
      </c>
      <c r="G307" s="7" t="s">
        <v>4248</v>
      </c>
      <c r="H307" s="14" t="s">
        <v>4249</v>
      </c>
      <c r="I307" s="14" t="s">
        <v>4250</v>
      </c>
      <c r="J307" s="14" t="s">
        <v>4251</v>
      </c>
      <c r="K307" s="56" t="s">
        <v>4252</v>
      </c>
      <c r="L307" s="56" t="s">
        <v>4253</v>
      </c>
      <c r="M307" s="7" t="s">
        <v>39</v>
      </c>
      <c r="N307" s="32" t="s">
        <v>912</v>
      </c>
      <c r="O307" s="32" t="s">
        <v>752</v>
      </c>
      <c r="P307" s="7"/>
      <c r="Q307" s="14" t="s">
        <v>2103</v>
      </c>
      <c r="R307" s="7" t="s">
        <v>1264</v>
      </c>
      <c r="S307" s="47">
        <v>46145</v>
      </c>
      <c r="T307" s="4" t="s">
        <v>4254</v>
      </c>
      <c r="U307" s="160"/>
    </row>
    <row r="308" spans="1:21">
      <c r="A308" s="7" t="s">
        <v>4255</v>
      </c>
      <c r="B308" s="7" t="s">
        <v>1271</v>
      </c>
      <c r="C308" s="7" t="s">
        <v>769</v>
      </c>
      <c r="D308" s="7" t="s">
        <v>906</v>
      </c>
      <c r="E308" s="32" t="s">
        <v>828</v>
      </c>
      <c r="F308" s="32" t="s">
        <v>6</v>
      </c>
      <c r="G308" s="7" t="s">
        <v>907</v>
      </c>
      <c r="H308" s="14" t="s">
        <v>781</v>
      </c>
      <c r="I308" s="14" t="s">
        <v>4256</v>
      </c>
      <c r="J308" s="14" t="s">
        <v>4257</v>
      </c>
      <c r="K308" s="56" t="s">
        <v>4258</v>
      </c>
      <c r="L308" s="14" t="s">
        <v>39</v>
      </c>
      <c r="M308" s="7" t="s">
        <v>39</v>
      </c>
      <c r="N308" s="7" t="s">
        <v>749</v>
      </c>
      <c r="O308" s="32" t="s">
        <v>912</v>
      </c>
      <c r="P308" s="7" t="s">
        <v>1028</v>
      </c>
      <c r="Q308" s="14" t="s">
        <v>4259</v>
      </c>
      <c r="R308" s="7" t="s">
        <v>3</v>
      </c>
      <c r="S308" s="47">
        <v>46145</v>
      </c>
      <c r="T308" s="4" t="s">
        <v>4260</v>
      </c>
      <c r="U308" s="160"/>
    </row>
    <row r="309" spans="1:21">
      <c r="A309" s="7" t="s">
        <v>4261</v>
      </c>
      <c r="B309" s="7" t="s">
        <v>1271</v>
      </c>
      <c r="C309" s="7" t="s">
        <v>746</v>
      </c>
      <c r="D309" s="7" t="s">
        <v>906</v>
      </c>
      <c r="E309" s="32" t="s">
        <v>828</v>
      </c>
      <c r="F309" s="32" t="s">
        <v>6</v>
      </c>
      <c r="G309" s="7" t="s">
        <v>907</v>
      </c>
      <c r="H309" s="14" t="s">
        <v>781</v>
      </c>
      <c r="I309" s="14" t="s">
        <v>4256</v>
      </c>
      <c r="J309" s="14" t="s">
        <v>4262</v>
      </c>
      <c r="K309" s="56" t="s">
        <v>4263</v>
      </c>
      <c r="L309" s="14" t="s">
        <v>39</v>
      </c>
      <c r="M309" s="7" t="s">
        <v>39</v>
      </c>
      <c r="N309" s="7" t="s">
        <v>749</v>
      </c>
      <c r="O309" s="32" t="s">
        <v>912</v>
      </c>
      <c r="P309" s="7"/>
      <c r="Q309" s="14" t="s">
        <v>2103</v>
      </c>
      <c r="R309" s="7" t="s">
        <v>3</v>
      </c>
      <c r="S309" s="47">
        <v>46145</v>
      </c>
      <c r="T309" s="4" t="s">
        <v>4264</v>
      </c>
      <c r="U309" s="160"/>
    </row>
    <row r="310" spans="1:21">
      <c r="A310" s="151" t="s">
        <v>4265</v>
      </c>
      <c r="B310" s="151" t="s">
        <v>1061</v>
      </c>
      <c r="C310" s="151" t="s">
        <v>754</v>
      </c>
      <c r="D310" s="151" t="s">
        <v>906</v>
      </c>
      <c r="E310" s="152" t="s">
        <v>828</v>
      </c>
      <c r="F310" s="152" t="s">
        <v>16</v>
      </c>
      <c r="G310" s="151" t="s">
        <v>2302</v>
      </c>
      <c r="H310" s="154" t="s">
        <v>4266</v>
      </c>
      <c r="I310" s="154" t="s">
        <v>4267</v>
      </c>
      <c r="J310" s="154" t="s">
        <v>4268</v>
      </c>
      <c r="K310" s="155" t="s">
        <v>4269</v>
      </c>
      <c r="L310" s="154" t="s">
        <v>39</v>
      </c>
      <c r="M310" s="151" t="s">
        <v>39</v>
      </c>
      <c r="N310" s="152" t="s">
        <v>912</v>
      </c>
      <c r="O310" s="152" t="s">
        <v>973</v>
      </c>
      <c r="P310" s="151"/>
      <c r="Q310" s="154"/>
      <c r="R310" s="151" t="s">
        <v>4</v>
      </c>
      <c r="S310" s="151" t="s">
        <v>1278</v>
      </c>
      <c r="T310" s="156" t="s">
        <v>4270</v>
      </c>
      <c r="U310" s="167"/>
    </row>
    <row r="311" spans="1:21">
      <c r="A311" s="7" t="s">
        <v>4271</v>
      </c>
      <c r="B311" s="7" t="s">
        <v>3174</v>
      </c>
      <c r="C311" s="7" t="s">
        <v>746</v>
      </c>
      <c r="D311" s="7" t="s">
        <v>906</v>
      </c>
      <c r="E311" s="32" t="s">
        <v>828</v>
      </c>
      <c r="F311" s="32" t="s">
        <v>6</v>
      </c>
      <c r="G311" s="7" t="s">
        <v>907</v>
      </c>
      <c r="H311" s="15" t="s">
        <v>50</v>
      </c>
      <c r="I311" s="14" t="s">
        <v>4272</v>
      </c>
      <c r="J311" s="14" t="s">
        <v>4273</v>
      </c>
      <c r="K311" s="28" t="s">
        <v>4274</v>
      </c>
      <c r="L311" s="14" t="s">
        <v>39</v>
      </c>
      <c r="M311" s="7" t="s">
        <v>39</v>
      </c>
      <c r="N311" s="32" t="s">
        <v>912</v>
      </c>
      <c r="O311" s="32" t="s">
        <v>912</v>
      </c>
      <c r="P311" s="7"/>
      <c r="Q311" s="14"/>
      <c r="R311" s="7" t="s">
        <v>3</v>
      </c>
      <c r="S311" s="47">
        <v>46145</v>
      </c>
      <c r="T311" s="4" t="s">
        <v>2355</v>
      </c>
      <c r="U311" s="160"/>
    </row>
    <row r="312" spans="1:21">
      <c r="A312" s="7" t="s">
        <v>4275</v>
      </c>
      <c r="B312" s="7" t="s">
        <v>3174</v>
      </c>
      <c r="C312" s="7" t="s">
        <v>754</v>
      </c>
      <c r="D312" s="7" t="s">
        <v>906</v>
      </c>
      <c r="E312" s="32" t="s">
        <v>828</v>
      </c>
      <c r="F312" s="32" t="s">
        <v>6</v>
      </c>
      <c r="G312" s="7" t="s">
        <v>907</v>
      </c>
      <c r="H312" s="14" t="s">
        <v>50</v>
      </c>
      <c r="I312" s="14" t="s">
        <v>4276</v>
      </c>
      <c r="J312" s="14" t="s">
        <v>4277</v>
      </c>
      <c r="K312" s="28" t="s">
        <v>4278</v>
      </c>
      <c r="L312" s="14" t="s">
        <v>39</v>
      </c>
      <c r="M312" s="7" t="s">
        <v>39</v>
      </c>
      <c r="N312" s="32" t="s">
        <v>912</v>
      </c>
      <c r="O312" s="32" t="s">
        <v>912</v>
      </c>
      <c r="P312" s="7"/>
      <c r="Q312" s="14"/>
      <c r="R312" s="7" t="s">
        <v>3</v>
      </c>
      <c r="S312" s="47">
        <v>46145</v>
      </c>
      <c r="T312" s="4" t="s">
        <v>2355</v>
      </c>
      <c r="U312" s="160"/>
    </row>
    <row r="313" spans="1:21">
      <c r="A313" s="7" t="s">
        <v>4279</v>
      </c>
      <c r="B313" s="7" t="s">
        <v>3174</v>
      </c>
      <c r="C313" s="7" t="s">
        <v>746</v>
      </c>
      <c r="D313" s="7" t="s">
        <v>906</v>
      </c>
      <c r="E313" s="32" t="s">
        <v>828</v>
      </c>
      <c r="F313" s="32" t="s">
        <v>6</v>
      </c>
      <c r="G313" s="7" t="s">
        <v>907</v>
      </c>
      <c r="H313" s="14" t="s">
        <v>50</v>
      </c>
      <c r="I313" s="14" t="s">
        <v>4280</v>
      </c>
      <c r="J313" s="14" t="s">
        <v>4281</v>
      </c>
      <c r="K313" s="28" t="s">
        <v>4282</v>
      </c>
      <c r="L313" s="14" t="s">
        <v>39</v>
      </c>
      <c r="M313" s="7" t="s">
        <v>39</v>
      </c>
      <c r="N313" s="32" t="s">
        <v>912</v>
      </c>
      <c r="O313" s="32" t="s">
        <v>912</v>
      </c>
      <c r="P313" s="7"/>
      <c r="Q313" s="14"/>
      <c r="R313" s="7" t="s">
        <v>3</v>
      </c>
      <c r="S313" s="47">
        <v>46145</v>
      </c>
      <c r="T313" s="4" t="s">
        <v>2355</v>
      </c>
      <c r="U313" s="160"/>
    </row>
    <row r="314" spans="1:21">
      <c r="A314" s="7" t="s">
        <v>4283</v>
      </c>
      <c r="B314" s="7" t="s">
        <v>3174</v>
      </c>
      <c r="C314" s="7" t="s">
        <v>754</v>
      </c>
      <c r="D314" s="7" t="s">
        <v>906</v>
      </c>
      <c r="E314" s="32" t="s">
        <v>828</v>
      </c>
      <c r="F314" s="32" t="s">
        <v>6</v>
      </c>
      <c r="G314" s="7" t="s">
        <v>907</v>
      </c>
      <c r="H314" s="14" t="s">
        <v>50</v>
      </c>
      <c r="I314" s="14" t="s">
        <v>4284</v>
      </c>
      <c r="J314" s="14" t="s">
        <v>4285</v>
      </c>
      <c r="K314" s="28" t="s">
        <v>4286</v>
      </c>
      <c r="L314" s="14" t="s">
        <v>39</v>
      </c>
      <c r="M314" s="7" t="s">
        <v>39</v>
      </c>
      <c r="N314" s="32" t="s">
        <v>912</v>
      </c>
      <c r="O314" s="32" t="s">
        <v>912</v>
      </c>
      <c r="P314" s="7"/>
      <c r="Q314" s="14"/>
      <c r="R314" s="7" t="s">
        <v>3</v>
      </c>
      <c r="S314" s="47">
        <v>46145</v>
      </c>
      <c r="T314" s="4" t="s">
        <v>4287</v>
      </c>
      <c r="U314" s="160"/>
    </row>
    <row r="315" spans="1:21">
      <c r="A315" s="7" t="s">
        <v>4288</v>
      </c>
      <c r="B315" s="7" t="s">
        <v>3174</v>
      </c>
      <c r="C315" s="7" t="s">
        <v>746</v>
      </c>
      <c r="D315" s="7" t="s">
        <v>906</v>
      </c>
      <c r="E315" s="32" t="s">
        <v>1003</v>
      </c>
      <c r="F315" s="32" t="s">
        <v>6</v>
      </c>
      <c r="G315" s="7" t="s">
        <v>4289</v>
      </c>
      <c r="H315" s="14" t="s">
        <v>50</v>
      </c>
      <c r="I315" s="14" t="s">
        <v>4290</v>
      </c>
      <c r="J315" s="14" t="s">
        <v>4291</v>
      </c>
      <c r="K315" s="28" t="s">
        <v>4292</v>
      </c>
      <c r="L315" s="14" t="s">
        <v>39</v>
      </c>
      <c r="M315" s="7" t="s">
        <v>39</v>
      </c>
      <c r="N315" s="32" t="s">
        <v>912</v>
      </c>
      <c r="O315" s="32" t="s">
        <v>752</v>
      </c>
      <c r="P315" s="7"/>
      <c r="Q315" s="14" t="s">
        <v>1563</v>
      </c>
      <c r="R315" s="7" t="s">
        <v>3</v>
      </c>
      <c r="S315" s="47">
        <v>46359</v>
      </c>
      <c r="T315" s="4" t="s">
        <v>4293</v>
      </c>
      <c r="U315" s="160"/>
    </row>
    <row r="316" spans="1:21">
      <c r="A316" s="7" t="s">
        <v>4294</v>
      </c>
      <c r="B316" s="7" t="s">
        <v>3174</v>
      </c>
      <c r="C316" s="7" t="s">
        <v>746</v>
      </c>
      <c r="D316" s="7" t="s">
        <v>906</v>
      </c>
      <c r="E316" s="32" t="s">
        <v>828</v>
      </c>
      <c r="F316" s="32" t="s">
        <v>6</v>
      </c>
      <c r="G316" s="7" t="s">
        <v>1013</v>
      </c>
      <c r="H316" s="14" t="s">
        <v>50</v>
      </c>
      <c r="I316" s="14" t="s">
        <v>4295</v>
      </c>
      <c r="J316" s="14" t="s">
        <v>4296</v>
      </c>
      <c r="K316" s="28" t="s">
        <v>4297</v>
      </c>
      <c r="L316" s="14" t="s">
        <v>39</v>
      </c>
      <c r="M316" s="7" t="s">
        <v>39</v>
      </c>
      <c r="N316" s="32" t="s">
        <v>912</v>
      </c>
      <c r="O316" s="32" t="s">
        <v>752</v>
      </c>
      <c r="P316" s="7"/>
      <c r="Q316" s="14"/>
      <c r="R316" s="7" t="s">
        <v>1264</v>
      </c>
      <c r="S316" s="47">
        <v>46145</v>
      </c>
      <c r="T316" s="4" t="s">
        <v>4298</v>
      </c>
      <c r="U316" s="160"/>
    </row>
    <row r="317" spans="1:21" s="370" customFormat="1">
      <c r="A317" s="151" t="s">
        <v>4299</v>
      </c>
      <c r="B317" s="151" t="s">
        <v>3174</v>
      </c>
      <c r="C317" s="151" t="s">
        <v>746</v>
      </c>
      <c r="D317" s="151" t="s">
        <v>906</v>
      </c>
      <c r="E317" s="152" t="s">
        <v>828</v>
      </c>
      <c r="F317" s="152" t="s">
        <v>6</v>
      </c>
      <c r="G317" s="151" t="s">
        <v>2302</v>
      </c>
      <c r="H317" s="154" t="s">
        <v>4300</v>
      </c>
      <c r="I317" s="154" t="s">
        <v>2988</v>
      </c>
      <c r="J317" s="154" t="s">
        <v>4301</v>
      </c>
      <c r="K317" s="155" t="s">
        <v>4302</v>
      </c>
      <c r="L317" s="154" t="s">
        <v>39</v>
      </c>
      <c r="M317" s="151" t="s">
        <v>39</v>
      </c>
      <c r="N317" s="152" t="s">
        <v>912</v>
      </c>
      <c r="O317" s="152" t="s">
        <v>912</v>
      </c>
      <c r="P317" s="151"/>
      <c r="Q317" s="154"/>
      <c r="R317" s="151" t="s">
        <v>3</v>
      </c>
      <c r="S317" s="157">
        <v>46145</v>
      </c>
      <c r="T317" s="156" t="s">
        <v>4303</v>
      </c>
      <c r="U317" s="167"/>
    </row>
    <row r="318" spans="1:21" s="370" customFormat="1">
      <c r="A318" s="151" t="s">
        <v>4304</v>
      </c>
      <c r="B318" s="151" t="s">
        <v>3174</v>
      </c>
      <c r="C318" s="151" t="s">
        <v>746</v>
      </c>
      <c r="D318" s="151" t="s">
        <v>906</v>
      </c>
      <c r="E318" s="152" t="s">
        <v>828</v>
      </c>
      <c r="F318" s="152" t="s">
        <v>6</v>
      </c>
      <c r="G318" s="151" t="s">
        <v>2302</v>
      </c>
      <c r="H318" s="154" t="s">
        <v>70</v>
      </c>
      <c r="I318" s="154" t="s">
        <v>4305</v>
      </c>
      <c r="J318" s="154" t="s">
        <v>4306</v>
      </c>
      <c r="K318" s="155" t="s">
        <v>4307</v>
      </c>
      <c r="L318" s="154" t="s">
        <v>39</v>
      </c>
      <c r="M318" s="151" t="s">
        <v>39</v>
      </c>
      <c r="N318" s="152" t="s">
        <v>912</v>
      </c>
      <c r="O318" s="152" t="s">
        <v>912</v>
      </c>
      <c r="P318" s="151"/>
      <c r="Q318" s="154"/>
      <c r="R318" s="151" t="s">
        <v>3</v>
      </c>
      <c r="S318" s="157">
        <v>46145</v>
      </c>
      <c r="T318" s="156" t="s">
        <v>4308</v>
      </c>
      <c r="U318" s="167"/>
    </row>
    <row r="319" spans="1:21" s="370" customFormat="1">
      <c r="A319" s="151" t="s">
        <v>4309</v>
      </c>
      <c r="B319" s="151" t="s">
        <v>3174</v>
      </c>
      <c r="C319" s="151" t="s">
        <v>746</v>
      </c>
      <c r="D319" s="151" t="s">
        <v>906</v>
      </c>
      <c r="E319" s="152" t="s">
        <v>1003</v>
      </c>
      <c r="F319" s="152" t="s">
        <v>6</v>
      </c>
      <c r="G319" s="151" t="s">
        <v>2302</v>
      </c>
      <c r="H319" s="154" t="s">
        <v>70</v>
      </c>
      <c r="I319" s="154" t="s">
        <v>4310</v>
      </c>
      <c r="J319" s="154" t="s">
        <v>4306</v>
      </c>
      <c r="K319" s="155" t="s">
        <v>4311</v>
      </c>
      <c r="L319" s="154" t="s">
        <v>39</v>
      </c>
      <c r="M319" s="151" t="s">
        <v>39</v>
      </c>
      <c r="N319" s="152" t="s">
        <v>912</v>
      </c>
      <c r="O319" s="152" t="s">
        <v>752</v>
      </c>
      <c r="P319" s="151"/>
      <c r="Q319" s="154"/>
      <c r="R319" s="151" t="s">
        <v>3</v>
      </c>
      <c r="S319" s="157">
        <v>46145</v>
      </c>
      <c r="T319" s="156" t="s">
        <v>4312</v>
      </c>
      <c r="U319" s="167"/>
    </row>
    <row r="320" spans="1:21" s="370" customFormat="1">
      <c r="A320" s="151" t="s">
        <v>4313</v>
      </c>
      <c r="B320" s="151" t="s">
        <v>3174</v>
      </c>
      <c r="C320" s="151" t="s">
        <v>746</v>
      </c>
      <c r="D320" s="151" t="s">
        <v>906</v>
      </c>
      <c r="E320" s="152" t="s">
        <v>828</v>
      </c>
      <c r="F320" s="152" t="s">
        <v>6</v>
      </c>
      <c r="G320" s="151" t="s">
        <v>2302</v>
      </c>
      <c r="H320" s="154" t="s">
        <v>70</v>
      </c>
      <c r="I320" s="154" t="s">
        <v>2988</v>
      </c>
      <c r="J320" s="154" t="s">
        <v>4314</v>
      </c>
      <c r="K320" s="155" t="s">
        <v>4315</v>
      </c>
      <c r="L320" s="154" t="s">
        <v>39</v>
      </c>
      <c r="M320" s="151" t="s">
        <v>39</v>
      </c>
      <c r="N320" s="152" t="s">
        <v>912</v>
      </c>
      <c r="O320" s="152" t="s">
        <v>1748</v>
      </c>
      <c r="P320" s="151"/>
      <c r="Q320" s="154"/>
      <c r="R320" s="151" t="s">
        <v>4</v>
      </c>
      <c r="S320" s="151"/>
      <c r="T320" s="156"/>
      <c r="U320" s="167"/>
    </row>
    <row r="321" spans="1:21" s="370" customFormat="1">
      <c r="A321" s="151" t="s">
        <v>4316</v>
      </c>
      <c r="B321" s="151" t="s">
        <v>3174</v>
      </c>
      <c r="C321" s="151" t="s">
        <v>746</v>
      </c>
      <c r="D321" s="151" t="s">
        <v>906</v>
      </c>
      <c r="E321" s="152" t="s">
        <v>828</v>
      </c>
      <c r="F321" s="152" t="s">
        <v>6</v>
      </c>
      <c r="G321" s="151" t="s">
        <v>2302</v>
      </c>
      <c r="H321" s="154" t="s">
        <v>180</v>
      </c>
      <c r="I321" s="154" t="s">
        <v>4317</v>
      </c>
      <c r="J321" s="154" t="s">
        <v>4318</v>
      </c>
      <c r="K321" s="155" t="s">
        <v>4319</v>
      </c>
      <c r="L321" s="154" t="s">
        <v>39</v>
      </c>
      <c r="M321" s="151" t="s">
        <v>39</v>
      </c>
      <c r="N321" s="152" t="s">
        <v>912</v>
      </c>
      <c r="O321" s="152" t="s">
        <v>752</v>
      </c>
      <c r="P321" s="151"/>
      <c r="Q321" s="154"/>
      <c r="R321" s="151" t="s">
        <v>3</v>
      </c>
      <c r="S321" s="157">
        <v>46268</v>
      </c>
      <c r="T321" s="156" t="s">
        <v>4320</v>
      </c>
      <c r="U321" s="167"/>
    </row>
    <row r="322" spans="1:21" s="370" customFormat="1">
      <c r="A322" s="151" t="s">
        <v>4321</v>
      </c>
      <c r="B322" s="151" t="s">
        <v>3174</v>
      </c>
      <c r="C322" s="151" t="s">
        <v>746</v>
      </c>
      <c r="D322" s="151" t="s">
        <v>906</v>
      </c>
      <c r="E322" s="152" t="s">
        <v>767</v>
      </c>
      <c r="F322" s="152" t="s">
        <v>16</v>
      </c>
      <c r="G322" s="151" t="s">
        <v>2302</v>
      </c>
      <c r="H322" s="154" t="s">
        <v>781</v>
      </c>
      <c r="I322" s="154" t="s">
        <v>4322</v>
      </c>
      <c r="J322" s="154" t="s">
        <v>4323</v>
      </c>
      <c r="K322" s="155" t="s">
        <v>4324</v>
      </c>
      <c r="L322" s="154" t="s">
        <v>39</v>
      </c>
      <c r="M322" s="151" t="s">
        <v>39</v>
      </c>
      <c r="N322" s="152" t="s">
        <v>912</v>
      </c>
      <c r="O322" s="152" t="s">
        <v>973</v>
      </c>
      <c r="P322" s="151"/>
      <c r="Q322" s="154"/>
      <c r="R322" s="151" t="s">
        <v>4</v>
      </c>
      <c r="S322" s="151"/>
      <c r="T322" s="156"/>
      <c r="U322" s="167"/>
    </row>
    <row r="323" spans="1:21" s="370" customFormat="1">
      <c r="A323" s="151" t="s">
        <v>4325</v>
      </c>
      <c r="B323" s="151" t="s">
        <v>3174</v>
      </c>
      <c r="C323" s="151" t="s">
        <v>746</v>
      </c>
      <c r="D323" s="151" t="s">
        <v>906</v>
      </c>
      <c r="E323" s="152" t="s">
        <v>4326</v>
      </c>
      <c r="F323" s="152" t="s">
        <v>16</v>
      </c>
      <c r="G323" s="151" t="s">
        <v>2302</v>
      </c>
      <c r="H323" s="154" t="s">
        <v>781</v>
      </c>
      <c r="I323" s="154" t="s">
        <v>4327</v>
      </c>
      <c r="J323" s="154" t="s">
        <v>4328</v>
      </c>
      <c r="K323" s="155" t="s">
        <v>4329</v>
      </c>
      <c r="L323" s="154" t="s">
        <v>39</v>
      </c>
      <c r="M323" s="151" t="s">
        <v>39</v>
      </c>
      <c r="N323" s="152" t="s">
        <v>912</v>
      </c>
      <c r="O323" s="152" t="s">
        <v>973</v>
      </c>
      <c r="P323" s="151"/>
      <c r="Q323" s="154"/>
      <c r="R323" s="151" t="s">
        <v>4</v>
      </c>
      <c r="S323" s="151"/>
      <c r="T323" s="156"/>
      <c r="U323" s="167"/>
    </row>
    <row r="324" spans="1:21">
      <c r="A324" s="151" t="s">
        <v>4330</v>
      </c>
      <c r="B324" s="157">
        <v>46056</v>
      </c>
      <c r="C324" s="151" t="s">
        <v>746</v>
      </c>
      <c r="D324" s="151" t="s">
        <v>906</v>
      </c>
      <c r="E324" s="152" t="s">
        <v>828</v>
      </c>
      <c r="F324" s="152" t="s">
        <v>6</v>
      </c>
      <c r="G324" s="151" t="s">
        <v>2302</v>
      </c>
      <c r="H324" s="154" t="s">
        <v>120</v>
      </c>
      <c r="I324" s="154" t="s">
        <v>4331</v>
      </c>
      <c r="J324" s="154" t="s">
        <v>4332</v>
      </c>
      <c r="K324" s="155" t="s">
        <v>4333</v>
      </c>
      <c r="L324" s="154" t="s">
        <v>39</v>
      </c>
      <c r="M324" s="151" t="s">
        <v>39</v>
      </c>
      <c r="N324" s="152" t="s">
        <v>912</v>
      </c>
      <c r="O324" s="152" t="s">
        <v>752</v>
      </c>
      <c r="P324" s="151"/>
      <c r="Q324" s="154"/>
      <c r="R324" s="151" t="s">
        <v>4</v>
      </c>
      <c r="S324" s="151"/>
      <c r="T324" s="156"/>
      <c r="U324" s="167"/>
    </row>
    <row r="325" spans="1:21" s="370" customFormat="1">
      <c r="A325" s="151" t="s">
        <v>4334</v>
      </c>
      <c r="B325" s="157">
        <v>46176</v>
      </c>
      <c r="C325" s="151" t="s">
        <v>746</v>
      </c>
      <c r="D325" s="151" t="s">
        <v>906</v>
      </c>
      <c r="E325" s="152" t="s">
        <v>828</v>
      </c>
      <c r="F325" s="152" t="s">
        <v>6</v>
      </c>
      <c r="G325" s="151" t="s">
        <v>2302</v>
      </c>
      <c r="H325" s="154" t="s">
        <v>216</v>
      </c>
      <c r="I325" s="154" t="s">
        <v>4335</v>
      </c>
      <c r="J325" s="154" t="s">
        <v>4336</v>
      </c>
      <c r="K325" s="155" t="s">
        <v>4337</v>
      </c>
      <c r="L325" s="154" t="s">
        <v>39</v>
      </c>
      <c r="M325" s="151" t="s">
        <v>39</v>
      </c>
      <c r="N325" s="152" t="s">
        <v>912</v>
      </c>
      <c r="O325" s="152" t="s">
        <v>752</v>
      </c>
      <c r="P325" s="151"/>
      <c r="Q325" s="154"/>
      <c r="R325" s="151" t="s">
        <v>4</v>
      </c>
      <c r="S325" s="151"/>
      <c r="T325" s="156"/>
      <c r="U325" s="167"/>
    </row>
    <row r="326" spans="1:21" s="370" customFormat="1">
      <c r="A326" s="151" t="s">
        <v>4338</v>
      </c>
      <c r="B326" s="157">
        <v>46176</v>
      </c>
      <c r="C326" s="151" t="s">
        <v>746</v>
      </c>
      <c r="D326" s="151" t="s">
        <v>906</v>
      </c>
      <c r="E326" s="152" t="s">
        <v>828</v>
      </c>
      <c r="F326" s="152" t="s">
        <v>6</v>
      </c>
      <c r="G326" s="151" t="s">
        <v>2302</v>
      </c>
      <c r="H326" s="154" t="s">
        <v>214</v>
      </c>
      <c r="I326" s="154" t="s">
        <v>4339</v>
      </c>
      <c r="J326" s="154" t="s">
        <v>4340</v>
      </c>
      <c r="K326" s="155" t="s">
        <v>4341</v>
      </c>
      <c r="L326" s="154" t="s">
        <v>39</v>
      </c>
      <c r="M326" s="151" t="s">
        <v>39</v>
      </c>
      <c r="N326" s="152" t="s">
        <v>912</v>
      </c>
      <c r="O326" s="152" t="s">
        <v>752</v>
      </c>
      <c r="P326" s="151"/>
      <c r="Q326" s="154"/>
      <c r="R326" s="151" t="s">
        <v>4</v>
      </c>
      <c r="S326" s="151"/>
      <c r="T326" s="156"/>
      <c r="U326" s="167"/>
    </row>
    <row r="327" spans="1:21" s="370" customFormat="1">
      <c r="A327" s="151" t="s">
        <v>4342</v>
      </c>
      <c r="B327" s="157">
        <v>46176</v>
      </c>
      <c r="C327" s="151" t="s">
        <v>746</v>
      </c>
      <c r="D327" s="151" t="s">
        <v>906</v>
      </c>
      <c r="E327" s="152" t="s">
        <v>828</v>
      </c>
      <c r="F327" s="152" t="s">
        <v>6</v>
      </c>
      <c r="G327" s="151" t="s">
        <v>2302</v>
      </c>
      <c r="H327" s="154" t="s">
        <v>214</v>
      </c>
      <c r="I327" s="154" t="s">
        <v>4343</v>
      </c>
      <c r="J327" s="154" t="s">
        <v>4344</v>
      </c>
      <c r="K327" s="155" t="s">
        <v>4345</v>
      </c>
      <c r="L327" s="154" t="s">
        <v>39</v>
      </c>
      <c r="M327" s="151" t="s">
        <v>39</v>
      </c>
      <c r="N327" s="152" t="s">
        <v>912</v>
      </c>
      <c r="O327" s="152" t="s">
        <v>752</v>
      </c>
      <c r="P327" s="151"/>
      <c r="Q327" s="154"/>
      <c r="R327" s="151" t="s">
        <v>4</v>
      </c>
      <c r="S327" s="151"/>
      <c r="T327" s="156"/>
      <c r="U327" s="167"/>
    </row>
    <row r="328" spans="1:21" s="370" customFormat="1">
      <c r="A328" s="151" t="s">
        <v>4346</v>
      </c>
      <c r="B328" s="157">
        <v>46176</v>
      </c>
      <c r="C328" s="151" t="s">
        <v>746</v>
      </c>
      <c r="D328" s="151" t="s">
        <v>906</v>
      </c>
      <c r="E328" s="152" t="s">
        <v>828</v>
      </c>
      <c r="F328" s="152" t="s">
        <v>6</v>
      </c>
      <c r="G328" s="151" t="s">
        <v>2302</v>
      </c>
      <c r="H328" s="154" t="s">
        <v>214</v>
      </c>
      <c r="I328" s="154" t="s">
        <v>4347</v>
      </c>
      <c r="J328" s="154" t="s">
        <v>4348</v>
      </c>
      <c r="K328" s="155" t="s">
        <v>4349</v>
      </c>
      <c r="L328" s="154" t="s">
        <v>39</v>
      </c>
      <c r="M328" s="151" t="s">
        <v>39</v>
      </c>
      <c r="N328" s="152" t="s">
        <v>912</v>
      </c>
      <c r="O328" s="152" t="s">
        <v>752</v>
      </c>
      <c r="P328" s="151"/>
      <c r="Q328" s="154"/>
      <c r="R328" s="151" t="s">
        <v>4</v>
      </c>
      <c r="S328" s="151"/>
      <c r="T328" s="156"/>
      <c r="U328" s="167"/>
    </row>
    <row r="329" spans="1:21" s="370" customFormat="1">
      <c r="A329" s="151" t="s">
        <v>4350</v>
      </c>
      <c r="B329" s="157">
        <v>46176</v>
      </c>
      <c r="C329" s="151" t="s">
        <v>746</v>
      </c>
      <c r="D329" s="151" t="s">
        <v>906</v>
      </c>
      <c r="E329" s="152" t="s">
        <v>1003</v>
      </c>
      <c r="F329" s="152" t="s">
        <v>6</v>
      </c>
      <c r="G329" s="151" t="s">
        <v>2302</v>
      </c>
      <c r="H329" s="154" t="s">
        <v>214</v>
      </c>
      <c r="I329" s="154" t="s">
        <v>4351</v>
      </c>
      <c r="J329" s="154" t="s">
        <v>4352</v>
      </c>
      <c r="K329" s="155" t="s">
        <v>4353</v>
      </c>
      <c r="L329" s="154" t="s">
        <v>39</v>
      </c>
      <c r="M329" s="151" t="s">
        <v>39</v>
      </c>
      <c r="N329" s="152" t="s">
        <v>912</v>
      </c>
      <c r="O329" s="152" t="s">
        <v>752</v>
      </c>
      <c r="P329" s="151"/>
      <c r="Q329" s="154"/>
      <c r="R329" s="151" t="s">
        <v>4</v>
      </c>
      <c r="S329" s="151"/>
      <c r="T329" s="156"/>
      <c r="U329" s="167"/>
    </row>
    <row r="330" spans="1:21" s="370" customFormat="1">
      <c r="A330" s="151" t="s">
        <v>4354</v>
      </c>
      <c r="B330" s="157">
        <v>46176</v>
      </c>
      <c r="C330" s="151" t="s">
        <v>769</v>
      </c>
      <c r="D330" s="151" t="s">
        <v>906</v>
      </c>
      <c r="E330" s="152" t="s">
        <v>828</v>
      </c>
      <c r="F330" s="152" t="s">
        <v>6</v>
      </c>
      <c r="G330" s="151" t="s">
        <v>2302</v>
      </c>
      <c r="H330" s="154" t="s">
        <v>545</v>
      </c>
      <c r="I330" s="154" t="s">
        <v>4355</v>
      </c>
      <c r="J330" s="154" t="s">
        <v>4356</v>
      </c>
      <c r="K330" s="155" t="s">
        <v>4357</v>
      </c>
      <c r="L330" s="155" t="s">
        <v>4358</v>
      </c>
      <c r="M330" s="151" t="s">
        <v>39</v>
      </c>
      <c r="N330" s="152" t="s">
        <v>912</v>
      </c>
      <c r="O330" s="152" t="s">
        <v>752</v>
      </c>
      <c r="P330" s="151"/>
      <c r="Q330" s="154"/>
      <c r="R330" s="151" t="s">
        <v>4</v>
      </c>
      <c r="S330" s="157">
        <v>46268</v>
      </c>
      <c r="T330" s="156" t="s">
        <v>4359</v>
      </c>
      <c r="U330" s="167"/>
    </row>
    <row r="331" spans="1:21" s="370" customFormat="1">
      <c r="A331" s="151" t="s">
        <v>4360</v>
      </c>
      <c r="B331" s="157">
        <v>46176</v>
      </c>
      <c r="C331" s="151" t="s">
        <v>769</v>
      </c>
      <c r="D331" s="151" t="s">
        <v>906</v>
      </c>
      <c r="E331" s="152" t="s">
        <v>828</v>
      </c>
      <c r="F331" s="152" t="s">
        <v>6</v>
      </c>
      <c r="G331" s="151" t="s">
        <v>2302</v>
      </c>
      <c r="H331" s="154" t="s">
        <v>208</v>
      </c>
      <c r="I331" s="154" t="s">
        <v>4355</v>
      </c>
      <c r="J331" s="154" t="s">
        <v>4361</v>
      </c>
      <c r="K331" s="155" t="s">
        <v>4362</v>
      </c>
      <c r="L331" s="155" t="s">
        <v>4363</v>
      </c>
      <c r="M331" s="151" t="s">
        <v>39</v>
      </c>
      <c r="N331" s="152" t="s">
        <v>912</v>
      </c>
      <c r="O331" s="152" t="s">
        <v>752</v>
      </c>
      <c r="P331" s="151"/>
      <c r="Q331" s="154"/>
      <c r="R331" s="151" t="s">
        <v>3</v>
      </c>
      <c r="S331" s="157">
        <v>46268</v>
      </c>
      <c r="T331" s="156" t="s">
        <v>4364</v>
      </c>
      <c r="U331" s="167"/>
    </row>
    <row r="332" spans="1:21">
      <c r="A332" s="7" t="s">
        <v>4365</v>
      </c>
      <c r="B332" s="47">
        <v>46268</v>
      </c>
      <c r="C332" s="7" t="s">
        <v>746</v>
      </c>
      <c r="D332" s="7" t="s">
        <v>906</v>
      </c>
      <c r="E332" s="32" t="s">
        <v>828</v>
      </c>
      <c r="F332" s="32" t="s">
        <v>6</v>
      </c>
      <c r="G332" s="7" t="s">
        <v>907</v>
      </c>
      <c r="H332" s="14" t="s">
        <v>85</v>
      </c>
      <c r="I332" s="14" t="s">
        <v>4366</v>
      </c>
      <c r="J332" s="14" t="s">
        <v>4367</v>
      </c>
      <c r="K332" s="28" t="s">
        <v>4368</v>
      </c>
      <c r="L332" s="14" t="s">
        <v>39</v>
      </c>
      <c r="M332" s="7" t="s">
        <v>39</v>
      </c>
      <c r="N332" s="32" t="s">
        <v>912</v>
      </c>
      <c r="O332" s="32" t="s">
        <v>752</v>
      </c>
      <c r="P332" s="7"/>
      <c r="Q332" s="14"/>
      <c r="R332" s="7" t="s">
        <v>3</v>
      </c>
      <c r="S332" s="47">
        <v>46298</v>
      </c>
      <c r="T332" s="4" t="s">
        <v>4369</v>
      </c>
      <c r="U332" s="160"/>
    </row>
    <row r="333" spans="1:21" s="370" customFormat="1">
      <c r="A333" s="151" t="s">
        <v>4370</v>
      </c>
      <c r="B333" s="157">
        <v>46268</v>
      </c>
      <c r="C333" s="151" t="s">
        <v>746</v>
      </c>
      <c r="D333" s="151" t="s">
        <v>906</v>
      </c>
      <c r="E333" s="152" t="s">
        <v>828</v>
      </c>
      <c r="F333" s="152" t="s">
        <v>16</v>
      </c>
      <c r="G333" s="151" t="s">
        <v>2302</v>
      </c>
      <c r="H333" s="154" t="s">
        <v>208</v>
      </c>
      <c r="I333" s="154" t="s">
        <v>4371</v>
      </c>
      <c r="J333" s="154" t="s">
        <v>4372</v>
      </c>
      <c r="K333" s="336" t="s">
        <v>4373</v>
      </c>
      <c r="L333" s="154" t="s">
        <v>39</v>
      </c>
      <c r="M333" s="151" t="s">
        <v>39</v>
      </c>
      <c r="N333" s="151" t="s">
        <v>749</v>
      </c>
      <c r="O333" s="152" t="s">
        <v>752</v>
      </c>
      <c r="P333" s="151"/>
      <c r="Q333" s="154"/>
      <c r="R333" s="151" t="s">
        <v>4</v>
      </c>
      <c r="S333" s="157"/>
      <c r="T333" s="156"/>
      <c r="U333" s="167"/>
    </row>
    <row r="334" spans="1:21" s="370" customFormat="1">
      <c r="A334" s="151" t="s">
        <v>4374</v>
      </c>
      <c r="B334" s="157">
        <v>46268</v>
      </c>
      <c r="C334" s="151" t="s">
        <v>754</v>
      </c>
      <c r="D334" s="151" t="s">
        <v>906</v>
      </c>
      <c r="E334" s="152" t="s">
        <v>828</v>
      </c>
      <c r="F334" s="152" t="s">
        <v>16</v>
      </c>
      <c r="G334" s="151" t="s">
        <v>2302</v>
      </c>
      <c r="H334" s="154" t="s">
        <v>4375</v>
      </c>
      <c r="I334" s="154" t="s">
        <v>4376</v>
      </c>
      <c r="J334" s="154" t="s">
        <v>4377</v>
      </c>
      <c r="K334" s="155" t="s">
        <v>4378</v>
      </c>
      <c r="L334" s="154" t="s">
        <v>39</v>
      </c>
      <c r="M334" s="151" t="s">
        <v>39</v>
      </c>
      <c r="N334" s="152" t="s">
        <v>912</v>
      </c>
      <c r="O334" s="152" t="s">
        <v>973</v>
      </c>
      <c r="P334" s="151"/>
      <c r="Q334" s="154"/>
      <c r="R334" s="151" t="s">
        <v>4</v>
      </c>
      <c r="S334" s="157">
        <v>46359</v>
      </c>
      <c r="T334" s="156" t="s">
        <v>4379</v>
      </c>
      <c r="U334" s="167"/>
    </row>
    <row r="335" spans="1:21" s="370" customFormat="1">
      <c r="A335" s="151" t="s">
        <v>4380</v>
      </c>
      <c r="B335" s="157">
        <v>46359</v>
      </c>
      <c r="C335" s="151" t="s">
        <v>746</v>
      </c>
      <c r="D335" s="151" t="s">
        <v>906</v>
      </c>
      <c r="E335" s="152" t="s">
        <v>828</v>
      </c>
      <c r="F335" s="152" t="s">
        <v>6</v>
      </c>
      <c r="G335" s="151" t="s">
        <v>2302</v>
      </c>
      <c r="H335" s="154" t="s">
        <v>509</v>
      </c>
      <c r="I335" s="154" t="s">
        <v>4381</v>
      </c>
      <c r="J335" s="154" t="s">
        <v>4382</v>
      </c>
      <c r="K335" s="155" t="s">
        <v>4383</v>
      </c>
      <c r="L335" s="155" t="s">
        <v>4384</v>
      </c>
      <c r="M335" s="151" t="s">
        <v>39</v>
      </c>
      <c r="N335" s="152" t="s">
        <v>912</v>
      </c>
      <c r="O335" s="152" t="s">
        <v>752</v>
      </c>
      <c r="P335" s="151"/>
      <c r="Q335" s="154"/>
      <c r="R335" s="151" t="s">
        <v>3</v>
      </c>
      <c r="S335" s="151" t="s">
        <v>490</v>
      </c>
      <c r="T335" s="156" t="s">
        <v>4385</v>
      </c>
      <c r="U335" s="167"/>
    </row>
    <row r="336" spans="1:21">
      <c r="A336" s="16" t="s">
        <v>4386</v>
      </c>
      <c r="B336" s="7" t="s">
        <v>490</v>
      </c>
      <c r="C336" s="7" t="s">
        <v>746</v>
      </c>
      <c r="D336" s="7" t="s">
        <v>906</v>
      </c>
      <c r="E336" s="32" t="s">
        <v>828</v>
      </c>
      <c r="F336" s="32" t="s">
        <v>6</v>
      </c>
      <c r="G336" s="7" t="s">
        <v>907</v>
      </c>
      <c r="H336" s="14" t="s">
        <v>164</v>
      </c>
      <c r="I336" s="14" t="s">
        <v>4387</v>
      </c>
      <c r="J336" s="12" t="s">
        <v>4388</v>
      </c>
      <c r="K336" s="28" t="s">
        <v>4389</v>
      </c>
      <c r="L336" s="14" t="s">
        <v>39</v>
      </c>
      <c r="M336" s="7" t="s">
        <v>39</v>
      </c>
      <c r="N336" s="7" t="s">
        <v>973</v>
      </c>
      <c r="O336" s="32" t="s">
        <v>752</v>
      </c>
      <c r="P336" s="7"/>
      <c r="Q336" s="14"/>
      <c r="R336" s="7" t="s">
        <v>4</v>
      </c>
      <c r="S336" s="7"/>
      <c r="T336" s="4"/>
      <c r="U336" s="160"/>
    </row>
    <row r="337" spans="1:21">
      <c r="A337" s="7" t="s">
        <v>4390</v>
      </c>
      <c r="B337" s="21" t="s">
        <v>490</v>
      </c>
      <c r="C337" s="7" t="s">
        <v>746</v>
      </c>
      <c r="D337" s="7" t="s">
        <v>906</v>
      </c>
      <c r="E337" s="32" t="s">
        <v>828</v>
      </c>
      <c r="F337" s="32" t="s">
        <v>16</v>
      </c>
      <c r="G337" s="7" t="s">
        <v>1171</v>
      </c>
      <c r="H337" s="14" t="s">
        <v>58</v>
      </c>
      <c r="I337" s="71" t="s">
        <v>4391</v>
      </c>
      <c r="J337" s="14" t="s">
        <v>4392</v>
      </c>
      <c r="K337" s="29" t="s">
        <v>4393</v>
      </c>
      <c r="L337" s="14" t="s">
        <v>39</v>
      </c>
      <c r="M337" s="7" t="s">
        <v>39</v>
      </c>
      <c r="N337" s="32" t="s">
        <v>912</v>
      </c>
      <c r="O337" s="32" t="s">
        <v>1009</v>
      </c>
      <c r="P337" s="7"/>
      <c r="Q337" s="14"/>
      <c r="R337" s="7" t="s">
        <v>4</v>
      </c>
      <c r="S337" s="7"/>
      <c r="T337" s="4"/>
      <c r="U337" s="160"/>
    </row>
    <row r="338" spans="1:21">
      <c r="A338" s="7" t="s">
        <v>4394</v>
      </c>
      <c r="B338" s="21" t="s">
        <v>2580</v>
      </c>
      <c r="C338" s="7" t="s">
        <v>754</v>
      </c>
      <c r="D338" s="7" t="s">
        <v>906</v>
      </c>
      <c r="E338" s="32" t="s">
        <v>828</v>
      </c>
      <c r="F338" s="32" t="s">
        <v>6</v>
      </c>
      <c r="G338" s="7" t="s">
        <v>907</v>
      </c>
      <c r="H338" s="14" t="s">
        <v>158</v>
      </c>
      <c r="I338" s="71" t="s">
        <v>4395</v>
      </c>
      <c r="J338" s="14" t="s">
        <v>4396</v>
      </c>
      <c r="K338" s="13"/>
      <c r="L338" s="14" t="s">
        <v>39</v>
      </c>
      <c r="M338" s="7" t="s">
        <v>39</v>
      </c>
      <c r="N338" s="32" t="s">
        <v>912</v>
      </c>
      <c r="O338" s="32" t="s">
        <v>752</v>
      </c>
      <c r="P338" s="7"/>
      <c r="Q338" s="14"/>
      <c r="R338" s="7" t="s">
        <v>4</v>
      </c>
      <c r="S338" s="7"/>
      <c r="T338" s="4"/>
      <c r="U338" s="160"/>
    </row>
    <row r="339" spans="1:21">
      <c r="A339" s="7" t="s">
        <v>4397</v>
      </c>
      <c r="B339" s="7" t="s">
        <v>2580</v>
      </c>
      <c r="C339" s="7" t="s">
        <v>754</v>
      </c>
      <c r="D339" s="7" t="s">
        <v>906</v>
      </c>
      <c r="E339" s="32" t="s">
        <v>828</v>
      </c>
      <c r="F339" s="32" t="s">
        <v>6</v>
      </c>
      <c r="G339" s="7" t="s">
        <v>907</v>
      </c>
      <c r="H339" s="14" t="s">
        <v>158</v>
      </c>
      <c r="I339" s="14" t="s">
        <v>4398</v>
      </c>
      <c r="J339" s="46" t="s">
        <v>4399</v>
      </c>
      <c r="K339" s="14"/>
      <c r="L339" s="14" t="s">
        <v>39</v>
      </c>
      <c r="M339" s="7" t="s">
        <v>39</v>
      </c>
      <c r="N339" s="32" t="s">
        <v>912</v>
      </c>
      <c r="O339" s="32" t="s">
        <v>752</v>
      </c>
      <c r="P339" s="7"/>
      <c r="Q339" s="14"/>
      <c r="R339" s="7" t="s">
        <v>3</v>
      </c>
      <c r="S339" s="7" t="s">
        <v>701</v>
      </c>
      <c r="T339" s="4" t="s">
        <v>4400</v>
      </c>
      <c r="U339" s="160"/>
    </row>
    <row r="340" spans="1:21">
      <c r="A340" s="7" t="s">
        <v>4401</v>
      </c>
      <c r="B340" s="7" t="s">
        <v>2580</v>
      </c>
      <c r="C340" s="7" t="s">
        <v>754</v>
      </c>
      <c r="D340" s="7" t="s">
        <v>906</v>
      </c>
      <c r="E340" s="32" t="s">
        <v>828</v>
      </c>
      <c r="F340" s="32" t="s">
        <v>6</v>
      </c>
      <c r="G340" s="7" t="s">
        <v>907</v>
      </c>
      <c r="H340" s="14" t="s">
        <v>129</v>
      </c>
      <c r="I340" s="12" t="s">
        <v>4402</v>
      </c>
      <c r="J340" s="14" t="s">
        <v>4403</v>
      </c>
      <c r="K340" s="14"/>
      <c r="L340" s="14" t="s">
        <v>39</v>
      </c>
      <c r="M340" s="7" t="s">
        <v>39</v>
      </c>
      <c r="N340" s="32" t="s">
        <v>912</v>
      </c>
      <c r="O340" s="32" t="s">
        <v>752</v>
      </c>
      <c r="P340" s="7"/>
      <c r="Q340" s="14"/>
      <c r="R340" s="7" t="s">
        <v>4</v>
      </c>
      <c r="S340" s="7"/>
      <c r="T340" s="4"/>
      <c r="U340" s="160"/>
    </row>
    <row r="341" spans="1:21">
      <c r="A341" s="7" t="s">
        <v>4404</v>
      </c>
      <c r="B341" s="21" t="s">
        <v>2580</v>
      </c>
      <c r="C341" s="7" t="s">
        <v>754</v>
      </c>
      <c r="D341" s="7" t="s">
        <v>906</v>
      </c>
      <c r="E341" s="32" t="s">
        <v>828</v>
      </c>
      <c r="F341" s="32" t="s">
        <v>6</v>
      </c>
      <c r="G341" s="7" t="s">
        <v>907</v>
      </c>
      <c r="H341" s="71" t="s">
        <v>4405</v>
      </c>
      <c r="I341" s="426" t="s">
        <v>4406</v>
      </c>
      <c r="J341" s="13" t="s">
        <v>4407</v>
      </c>
      <c r="K341" s="14"/>
      <c r="L341" s="14" t="s">
        <v>39</v>
      </c>
      <c r="M341" s="7" t="s">
        <v>39</v>
      </c>
      <c r="N341" s="32" t="s">
        <v>912</v>
      </c>
      <c r="O341" s="32" t="s">
        <v>752</v>
      </c>
      <c r="P341" s="7"/>
      <c r="Q341" s="14"/>
      <c r="R341" s="7" t="s">
        <v>4</v>
      </c>
      <c r="S341" s="7"/>
      <c r="T341" s="4"/>
      <c r="U341" s="160"/>
    </row>
    <row r="342" spans="1:21">
      <c r="A342" s="7" t="s">
        <v>4408</v>
      </c>
      <c r="B342" s="7" t="s">
        <v>2580</v>
      </c>
      <c r="C342" s="7" t="s">
        <v>754</v>
      </c>
      <c r="D342" s="7" t="s">
        <v>906</v>
      </c>
      <c r="E342" s="32" t="s">
        <v>828</v>
      </c>
      <c r="F342" s="32" t="s">
        <v>6</v>
      </c>
      <c r="G342" s="7" t="s">
        <v>907</v>
      </c>
      <c r="H342" s="71" t="s">
        <v>63</v>
      </c>
      <c r="I342" s="426" t="s">
        <v>4402</v>
      </c>
      <c r="J342" s="13" t="s">
        <v>4409</v>
      </c>
      <c r="K342" s="14"/>
      <c r="L342" s="14" t="s">
        <v>39</v>
      </c>
      <c r="M342" s="7" t="s">
        <v>39</v>
      </c>
      <c r="N342" s="32" t="s">
        <v>912</v>
      </c>
      <c r="O342" s="32" t="s">
        <v>752</v>
      </c>
      <c r="P342" s="7"/>
      <c r="Q342" s="14"/>
      <c r="R342" s="7" t="s">
        <v>4</v>
      </c>
      <c r="S342" s="7"/>
      <c r="T342" s="4"/>
      <c r="U342" s="160"/>
    </row>
    <row r="343" spans="1:21">
      <c r="A343" s="7" t="s">
        <v>4410</v>
      </c>
      <c r="B343" s="7" t="s">
        <v>2580</v>
      </c>
      <c r="C343" s="7" t="s">
        <v>754</v>
      </c>
      <c r="D343" s="7" t="s">
        <v>906</v>
      </c>
      <c r="E343" s="32" t="s">
        <v>828</v>
      </c>
      <c r="F343" s="32" t="s">
        <v>6</v>
      </c>
      <c r="G343" s="7" t="s">
        <v>907</v>
      </c>
      <c r="H343" s="14" t="s">
        <v>50</v>
      </c>
      <c r="I343" s="206" t="s">
        <v>4411</v>
      </c>
      <c r="J343" s="14" t="s">
        <v>4412</v>
      </c>
      <c r="K343" s="14"/>
      <c r="L343" s="14" t="s">
        <v>39</v>
      </c>
      <c r="M343" s="7" t="s">
        <v>39</v>
      </c>
      <c r="N343" s="32" t="s">
        <v>912</v>
      </c>
      <c r="O343" s="32" t="s">
        <v>752</v>
      </c>
      <c r="P343" s="7"/>
      <c r="Q343" s="14"/>
      <c r="R343" s="7" t="s">
        <v>4</v>
      </c>
      <c r="S343" s="7"/>
      <c r="T343" s="4"/>
      <c r="U343" s="160"/>
    </row>
    <row r="344" spans="1:21">
      <c r="A344" s="7"/>
      <c r="B344" s="7"/>
      <c r="C344" s="7"/>
      <c r="D344" s="7"/>
      <c r="E344" s="32"/>
      <c r="F344" s="32"/>
      <c r="G344" s="7"/>
      <c r="H344" s="14"/>
      <c r="I344" s="14"/>
      <c r="J344" s="14"/>
      <c r="K344" s="14"/>
      <c r="L344" s="14"/>
      <c r="M344" s="7"/>
      <c r="N344" s="32"/>
      <c r="O344" s="32"/>
      <c r="P344" s="7"/>
      <c r="Q344" s="14"/>
      <c r="R344" s="7"/>
      <c r="S344" s="7"/>
      <c r="T344" s="4"/>
      <c r="U344" s="160"/>
    </row>
    <row r="345" spans="1:21">
      <c r="A345" s="7"/>
      <c r="B345" s="7"/>
      <c r="C345" s="7"/>
      <c r="D345" s="7"/>
      <c r="E345" s="32"/>
      <c r="F345" s="32"/>
      <c r="G345" s="7"/>
      <c r="H345" s="14"/>
      <c r="I345" s="14"/>
      <c r="J345" s="14"/>
      <c r="K345" s="14"/>
      <c r="L345" s="14"/>
      <c r="M345" s="7"/>
      <c r="N345" s="32"/>
      <c r="O345" s="32"/>
      <c r="P345" s="7"/>
      <c r="Q345" s="14"/>
      <c r="R345" s="7"/>
      <c r="S345" s="7"/>
      <c r="T345" s="4"/>
      <c r="U345" s="160"/>
    </row>
    <row r="346" spans="1:21">
      <c r="A346" s="7"/>
      <c r="B346" s="7"/>
      <c r="C346" s="7"/>
      <c r="D346" s="7"/>
      <c r="E346" s="32"/>
      <c r="F346" s="32"/>
      <c r="G346" s="7"/>
      <c r="H346" s="14"/>
      <c r="I346" s="14"/>
      <c r="J346" s="14"/>
      <c r="K346" s="14"/>
      <c r="L346" s="14"/>
      <c r="M346" s="7"/>
      <c r="N346" s="32"/>
      <c r="O346" s="32"/>
      <c r="P346" s="7"/>
      <c r="Q346" s="14"/>
      <c r="R346" s="7"/>
      <c r="S346" s="7"/>
      <c r="T346" s="4"/>
      <c r="U346" s="160"/>
    </row>
    <row r="347" spans="1:21">
      <c r="A347" s="7"/>
      <c r="B347" s="7"/>
      <c r="C347" s="7"/>
      <c r="D347" s="7"/>
      <c r="E347" s="32"/>
      <c r="F347" s="32"/>
      <c r="G347" s="7"/>
      <c r="H347" s="14"/>
      <c r="I347" s="14"/>
      <c r="J347" s="14"/>
      <c r="K347" s="14"/>
      <c r="L347" s="14"/>
      <c r="M347" s="7"/>
      <c r="N347" s="32"/>
      <c r="O347" s="32"/>
      <c r="P347" s="7"/>
      <c r="Q347" s="14"/>
      <c r="R347" s="7"/>
      <c r="S347" s="7"/>
      <c r="T347" s="4"/>
      <c r="U347" s="160"/>
    </row>
    <row r="348" spans="1:21">
      <c r="A348" s="7"/>
      <c r="B348" s="7"/>
      <c r="C348" s="7"/>
      <c r="D348" s="7"/>
      <c r="E348" s="32"/>
      <c r="F348" s="32"/>
      <c r="G348" s="7"/>
      <c r="H348" s="14"/>
      <c r="I348" s="14"/>
      <c r="J348" s="14"/>
      <c r="K348" s="14"/>
      <c r="L348" s="14"/>
      <c r="M348" s="7"/>
      <c r="N348" s="32"/>
      <c r="O348" s="32"/>
      <c r="P348" s="7"/>
      <c r="Q348" s="14"/>
      <c r="R348" s="7"/>
      <c r="S348" s="7"/>
      <c r="T348" s="4"/>
      <c r="U348" s="160"/>
    </row>
    <row r="349" spans="1:21">
      <c r="A349" s="7"/>
      <c r="B349" s="7"/>
      <c r="C349" s="7"/>
      <c r="D349" s="7"/>
      <c r="E349" s="32"/>
      <c r="F349" s="32"/>
      <c r="G349" s="7"/>
      <c r="H349" s="14"/>
      <c r="I349" s="14"/>
      <c r="J349" s="14"/>
      <c r="K349" s="14"/>
      <c r="L349" s="14"/>
      <c r="M349" s="7"/>
      <c r="N349" s="32"/>
      <c r="O349" s="32"/>
      <c r="P349" s="7"/>
      <c r="Q349" s="14"/>
      <c r="R349" s="7"/>
      <c r="S349" s="7"/>
      <c r="T349" s="4"/>
      <c r="U349" s="160"/>
    </row>
    <row r="350" spans="1:21">
      <c r="A350" s="7"/>
      <c r="B350" s="7"/>
      <c r="C350" s="7"/>
      <c r="D350" s="7"/>
      <c r="E350" s="32"/>
      <c r="F350" s="32"/>
      <c r="G350" s="7"/>
      <c r="H350" s="14"/>
      <c r="I350" s="14"/>
      <c r="J350" s="14"/>
      <c r="K350" s="14"/>
      <c r="L350" s="14"/>
      <c r="M350" s="7"/>
      <c r="N350" s="32"/>
      <c r="O350" s="32"/>
      <c r="P350" s="7"/>
      <c r="Q350" s="14"/>
      <c r="R350" s="7"/>
      <c r="S350" s="7"/>
      <c r="T350" s="4"/>
      <c r="U350" s="160"/>
    </row>
    <row r="351" spans="1:21">
      <c r="A351" s="7"/>
      <c r="B351" s="7"/>
      <c r="C351" s="7"/>
      <c r="D351" s="7"/>
      <c r="E351" s="32"/>
      <c r="F351" s="32"/>
      <c r="G351" s="7"/>
      <c r="H351" s="14"/>
      <c r="I351" s="14"/>
      <c r="J351" s="14"/>
      <c r="K351" s="14"/>
      <c r="L351" s="14"/>
      <c r="M351" s="7"/>
      <c r="N351" s="32"/>
      <c r="O351" s="32"/>
      <c r="P351" s="7"/>
      <c r="Q351" s="14"/>
      <c r="R351" s="7"/>
      <c r="S351" s="7"/>
      <c r="T351" s="4"/>
      <c r="U351" s="160"/>
    </row>
    <row r="352" spans="1:21">
      <c r="A352" s="7"/>
      <c r="B352" s="7"/>
      <c r="C352" s="7"/>
      <c r="D352" s="7"/>
      <c r="E352" s="32"/>
      <c r="F352" s="32"/>
      <c r="G352" s="7"/>
      <c r="H352" s="14"/>
      <c r="I352" s="14"/>
      <c r="J352" s="14"/>
      <c r="K352" s="14"/>
      <c r="L352" s="14"/>
      <c r="M352" s="7"/>
      <c r="N352" s="32"/>
      <c r="O352" s="32"/>
      <c r="P352" s="7"/>
      <c r="Q352" s="14"/>
      <c r="R352" s="7"/>
      <c r="S352" s="7"/>
      <c r="T352" s="4"/>
      <c r="U352" s="160"/>
    </row>
    <row r="353" spans="1:21">
      <c r="A353" s="7"/>
      <c r="B353" s="7"/>
      <c r="C353" s="7"/>
      <c r="D353" s="7"/>
      <c r="E353" s="32"/>
      <c r="F353" s="32"/>
      <c r="G353" s="7"/>
      <c r="H353" s="14"/>
      <c r="I353" s="14"/>
      <c r="J353" s="14"/>
      <c r="K353" s="14"/>
      <c r="L353" s="14"/>
      <c r="M353" s="7"/>
      <c r="N353" s="32"/>
      <c r="O353" s="32"/>
      <c r="P353" s="7"/>
      <c r="Q353" s="14"/>
      <c r="R353" s="7"/>
      <c r="S353" s="7"/>
      <c r="T353" s="4"/>
      <c r="U353" s="160"/>
    </row>
    <row r="354" spans="1:21">
      <c r="A354" s="7"/>
      <c r="B354" s="7"/>
      <c r="C354" s="7"/>
      <c r="D354" s="7"/>
      <c r="E354" s="32"/>
      <c r="F354" s="32"/>
      <c r="G354" s="7"/>
      <c r="H354" s="14"/>
      <c r="I354" s="14"/>
      <c r="J354" s="14"/>
      <c r="K354" s="14"/>
      <c r="L354" s="14"/>
      <c r="M354" s="7"/>
      <c r="N354" s="32"/>
      <c r="O354" s="32"/>
      <c r="P354" s="7"/>
      <c r="Q354" s="14"/>
      <c r="R354" s="7"/>
      <c r="S354" s="7"/>
      <c r="T354" s="4"/>
      <c r="U354" s="160"/>
    </row>
    <row r="355" spans="1:21">
      <c r="A355" s="7"/>
      <c r="B355" s="7"/>
      <c r="C355" s="7"/>
      <c r="D355" s="7"/>
      <c r="E355" s="32"/>
      <c r="F355" s="32"/>
      <c r="G355" s="7"/>
      <c r="H355" s="14"/>
      <c r="I355" s="14"/>
      <c r="J355" s="14"/>
      <c r="K355" s="14"/>
      <c r="L355" s="14"/>
      <c r="M355" s="7"/>
      <c r="N355" s="32"/>
      <c r="O355" s="32"/>
      <c r="P355" s="7"/>
      <c r="Q355" s="14"/>
      <c r="R355" s="7"/>
      <c r="S355" s="7"/>
      <c r="T355" s="4"/>
      <c r="U355" s="160"/>
    </row>
    <row r="356" spans="1:21">
      <c r="A356" s="7"/>
      <c r="B356" s="7"/>
      <c r="C356" s="7"/>
      <c r="D356" s="7"/>
      <c r="E356" s="32"/>
      <c r="F356" s="32"/>
      <c r="G356" s="7"/>
      <c r="H356" s="14"/>
      <c r="I356" s="14"/>
      <c r="J356" s="14"/>
      <c r="K356" s="14"/>
      <c r="L356" s="14"/>
      <c r="M356" s="7"/>
      <c r="N356" s="32"/>
      <c r="O356" s="32"/>
      <c r="P356" s="7"/>
      <c r="Q356" s="14"/>
      <c r="R356" s="7"/>
      <c r="S356" s="7"/>
      <c r="T356" s="4"/>
      <c r="U356" s="160"/>
    </row>
    <row r="357" spans="1:21">
      <c r="A357" s="7"/>
      <c r="B357" s="7"/>
      <c r="C357" s="7"/>
      <c r="D357" s="7"/>
      <c r="E357" s="32"/>
      <c r="F357" s="32"/>
      <c r="G357" s="7"/>
      <c r="H357" s="14"/>
      <c r="I357" s="14"/>
      <c r="J357" s="14"/>
      <c r="K357" s="14"/>
      <c r="L357" s="14"/>
      <c r="M357" s="7"/>
      <c r="N357" s="32"/>
      <c r="O357" s="32"/>
      <c r="P357" s="7"/>
      <c r="Q357" s="14"/>
      <c r="R357" s="7"/>
      <c r="S357" s="7"/>
      <c r="T357" s="4"/>
      <c r="U357" s="160"/>
    </row>
    <row r="358" spans="1:21">
      <c r="A358" s="7"/>
      <c r="B358" s="7"/>
      <c r="C358" s="7"/>
      <c r="D358" s="7"/>
      <c r="E358" s="32"/>
      <c r="F358" s="32"/>
      <c r="G358" s="7"/>
      <c r="H358" s="14"/>
      <c r="I358" s="14"/>
      <c r="J358" s="14"/>
      <c r="K358" s="14"/>
      <c r="L358" s="14"/>
      <c r="M358" s="7"/>
      <c r="N358" s="32"/>
      <c r="O358" s="32"/>
      <c r="P358" s="7"/>
      <c r="Q358" s="14"/>
      <c r="R358" s="7"/>
      <c r="S358" s="7"/>
      <c r="T358" s="4"/>
      <c r="U358" s="160"/>
    </row>
    <row r="359" spans="1:21">
      <c r="A359" s="7"/>
      <c r="B359" s="7"/>
      <c r="C359" s="7"/>
      <c r="D359" s="7"/>
      <c r="E359" s="32"/>
      <c r="F359" s="32"/>
      <c r="G359" s="7"/>
      <c r="H359" s="14"/>
      <c r="I359" s="14"/>
      <c r="J359" s="14"/>
      <c r="K359" s="14"/>
      <c r="L359" s="14"/>
      <c r="M359" s="7"/>
      <c r="N359" s="32"/>
      <c r="O359" s="32"/>
      <c r="P359" s="7"/>
      <c r="Q359" s="14"/>
      <c r="R359" s="7"/>
      <c r="S359" s="7"/>
      <c r="T359" s="4"/>
      <c r="U359" s="160"/>
    </row>
    <row r="360" spans="1:21">
      <c r="A360" s="7"/>
      <c r="B360" s="7"/>
      <c r="C360" s="7"/>
      <c r="D360" s="7"/>
      <c r="E360" s="32"/>
      <c r="F360" s="32"/>
      <c r="G360" s="7"/>
      <c r="H360" s="14"/>
      <c r="I360" s="14"/>
      <c r="J360" s="14"/>
      <c r="K360" s="14"/>
      <c r="L360" s="14"/>
      <c r="M360" s="7"/>
      <c r="N360" s="32"/>
      <c r="O360" s="32"/>
      <c r="P360" s="7"/>
      <c r="Q360" s="14"/>
      <c r="R360" s="7"/>
      <c r="S360" s="7"/>
      <c r="T360" s="4"/>
      <c r="U360" s="160"/>
    </row>
    <row r="361" spans="1:21">
      <c r="A361" s="7"/>
      <c r="B361" s="7"/>
      <c r="C361" s="7"/>
      <c r="D361" s="7"/>
      <c r="E361" s="32"/>
      <c r="F361" s="32"/>
      <c r="G361" s="7"/>
      <c r="H361" s="14"/>
      <c r="I361" s="14"/>
      <c r="J361" s="14"/>
      <c r="K361" s="14"/>
      <c r="L361" s="14"/>
      <c r="M361" s="7"/>
      <c r="N361" s="32"/>
      <c r="O361" s="32"/>
      <c r="P361" s="7"/>
      <c r="Q361" s="14"/>
      <c r="R361" s="7"/>
      <c r="S361" s="7"/>
      <c r="T361" s="4"/>
      <c r="U361" s="160"/>
    </row>
    <row r="362" spans="1:21">
      <c r="A362" s="7"/>
      <c r="B362" s="7"/>
      <c r="C362" s="7"/>
      <c r="D362" s="7"/>
      <c r="E362" s="32"/>
      <c r="F362" s="32"/>
      <c r="G362" s="7"/>
      <c r="H362" s="14"/>
      <c r="I362" s="14"/>
      <c r="J362" s="14"/>
      <c r="K362" s="14"/>
      <c r="L362" s="14"/>
      <c r="M362" s="7"/>
      <c r="N362" s="32"/>
      <c r="O362" s="32"/>
      <c r="P362" s="7"/>
      <c r="Q362" s="14"/>
      <c r="R362" s="7"/>
      <c r="S362" s="7"/>
      <c r="T362" s="4"/>
      <c r="U362" s="160"/>
    </row>
    <row r="363" spans="1:21">
      <c r="A363" s="7"/>
      <c r="B363" s="7"/>
      <c r="C363" s="7"/>
      <c r="D363" s="7"/>
      <c r="E363" s="32"/>
      <c r="F363" s="32"/>
      <c r="G363" s="7"/>
      <c r="H363" s="14"/>
      <c r="I363" s="14"/>
      <c r="J363" s="14"/>
      <c r="K363" s="14"/>
      <c r="L363" s="14"/>
      <c r="M363" s="7"/>
      <c r="N363" s="32"/>
      <c r="O363" s="32"/>
      <c r="P363" s="7"/>
      <c r="Q363" s="14"/>
      <c r="R363" s="7"/>
      <c r="S363" s="7"/>
      <c r="T363" s="4"/>
      <c r="U363" s="160"/>
    </row>
    <row r="364" spans="1:21">
      <c r="A364" s="7"/>
      <c r="B364" s="7"/>
      <c r="C364" s="7"/>
      <c r="D364" s="7"/>
      <c r="E364" s="32"/>
      <c r="F364" s="32"/>
      <c r="G364" s="7"/>
      <c r="H364" s="14"/>
      <c r="I364" s="14"/>
      <c r="J364" s="14"/>
      <c r="K364" s="14"/>
      <c r="L364" s="14"/>
      <c r="M364" s="7"/>
      <c r="N364" s="32"/>
      <c r="O364" s="32"/>
      <c r="P364" s="7"/>
      <c r="Q364" s="14"/>
      <c r="R364" s="7"/>
      <c r="S364" s="7"/>
      <c r="T364" s="4"/>
      <c r="U364" s="160"/>
    </row>
    <row r="365" spans="1:21">
      <c r="A365" s="7"/>
      <c r="B365" s="7"/>
      <c r="C365" s="7"/>
      <c r="D365" s="7"/>
      <c r="E365" s="32"/>
      <c r="F365" s="32"/>
      <c r="G365" s="7"/>
      <c r="H365" s="14"/>
      <c r="I365" s="14"/>
      <c r="J365" s="14"/>
      <c r="K365" s="14"/>
      <c r="L365" s="14"/>
      <c r="M365" s="7"/>
      <c r="N365" s="32"/>
      <c r="O365" s="32"/>
      <c r="P365" s="7"/>
      <c r="Q365" s="14"/>
      <c r="R365" s="7"/>
      <c r="S365" s="7"/>
      <c r="T365" s="4"/>
      <c r="U365" s="160"/>
    </row>
    <row r="366" spans="1:21">
      <c r="A366" s="7"/>
      <c r="B366" s="7"/>
      <c r="C366" s="7"/>
      <c r="D366" s="7"/>
      <c r="E366" s="32"/>
      <c r="F366" s="32"/>
      <c r="G366" s="7"/>
      <c r="H366" s="14"/>
      <c r="I366" s="14"/>
      <c r="J366" s="14"/>
      <c r="K366" s="14"/>
      <c r="L366" s="14"/>
      <c r="M366" s="7"/>
      <c r="N366" s="32"/>
      <c r="O366" s="32"/>
      <c r="P366" s="7"/>
      <c r="Q366" s="14"/>
      <c r="R366" s="7"/>
      <c r="S366" s="7"/>
      <c r="T366" s="4"/>
      <c r="U366" s="160"/>
    </row>
    <row r="367" spans="1:21">
      <c r="A367" s="7"/>
      <c r="B367" s="7"/>
      <c r="C367" s="7"/>
      <c r="D367" s="7"/>
      <c r="E367" s="32"/>
      <c r="F367" s="32"/>
      <c r="G367" s="7"/>
      <c r="H367" s="14"/>
      <c r="I367" s="14"/>
      <c r="J367" s="14"/>
      <c r="K367" s="14"/>
      <c r="L367" s="14"/>
      <c r="M367" s="7"/>
      <c r="N367" s="32"/>
      <c r="O367" s="32"/>
      <c r="P367" s="7"/>
      <c r="Q367" s="14"/>
      <c r="R367" s="7"/>
      <c r="S367" s="7"/>
      <c r="T367" s="4"/>
      <c r="U367" s="160"/>
    </row>
    <row r="368" spans="1:21">
      <c r="A368" s="7"/>
      <c r="B368" s="7"/>
      <c r="C368" s="7"/>
      <c r="D368" s="7"/>
      <c r="E368" s="32"/>
      <c r="F368" s="32"/>
      <c r="G368" s="7"/>
      <c r="H368" s="14"/>
      <c r="I368" s="14"/>
      <c r="J368" s="14"/>
      <c r="K368" s="14"/>
      <c r="L368" s="14"/>
      <c r="M368" s="7"/>
      <c r="N368" s="32"/>
      <c r="O368" s="32"/>
      <c r="P368" s="7"/>
      <c r="Q368" s="14"/>
      <c r="R368" s="7"/>
      <c r="S368" s="7"/>
      <c r="T368" s="4"/>
      <c r="U368" s="160"/>
    </row>
    <row r="369" spans="1:21">
      <c r="A369" s="7"/>
      <c r="B369" s="7"/>
      <c r="C369" s="7"/>
      <c r="D369" s="7"/>
      <c r="E369" s="32"/>
      <c r="F369" s="32"/>
      <c r="G369" s="7"/>
      <c r="H369" s="14"/>
      <c r="I369" s="14"/>
      <c r="J369" s="14"/>
      <c r="K369" s="14"/>
      <c r="L369" s="14"/>
      <c r="M369" s="7"/>
      <c r="N369" s="32"/>
      <c r="O369" s="32"/>
      <c r="P369" s="7"/>
      <c r="Q369" s="14"/>
      <c r="R369" s="7"/>
      <c r="S369" s="7"/>
      <c r="T369" s="4"/>
      <c r="U369" s="160"/>
    </row>
    <row r="370" spans="1:21">
      <c r="A370" s="7"/>
      <c r="B370" s="7"/>
      <c r="C370" s="7"/>
      <c r="D370" s="7"/>
      <c r="E370" s="32"/>
      <c r="F370" s="32"/>
      <c r="G370" s="7"/>
      <c r="H370" s="14"/>
      <c r="I370" s="14"/>
      <c r="J370" s="14"/>
      <c r="K370" s="14"/>
      <c r="L370" s="14"/>
      <c r="M370" s="7"/>
      <c r="N370" s="32"/>
      <c r="O370" s="32"/>
      <c r="P370" s="7"/>
      <c r="Q370" s="14"/>
      <c r="R370" s="7"/>
      <c r="S370" s="7"/>
      <c r="T370" s="4"/>
      <c r="U370" s="160"/>
    </row>
    <row r="371" spans="1:21">
      <c r="A371" s="7"/>
      <c r="B371" s="7"/>
      <c r="C371" s="7"/>
      <c r="D371" s="7"/>
      <c r="E371" s="32"/>
      <c r="F371" s="32"/>
      <c r="G371" s="7"/>
      <c r="H371" s="14"/>
      <c r="I371" s="14"/>
      <c r="J371" s="14"/>
      <c r="K371" s="14"/>
      <c r="L371" s="14"/>
      <c r="M371" s="7"/>
      <c r="N371" s="32"/>
      <c r="O371" s="32"/>
      <c r="P371" s="7"/>
      <c r="Q371" s="14"/>
      <c r="R371" s="7"/>
      <c r="S371" s="7"/>
      <c r="T371" s="4"/>
      <c r="U371" s="160"/>
    </row>
    <row r="372" spans="1:21">
      <c r="A372" s="7"/>
      <c r="B372" s="7"/>
      <c r="C372" s="7"/>
      <c r="D372" s="7"/>
      <c r="E372" s="32"/>
      <c r="F372" s="32"/>
      <c r="G372" s="7"/>
      <c r="H372" s="14"/>
      <c r="I372" s="14"/>
      <c r="J372" s="14"/>
      <c r="K372" s="14"/>
      <c r="L372" s="14"/>
      <c r="M372" s="7"/>
      <c r="N372" s="32"/>
      <c r="O372" s="32"/>
      <c r="P372" s="7"/>
      <c r="Q372" s="14"/>
      <c r="R372" s="7"/>
      <c r="S372" s="7"/>
      <c r="T372" s="4"/>
      <c r="U372" s="160"/>
    </row>
    <row r="373" spans="1:21">
      <c r="A373" s="7"/>
      <c r="B373" s="7"/>
      <c r="C373" s="7"/>
      <c r="D373" s="7"/>
      <c r="E373" s="32"/>
      <c r="F373" s="32"/>
      <c r="G373" s="7"/>
      <c r="H373" s="14"/>
      <c r="I373" s="14"/>
      <c r="J373" s="14"/>
      <c r="K373" s="14"/>
      <c r="L373" s="14"/>
      <c r="M373" s="7"/>
      <c r="N373" s="32"/>
      <c r="O373" s="32"/>
      <c r="P373" s="7"/>
      <c r="Q373" s="14"/>
      <c r="R373" s="7"/>
      <c r="S373" s="7"/>
      <c r="T373" s="4"/>
      <c r="U373" s="160"/>
    </row>
    <row r="374" spans="1:21">
      <c r="A374" s="7"/>
      <c r="B374" s="7"/>
      <c r="C374" s="7"/>
      <c r="D374" s="7"/>
      <c r="E374" s="32"/>
      <c r="F374" s="32"/>
      <c r="G374" s="7"/>
      <c r="H374" s="14"/>
      <c r="I374" s="14"/>
      <c r="J374" s="14"/>
      <c r="K374" s="14"/>
      <c r="L374" s="14"/>
      <c r="M374" s="7"/>
      <c r="N374" s="32"/>
      <c r="O374" s="32"/>
      <c r="P374" s="7"/>
      <c r="Q374" s="14"/>
      <c r="R374" s="7"/>
      <c r="S374" s="7"/>
      <c r="T374" s="4"/>
      <c r="U374" s="160"/>
    </row>
    <row r="375" spans="1:21">
      <c r="A375" s="7"/>
      <c r="B375" s="7"/>
      <c r="C375" s="7"/>
      <c r="D375" s="7"/>
      <c r="E375" s="32"/>
      <c r="F375" s="32"/>
      <c r="G375" s="7"/>
      <c r="H375" s="14"/>
      <c r="I375" s="14"/>
      <c r="J375" s="14"/>
      <c r="K375" s="14"/>
      <c r="L375" s="14"/>
      <c r="M375" s="7"/>
      <c r="N375" s="32"/>
      <c r="O375" s="32"/>
      <c r="P375" s="7"/>
      <c r="Q375" s="14"/>
      <c r="R375" s="7"/>
      <c r="S375" s="7"/>
      <c r="T375" s="4"/>
      <c r="U375" s="160"/>
    </row>
    <row r="376" spans="1:21">
      <c r="A376" s="7"/>
      <c r="B376" s="7"/>
      <c r="C376" s="7"/>
      <c r="D376" s="7"/>
      <c r="E376" s="32"/>
      <c r="F376" s="32"/>
      <c r="G376" s="7"/>
      <c r="H376" s="14"/>
      <c r="I376" s="14"/>
      <c r="J376" s="14"/>
      <c r="K376" s="14"/>
      <c r="L376" s="14"/>
      <c r="M376" s="7"/>
      <c r="N376" s="32"/>
      <c r="O376" s="32"/>
      <c r="P376" s="7"/>
      <c r="Q376" s="14"/>
      <c r="R376" s="7"/>
      <c r="S376" s="7"/>
      <c r="T376" s="4"/>
      <c r="U376" s="160"/>
    </row>
    <row r="377" spans="1:21">
      <c r="A377" s="7"/>
      <c r="B377" s="7"/>
      <c r="C377" s="7"/>
      <c r="D377" s="7"/>
      <c r="E377" s="32"/>
      <c r="F377" s="32"/>
      <c r="G377" s="7"/>
      <c r="H377" s="14"/>
      <c r="I377" s="14"/>
      <c r="J377" s="14"/>
      <c r="K377" s="14"/>
      <c r="L377" s="14"/>
      <c r="M377" s="7"/>
      <c r="N377" s="32"/>
      <c r="O377" s="32"/>
      <c r="P377" s="7"/>
      <c r="Q377" s="14"/>
      <c r="R377" s="7"/>
      <c r="S377" s="7"/>
      <c r="T377" s="4"/>
      <c r="U377" s="160"/>
    </row>
    <row r="378" spans="1:21">
      <c r="A378" s="7"/>
      <c r="B378" s="7"/>
      <c r="C378" s="7"/>
      <c r="D378" s="7"/>
      <c r="E378" s="32"/>
      <c r="F378" s="32"/>
      <c r="G378" s="7"/>
      <c r="H378" s="14"/>
      <c r="I378" s="14"/>
      <c r="J378" s="14"/>
      <c r="K378" s="14"/>
      <c r="L378" s="14"/>
      <c r="M378" s="7"/>
      <c r="N378" s="32"/>
      <c r="O378" s="32"/>
      <c r="P378" s="7"/>
      <c r="Q378" s="14"/>
      <c r="R378" s="7"/>
      <c r="S378" s="7"/>
      <c r="T378" s="4"/>
      <c r="U378" s="160"/>
    </row>
    <row r="379" spans="1:21">
      <c r="A379" s="7"/>
      <c r="B379" s="7"/>
      <c r="C379" s="7"/>
      <c r="D379" s="7"/>
      <c r="E379" s="32"/>
      <c r="F379" s="32"/>
      <c r="G379" s="7"/>
      <c r="H379" s="14"/>
      <c r="I379" s="14"/>
      <c r="J379" s="14"/>
      <c r="K379" s="14"/>
      <c r="L379" s="14"/>
      <c r="M379" s="7"/>
      <c r="N379" s="32"/>
      <c r="O379" s="32"/>
      <c r="P379" s="7"/>
      <c r="Q379" s="14"/>
      <c r="R379" s="7"/>
      <c r="S379" s="7"/>
      <c r="T379" s="4"/>
      <c r="U379" s="160"/>
    </row>
    <row r="380" spans="1:21">
      <c r="A380" s="7"/>
      <c r="B380" s="7"/>
      <c r="C380" s="7"/>
      <c r="D380" s="7"/>
      <c r="E380" s="32"/>
      <c r="F380" s="32"/>
      <c r="G380" s="7"/>
      <c r="H380" s="14"/>
      <c r="I380" s="14"/>
      <c r="J380" s="14"/>
      <c r="K380" s="14"/>
      <c r="L380" s="14"/>
      <c r="M380" s="7"/>
      <c r="N380" s="32"/>
      <c r="O380" s="32"/>
      <c r="P380" s="7"/>
      <c r="Q380" s="14"/>
      <c r="R380" s="7"/>
      <c r="S380" s="7"/>
      <c r="T380" s="4"/>
      <c r="U380" s="160"/>
    </row>
    <row r="381" spans="1:21">
      <c r="A381" s="7"/>
      <c r="B381" s="7"/>
      <c r="C381" s="7"/>
      <c r="D381" s="7"/>
      <c r="E381" s="32"/>
      <c r="F381" s="32"/>
      <c r="G381" s="7"/>
      <c r="H381" s="14"/>
      <c r="I381" s="14"/>
      <c r="J381" s="14"/>
      <c r="K381" s="14"/>
      <c r="L381" s="14"/>
      <c r="M381" s="7"/>
      <c r="N381" s="32"/>
      <c r="O381" s="32"/>
      <c r="P381" s="7"/>
      <c r="Q381" s="14"/>
      <c r="R381" s="7"/>
      <c r="S381" s="7"/>
      <c r="T381" s="4"/>
      <c r="U381" s="160"/>
    </row>
    <row r="382" spans="1:21">
      <c r="A382" s="7"/>
      <c r="B382" s="7"/>
      <c r="C382" s="7"/>
      <c r="D382" s="7"/>
      <c r="E382" s="32"/>
      <c r="F382" s="32"/>
      <c r="G382" s="7"/>
      <c r="H382" s="14"/>
      <c r="I382" s="14"/>
      <c r="J382" s="14"/>
      <c r="K382" s="14"/>
      <c r="L382" s="14"/>
      <c r="M382" s="7"/>
      <c r="N382" s="32"/>
      <c r="O382" s="32"/>
      <c r="P382" s="7"/>
      <c r="Q382" s="14"/>
      <c r="R382" s="7"/>
      <c r="S382" s="7"/>
      <c r="T382" s="4"/>
      <c r="U382" s="160"/>
    </row>
    <row r="383" spans="1:21">
      <c r="A383" s="7"/>
      <c r="B383" s="7"/>
      <c r="C383" s="7"/>
      <c r="D383" s="7"/>
      <c r="E383" s="32"/>
      <c r="F383" s="32"/>
      <c r="G383" s="7"/>
      <c r="H383" s="14"/>
      <c r="I383" s="14"/>
      <c r="J383" s="14"/>
      <c r="K383" s="14"/>
      <c r="L383" s="14"/>
      <c r="M383" s="7"/>
      <c r="N383" s="32"/>
      <c r="O383" s="32"/>
      <c r="P383" s="7"/>
      <c r="Q383" s="14"/>
      <c r="R383" s="7"/>
      <c r="S383" s="7"/>
      <c r="T383" s="4"/>
      <c r="U383" s="160"/>
    </row>
    <row r="384" spans="1:21">
      <c r="A384" s="7"/>
      <c r="B384" s="7"/>
      <c r="C384" s="7"/>
      <c r="D384" s="7"/>
      <c r="E384" s="32"/>
      <c r="F384" s="32"/>
      <c r="G384" s="7"/>
      <c r="H384" s="14"/>
      <c r="I384" s="14"/>
      <c r="J384" s="14"/>
      <c r="K384" s="14"/>
      <c r="L384" s="14"/>
      <c r="M384" s="7"/>
      <c r="N384" s="32"/>
      <c r="O384" s="32"/>
      <c r="P384" s="7"/>
      <c r="Q384" s="14"/>
      <c r="R384" s="7"/>
      <c r="S384" s="7"/>
      <c r="T384" s="4"/>
      <c r="U384" s="160"/>
    </row>
    <row r="385" spans="1:21">
      <c r="A385" s="7"/>
      <c r="B385" s="7"/>
      <c r="C385" s="7"/>
      <c r="D385" s="7"/>
      <c r="E385" s="32"/>
      <c r="F385" s="32"/>
      <c r="G385" s="7"/>
      <c r="H385" s="14"/>
      <c r="I385" s="14"/>
      <c r="J385" s="14"/>
      <c r="K385" s="14"/>
      <c r="L385" s="14"/>
      <c r="M385" s="7"/>
      <c r="N385" s="32"/>
      <c r="O385" s="32"/>
      <c r="P385" s="7"/>
      <c r="Q385" s="14"/>
      <c r="R385" s="7"/>
      <c r="S385" s="7"/>
      <c r="T385" s="4"/>
      <c r="U385" s="160"/>
    </row>
    <row r="386" spans="1:21">
      <c r="A386" s="7"/>
      <c r="B386" s="7"/>
      <c r="C386" s="7"/>
      <c r="D386" s="7"/>
      <c r="E386" s="32"/>
      <c r="F386" s="32"/>
      <c r="G386" s="7"/>
      <c r="H386" s="14"/>
      <c r="I386" s="14"/>
      <c r="J386" s="14"/>
      <c r="K386" s="14"/>
      <c r="L386" s="14"/>
      <c r="M386" s="7"/>
      <c r="N386" s="32"/>
      <c r="O386" s="32"/>
      <c r="P386" s="7"/>
      <c r="Q386" s="14"/>
      <c r="R386" s="7"/>
      <c r="S386" s="7"/>
      <c r="T386" s="4"/>
      <c r="U386" s="160"/>
    </row>
    <row r="387" spans="1:21">
      <c r="A387" s="7"/>
      <c r="B387" s="7"/>
      <c r="C387" s="7"/>
      <c r="D387" s="7"/>
      <c r="E387" s="32"/>
      <c r="F387" s="32"/>
      <c r="G387" s="7"/>
      <c r="H387" s="14"/>
      <c r="I387" s="14"/>
      <c r="J387" s="14"/>
      <c r="K387" s="14"/>
      <c r="L387" s="14"/>
      <c r="M387" s="7"/>
      <c r="N387" s="32"/>
      <c r="O387" s="32"/>
      <c r="P387" s="7"/>
      <c r="Q387" s="14"/>
      <c r="R387" s="7"/>
      <c r="S387" s="7"/>
      <c r="T387" s="4"/>
      <c r="U387" s="160"/>
    </row>
    <row r="388" spans="1:21">
      <c r="A388" s="7"/>
      <c r="B388" s="7"/>
      <c r="C388" s="7"/>
      <c r="D388" s="7"/>
      <c r="E388" s="32"/>
      <c r="F388" s="32"/>
      <c r="G388" s="7"/>
      <c r="H388" s="14"/>
      <c r="I388" s="14"/>
      <c r="J388" s="14"/>
      <c r="K388" s="14"/>
      <c r="L388" s="14"/>
      <c r="M388" s="7"/>
      <c r="N388" s="32"/>
      <c r="O388" s="32"/>
      <c r="P388" s="7"/>
      <c r="Q388" s="14"/>
      <c r="R388" s="7"/>
      <c r="S388" s="7"/>
      <c r="T388" s="4"/>
      <c r="U388" s="160"/>
    </row>
    <row r="389" spans="1:21">
      <c r="A389" s="7"/>
      <c r="B389" s="7"/>
      <c r="C389" s="7"/>
      <c r="D389" s="7"/>
      <c r="E389" s="32"/>
      <c r="F389" s="32"/>
      <c r="G389" s="7"/>
      <c r="H389" s="14"/>
      <c r="I389" s="14"/>
      <c r="J389" s="14"/>
      <c r="K389" s="14"/>
      <c r="L389" s="14"/>
      <c r="M389" s="7"/>
      <c r="N389" s="32"/>
      <c r="O389" s="32"/>
      <c r="P389" s="7"/>
      <c r="Q389" s="14"/>
      <c r="R389" s="7"/>
      <c r="S389" s="7"/>
      <c r="T389" s="4"/>
      <c r="U389" s="160"/>
    </row>
    <row r="390" spans="1:21">
      <c r="A390" s="7"/>
      <c r="B390" s="7"/>
      <c r="C390" s="7"/>
      <c r="D390" s="7"/>
      <c r="E390" s="32"/>
      <c r="F390" s="32"/>
      <c r="G390" s="7"/>
      <c r="H390" s="14"/>
      <c r="I390" s="14"/>
      <c r="J390" s="14"/>
      <c r="K390" s="14"/>
      <c r="L390" s="14"/>
      <c r="M390" s="7"/>
      <c r="N390" s="32"/>
      <c r="O390" s="32"/>
      <c r="P390" s="7"/>
      <c r="Q390" s="14"/>
      <c r="R390" s="7"/>
      <c r="S390" s="7"/>
      <c r="T390" s="4"/>
      <c r="U390" s="160"/>
    </row>
    <row r="391" spans="1:21">
      <c r="A391" s="7"/>
      <c r="B391" s="7"/>
      <c r="C391" s="7"/>
      <c r="D391" s="7"/>
      <c r="E391" s="32"/>
      <c r="F391" s="32"/>
      <c r="G391" s="7"/>
      <c r="H391" s="14"/>
      <c r="I391" s="14"/>
      <c r="J391" s="14"/>
      <c r="K391" s="14"/>
      <c r="L391" s="14"/>
      <c r="M391" s="7"/>
      <c r="N391" s="32"/>
      <c r="O391" s="32"/>
      <c r="P391" s="7"/>
      <c r="Q391" s="14"/>
      <c r="R391" s="7"/>
      <c r="S391" s="7"/>
      <c r="T391" s="4"/>
      <c r="U391" s="160"/>
    </row>
    <row r="392" spans="1:21">
      <c r="A392" s="7"/>
      <c r="B392" s="7"/>
      <c r="C392" s="7"/>
      <c r="D392" s="7"/>
      <c r="E392" s="32"/>
      <c r="F392" s="32"/>
      <c r="G392" s="7"/>
      <c r="H392" s="14"/>
      <c r="I392" s="14"/>
      <c r="J392" s="14"/>
      <c r="K392" s="14"/>
      <c r="L392" s="14"/>
      <c r="M392" s="7"/>
      <c r="N392" s="32"/>
      <c r="O392" s="32"/>
      <c r="P392" s="7"/>
      <c r="Q392" s="14"/>
      <c r="R392" s="7"/>
      <c r="S392" s="7"/>
      <c r="T392" s="4"/>
      <c r="U392" s="160"/>
    </row>
    <row r="393" spans="1:21">
      <c r="A393" s="7"/>
      <c r="B393" s="7"/>
      <c r="C393" s="7"/>
      <c r="D393" s="7"/>
      <c r="E393" s="32"/>
      <c r="F393" s="32"/>
      <c r="G393" s="7"/>
      <c r="H393" s="14"/>
      <c r="I393" s="14"/>
      <c r="J393" s="14"/>
      <c r="K393" s="14"/>
      <c r="L393" s="14"/>
      <c r="M393" s="7"/>
      <c r="N393" s="32"/>
      <c r="O393" s="32"/>
      <c r="P393" s="7"/>
      <c r="Q393" s="14"/>
      <c r="R393" s="7"/>
      <c r="S393" s="7"/>
      <c r="T393" s="4"/>
      <c r="U393" s="160"/>
    </row>
    <row r="394" spans="1:21">
      <c r="A394" s="7"/>
      <c r="B394" s="7"/>
      <c r="C394" s="7"/>
      <c r="D394" s="7"/>
      <c r="E394" s="32"/>
      <c r="F394" s="32"/>
      <c r="G394" s="7"/>
      <c r="H394" s="14"/>
      <c r="I394" s="14"/>
      <c r="J394" s="14"/>
      <c r="K394" s="14"/>
      <c r="L394" s="14"/>
      <c r="M394" s="7"/>
      <c r="N394" s="32"/>
      <c r="O394" s="32"/>
      <c r="P394" s="7"/>
      <c r="Q394" s="14"/>
      <c r="R394" s="7"/>
      <c r="S394" s="7"/>
      <c r="T394" s="4"/>
      <c r="U394" s="160"/>
    </row>
    <row r="395" spans="1:21">
      <c r="A395" s="7"/>
      <c r="B395" s="7"/>
      <c r="C395" s="7"/>
      <c r="D395" s="7"/>
      <c r="E395" s="32"/>
      <c r="F395" s="32"/>
      <c r="G395" s="7"/>
      <c r="H395" s="14"/>
      <c r="I395" s="14"/>
      <c r="J395" s="14"/>
      <c r="K395" s="14"/>
      <c r="L395" s="14"/>
      <c r="M395" s="7"/>
      <c r="N395" s="32"/>
      <c r="O395" s="32"/>
      <c r="P395" s="7"/>
      <c r="Q395" s="14"/>
      <c r="R395" s="7"/>
      <c r="S395" s="7"/>
      <c r="T395" s="4"/>
      <c r="U395" s="160"/>
    </row>
    <row r="396" spans="1:21">
      <c r="A396" s="7"/>
      <c r="B396" s="7"/>
      <c r="C396" s="7"/>
      <c r="D396" s="7"/>
      <c r="E396" s="32"/>
      <c r="F396" s="32"/>
      <c r="G396" s="7"/>
      <c r="H396" s="14"/>
      <c r="I396" s="14"/>
      <c r="J396" s="14"/>
      <c r="K396" s="14"/>
      <c r="L396" s="14"/>
      <c r="M396" s="7"/>
      <c r="N396" s="32"/>
      <c r="O396" s="32"/>
      <c r="P396" s="7"/>
      <c r="Q396" s="14"/>
      <c r="R396" s="7"/>
      <c r="S396" s="7"/>
      <c r="T396" s="4"/>
      <c r="U396" s="160"/>
    </row>
    <row r="397" spans="1:21">
      <c r="A397" s="7"/>
      <c r="B397" s="7"/>
      <c r="C397" s="7"/>
      <c r="D397" s="7"/>
      <c r="E397" s="32"/>
      <c r="F397" s="32"/>
      <c r="G397" s="7"/>
      <c r="H397" s="14"/>
      <c r="I397" s="14"/>
      <c r="J397" s="14"/>
      <c r="K397" s="14"/>
      <c r="L397" s="14"/>
      <c r="M397" s="7"/>
      <c r="N397" s="32"/>
      <c r="O397" s="32"/>
      <c r="P397" s="7"/>
      <c r="Q397" s="14"/>
      <c r="R397" s="7"/>
      <c r="S397" s="7"/>
      <c r="T397" s="4"/>
      <c r="U397" s="160"/>
    </row>
    <row r="398" spans="1:21">
      <c r="A398" s="7"/>
      <c r="B398" s="7"/>
      <c r="C398" s="7"/>
      <c r="D398" s="7"/>
      <c r="E398" s="32"/>
      <c r="F398" s="32"/>
      <c r="G398" s="7"/>
      <c r="H398" s="14"/>
      <c r="I398" s="14"/>
      <c r="J398" s="14"/>
      <c r="K398" s="14"/>
      <c r="L398" s="14"/>
      <c r="M398" s="7"/>
      <c r="N398" s="32"/>
      <c r="O398" s="32"/>
      <c r="P398" s="7"/>
      <c r="Q398" s="14"/>
      <c r="R398" s="7"/>
      <c r="S398" s="7"/>
      <c r="T398" s="4"/>
      <c r="U398" s="160"/>
    </row>
    <row r="399" spans="1:21">
      <c r="A399" s="7"/>
      <c r="B399" s="7"/>
      <c r="C399" s="7"/>
      <c r="D399" s="7"/>
      <c r="E399" s="32"/>
      <c r="F399" s="32"/>
      <c r="G399" s="7"/>
      <c r="H399" s="14"/>
      <c r="I399" s="14"/>
      <c r="J399" s="14"/>
      <c r="K399" s="14"/>
      <c r="L399" s="14"/>
      <c r="M399" s="7"/>
      <c r="N399" s="32"/>
      <c r="O399" s="32"/>
      <c r="P399" s="7"/>
      <c r="Q399" s="14"/>
      <c r="R399" s="7"/>
      <c r="S399" s="7"/>
      <c r="T399" s="4"/>
      <c r="U399" s="160"/>
    </row>
    <row r="400" spans="1:21">
      <c r="A400" s="7"/>
      <c r="B400" s="7"/>
      <c r="C400" s="7"/>
      <c r="D400" s="7"/>
      <c r="E400" s="32"/>
      <c r="F400" s="32"/>
      <c r="G400" s="7"/>
      <c r="H400" s="14"/>
      <c r="I400" s="14"/>
      <c r="J400" s="14"/>
      <c r="K400" s="14"/>
      <c r="L400" s="14"/>
      <c r="M400" s="7"/>
      <c r="N400" s="32"/>
      <c r="O400" s="32"/>
      <c r="P400" s="7"/>
      <c r="Q400" s="14"/>
      <c r="R400" s="7"/>
      <c r="S400" s="7"/>
      <c r="T400" s="4"/>
      <c r="U400" s="160"/>
    </row>
  </sheetData>
  <autoFilter ref="A1:U400" xr:uid="{0ADC6DD4-3CCC-49DE-B7EE-7BFE3ADD869D}"/>
  <dataValidations count="10">
    <dataValidation type="list" allowBlank="1" showInputMessage="1" showErrorMessage="1" sqref="P2:P11 P13 P218 P28:P41 P43:P52 P148 P166 P60 P62 P55:P58 P66 P101 P251 P197 P286 P143 P212 P278 P284 P290:P1048576 P108 P93 P153 P17:P26" xr:uid="{2C81459B-2745-4EFF-B184-2B8C8F714C17}">
      <formula1>"Fixed, In Progress, Need Discussion"</formula1>
    </dataValidation>
    <dataValidation allowBlank="1" showInputMessage="1" showErrorMessage="1" sqref="D1:D133 O2:O1048576 S257:T1048576 S1:T65 Q2:Q124 S146:T166 S168:T210 Q126:Q1048576 S212:S215 S67:T95 S99:S144 T118:T144 T99:T116 T212:T256 S217:S256 D135:D1048576" xr:uid="{58718FB3-B980-4017-84E9-126ABD10BA53}"/>
    <dataValidation type="list" allowBlank="1" showInputMessage="1" showErrorMessage="1" sqref="C2:C133 C135:C1048576" xr:uid="{7C65366E-9CF4-4627-A3CA-685F67A5E071}">
      <formula1>"P0, P1, P2, P3"</formula1>
    </dataValidation>
    <dataValidation type="list" allowBlank="1" showInputMessage="1" showErrorMessage="1" sqref="N2:N133 N136:N307 N310:N332 N334:N335 N337:N1048576" xr:uid="{CE072ACF-E6AA-47AC-BB2A-7BA74E333ACB}">
      <formula1>"Sampreet"</formula1>
    </dataValidation>
    <dataValidation type="list" allowBlank="1" showInputMessage="1" showErrorMessage="1" sqref="T2:T65 T146:T166 T118:T144 T168:T210 T99:T116 T67:T95 R146:R1048576 R99:R144 R2:R95 T212:T1048576" xr:uid="{7F9A265F-B668-4A05-8038-41A368E74CAD}">
      <formula1>"Open, Hold, Resolved, Reopened, Need Discussion"</formula1>
    </dataValidation>
    <dataValidation type="list" allowBlank="1" showInputMessage="1" showErrorMessage="1" sqref="P271:P274 P14:P16 P27 P42 P53:P54" xr:uid="{BD8E9FD6-16C7-4509-9E89-02E79ABC58AB}">
      <formula1>"FIxed, In-Progress, Need-Discussion, Rejected, Duplicate"</formula1>
    </dataValidation>
    <dataValidation type="list" allowBlank="1" showInputMessage="1" showErrorMessage="1" sqref="P275" xr:uid="{8A55C3DF-AD5C-47AF-A2D1-12D00325B45A}">
      <formula1>"Fixed, In Progress, Need Discussion, Rejected, Duplicate, Blocked"</formula1>
    </dataValidation>
    <dataValidation type="list" allowBlank="1" showInputMessage="1" showErrorMessage="1" sqref="P252:P270 P59 P63:P65 P12 P109:P142 P287:P289 P94:P100 P198:P211 P213:P217 P144:P147 P61 P276:P277 P279:P283 P285 P102:P107 P67:P92 P149:P152 P154:P165 P167:P196 P219:P250" xr:uid="{DE78C695-C33E-4C94-B24B-73058892BD8E}">
      <formula1>"Fixed, In-Progress, Need-Discussion, Duplicate, Rejected, Blocked"</formula1>
    </dataValidation>
    <dataValidation type="list" allowBlank="1" showInputMessage="1" showErrorMessage="1" sqref="F2:F1048576" xr:uid="{F20E7176-7A42-4867-B5B6-33864349FD47}">
      <formula1>"PVT, UAT, HTML/CSS"</formula1>
    </dataValidation>
    <dataValidation type="list" allowBlank="1" showInputMessage="1" showErrorMessage="1" sqref="U2:U1048576" xr:uid="{E907BFDC-1D7C-47D1-B52D-2CFDE63DB420}">
      <formula1>"Fixed, Pending, Reopen"</formula1>
    </dataValidation>
  </dataValidations>
  <hyperlinks>
    <hyperlink ref="K2" r:id="rId1" xr:uid="{4D17B5F7-DDAF-476F-9C40-E7796FA1AD53}"/>
    <hyperlink ref="K3" r:id="rId2" xr:uid="{5A3D779A-6984-44CE-B278-3429EEA1A161}"/>
    <hyperlink ref="K4" r:id="rId3" xr:uid="{D5F88CFF-291A-4CFA-84A2-A3181F23906E}"/>
    <hyperlink ref="K5" r:id="rId4" xr:uid="{57B5763C-47E1-49DC-B8DE-5832C3BCC7FA}"/>
    <hyperlink ref="K6" r:id="rId5" xr:uid="{1548ABAB-BDB2-433A-92D4-E29B0ACA2673}"/>
    <hyperlink ref="K7" r:id="rId6" xr:uid="{D2624E2C-0492-4B3E-9E70-C54D4303CA57}"/>
    <hyperlink ref="K8" r:id="rId7" xr:uid="{2A2DE8C6-72D2-4660-865D-ED1F2A7ABA4C}"/>
    <hyperlink ref="L8" r:id="rId8" xr:uid="{96C7CD61-C041-4040-BE41-939979D9DE82}"/>
    <hyperlink ref="L9" r:id="rId9" xr:uid="{9C79AE9F-427E-49E8-8F43-061005BD3FB8}"/>
    <hyperlink ref="K9" r:id="rId10" xr:uid="{7A55C416-D34A-42E9-9AD7-383E83ADC26D}"/>
    <hyperlink ref="L10" r:id="rId11" xr:uid="{EC658A63-95A0-4CC4-A7F4-D9A6DED8ED10}"/>
    <hyperlink ref="K10" r:id="rId12" xr:uid="{9765D1CE-7246-4A03-A5BC-FFE62CC80D53}"/>
    <hyperlink ref="L11" r:id="rId13" xr:uid="{F6C910DA-8577-4FBF-8530-4CB1E37F89BD}"/>
    <hyperlink ref="K11" r:id="rId14" xr:uid="{A3BBD6FC-C585-4265-AF36-F1819D3D0B28}"/>
    <hyperlink ref="L12" r:id="rId15" xr:uid="{88A87DAA-4C28-4343-8542-14CB35AD8EE2}"/>
    <hyperlink ref="K12" r:id="rId16" xr:uid="{37327F7D-893A-4E4B-9F5C-EB49C2B92424}"/>
    <hyperlink ref="K13" r:id="rId17" xr:uid="{E26B8DF5-8982-4528-A69A-0A9B37FFDC24}"/>
    <hyperlink ref="L13" r:id="rId18" xr:uid="{ACF7C5B0-8686-47A9-9C04-F97AE1B82882}"/>
    <hyperlink ref="K14" r:id="rId19" xr:uid="{1A24E7CB-383D-4B98-83C5-23627E0DFF6D}"/>
    <hyperlink ref="L14" r:id="rId20" xr:uid="{F1022381-18F2-472A-B090-20AE3F9D489C}"/>
    <hyperlink ref="K15" r:id="rId21" xr:uid="{2A253DC5-9600-4905-B420-AFB257F403BF}"/>
    <hyperlink ref="L15" r:id="rId22" xr:uid="{E7F91381-66EC-477D-BB82-4BDBFDA856A9}"/>
    <hyperlink ref="L16" r:id="rId23" xr:uid="{2CF1EB8E-5979-4A97-BE0C-C6035BEFCB29}"/>
    <hyperlink ref="K16" r:id="rId24" xr:uid="{24429F58-18AE-449C-8BAC-61DBCB892EC3}"/>
    <hyperlink ref="J17" r:id="rId25" display="https://www.loom.com/i/4c5e050eae824c2ca11016ec3b5c3746" xr:uid="{A7C4DD78-24C4-4B9B-95FD-F043D5713936}"/>
    <hyperlink ref="K17" r:id="rId26" xr:uid="{DB04DC81-338A-47A2-A5C7-7B62C51E652F}"/>
    <hyperlink ref="K18" r:id="rId27" xr:uid="{26FA1F63-7891-4E00-AD15-ABB5CE65B739}"/>
    <hyperlink ref="K19" r:id="rId28" xr:uid="{587349F4-E768-4D74-9444-63C039D67E2C}"/>
    <hyperlink ref="K20" r:id="rId29" xr:uid="{964B80E1-55D0-4AB3-B094-674E4342D435}"/>
    <hyperlink ref="K21" r:id="rId30" xr:uid="{A5ABFD99-B096-4A19-A327-45D7E303E86E}"/>
    <hyperlink ref="K22" r:id="rId31" xr:uid="{C9370803-6244-4947-8042-861782B7D6D2}"/>
    <hyperlink ref="K23" r:id="rId32" xr:uid="{FAEDBFB9-E1DF-4924-BE2B-3BB84F6D37DA}"/>
    <hyperlink ref="K24" r:id="rId33" xr:uid="{A64E7AEB-C8EF-4AD9-A117-DEA1ED97AE7E}"/>
    <hyperlink ref="K25" r:id="rId34" xr:uid="{DD761BAD-13AB-440C-BEA6-B106EE7867DB}"/>
    <hyperlink ref="K26" r:id="rId35" xr:uid="{3A08507F-BA8E-4E41-ADE3-5A29A492D3B3}"/>
    <hyperlink ref="K27" r:id="rId36" xr:uid="{D8AB4422-B722-4FD9-A755-92D88E486904}"/>
    <hyperlink ref="K28" r:id="rId37" xr:uid="{2CA47379-48A6-47FA-AC83-EBD7F1703175}"/>
    <hyperlink ref="K29" r:id="rId38" xr:uid="{942D8E13-C8D1-40D9-9367-C3E84224277F}"/>
    <hyperlink ref="K30" r:id="rId39" xr:uid="{9D673F84-B034-4C37-8197-B1126F4D5295}"/>
    <hyperlink ref="K31" r:id="rId40" xr:uid="{6DB38EC7-1989-4DB3-91FB-7EFCB0FDC1D5}"/>
    <hyperlink ref="K32" r:id="rId41" xr:uid="{531BB03B-F723-492E-881B-286EA1E18DE6}"/>
    <hyperlink ref="K33" r:id="rId42" xr:uid="{FC9A0930-EC65-4B31-97B0-56E9B8C71A22}"/>
    <hyperlink ref="K34" r:id="rId43" xr:uid="{0B92B2AA-C0E9-4141-BBF5-23B8DE8D637C}"/>
    <hyperlink ref="K35" r:id="rId44" xr:uid="{DB5AECA9-BC7D-4BF4-82BC-23FBD544D4C4}"/>
    <hyperlink ref="K36" r:id="rId45" xr:uid="{0AF2BDC9-AFEF-4D4F-9722-C15AD0A13582}"/>
    <hyperlink ref="K37" r:id="rId46" xr:uid="{9848FA7B-5D01-4FFD-9390-365534279029}"/>
    <hyperlink ref="K38" r:id="rId47" xr:uid="{E68686C7-FB60-4F05-9FE4-4E243694E126}"/>
    <hyperlink ref="L38" r:id="rId48" xr:uid="{1F272CD6-6E6E-45EB-B4C1-45B179630567}"/>
    <hyperlink ref="K39" r:id="rId49" xr:uid="{9DF07EF7-B2B4-4A18-B2E7-02209822AB95}"/>
    <hyperlink ref="K40" r:id="rId50" xr:uid="{A99CA0D8-9C52-44E5-8BEB-4E3D4D9B6907}"/>
    <hyperlink ref="K41" r:id="rId51" xr:uid="{F13595F3-5EF0-417F-A6EE-82C703C8D82C}"/>
    <hyperlink ref="K42" r:id="rId52" xr:uid="{8B102B2D-DE18-4051-803C-0532CE7C41A6}"/>
    <hyperlink ref="K43" r:id="rId53" xr:uid="{0C989D22-4225-4136-A5DB-6FD0E598CB56}"/>
    <hyperlink ref="K44" r:id="rId54" xr:uid="{5712408A-7050-4160-9704-3A0AD0C60223}"/>
    <hyperlink ref="K45" r:id="rId55" xr:uid="{78D2A3F3-7DF1-4768-BBBF-3DB13C1C0DA1}"/>
    <hyperlink ref="K46" r:id="rId56" xr:uid="{D4B74EED-4672-4499-8AFC-D4B767CE6A7F}"/>
    <hyperlink ref="K47" r:id="rId57" xr:uid="{3168D634-43CE-4C6D-8A57-62EEA2F73270}"/>
    <hyperlink ref="K48" r:id="rId58" xr:uid="{C93A9AE0-0C94-4C43-9B47-8CA05FB72715}"/>
    <hyperlink ref="K49" r:id="rId59" xr:uid="{9B43C571-96AC-4BAB-B710-28DCC3A7215E}"/>
    <hyperlink ref="K50" r:id="rId60" xr:uid="{B66AF1F6-F759-4A71-9FDD-3883CAA33545}"/>
    <hyperlink ref="K51" r:id="rId61" xr:uid="{9B639A00-FA29-4B39-AB7F-EF9FD084C76D}"/>
    <hyperlink ref="K52" r:id="rId62" xr:uid="{9E91EB6C-12C7-4FF9-9DEE-FFE0B54C2AA2}"/>
    <hyperlink ref="K53" r:id="rId63" xr:uid="{854D6E25-ACB0-4EC9-BDDB-3D0FB5B6694C}"/>
    <hyperlink ref="K54" r:id="rId64" xr:uid="{1D942623-AAF9-4A12-8205-7E4622CE61C1}"/>
    <hyperlink ref="K55" r:id="rId65" xr:uid="{CBEE54A3-9A68-4953-8585-BD3C8F36A5A6}"/>
    <hyperlink ref="K56" r:id="rId66" xr:uid="{0FB279FA-A2AB-428E-AE5D-0EA72C91D21C}"/>
    <hyperlink ref="K57" r:id="rId67" xr:uid="{C2B2DFBE-311E-4A48-BD13-533EB251F20D}"/>
    <hyperlink ref="L57" r:id="rId68" xr:uid="{8216A7F1-9D90-4291-8060-951A64D72DE1}"/>
    <hyperlink ref="K58" r:id="rId69" xr:uid="{6E58B2F6-E27B-41B8-BC30-1ED4C4585782}"/>
    <hyperlink ref="L58" r:id="rId70" xr:uid="{B2BC036B-CCD0-453D-96C4-53E1A341E659}"/>
    <hyperlink ref="K59" r:id="rId71" xr:uid="{34BB5FA4-1ED9-4C2F-A515-ED25FC34B74F}"/>
    <hyperlink ref="L59" r:id="rId72" xr:uid="{B8C8084F-EB5E-4D37-BE9C-19946CAE0D5B}"/>
    <hyperlink ref="K60" r:id="rId73" xr:uid="{F3471F9E-9E95-4DC7-83F1-CABD02231FE5}"/>
    <hyperlink ref="K61" r:id="rId74" xr:uid="{01352426-AE86-40C1-A84F-375EF609CFB6}"/>
    <hyperlink ref="K62" r:id="rId75" xr:uid="{ED4ECF06-109F-468B-8464-6127D002C6C1}"/>
    <hyperlink ref="K63" r:id="rId76" xr:uid="{F5CD0191-3E0B-4DE6-9140-D53B14C80DD4}"/>
    <hyperlink ref="K64" r:id="rId77" xr:uid="{0F6ECF21-5320-4067-83E0-57EBB92BBAC0}"/>
    <hyperlink ref="K65" r:id="rId78" xr:uid="{A6E26E16-F94F-4D2C-A56C-15E91F5EE6B7}"/>
    <hyperlink ref="K66" r:id="rId79" xr:uid="{D3C879ED-E0C0-4F2F-9251-507681AD0E6A}"/>
    <hyperlink ref="K67" r:id="rId80" xr:uid="{24949F5B-93C6-4F31-A656-758B5C8C5C7C}"/>
    <hyperlink ref="K68" r:id="rId81" xr:uid="{8CCFDE43-CB39-49AF-A30D-2027B8E288BE}"/>
    <hyperlink ref="K69" r:id="rId82" xr:uid="{D4CC4787-322B-4389-875A-D7C42BD355E5}"/>
    <hyperlink ref="K71" r:id="rId83" xr:uid="{73D027CC-F357-4AD9-9D3E-CB840F9953C8}"/>
    <hyperlink ref="K72" r:id="rId84" xr:uid="{A199CD4C-E025-4975-A13A-0CB47E7B185F}"/>
    <hyperlink ref="K73" r:id="rId85" xr:uid="{0774986B-CA98-482C-A3FF-D02D9910A9F7}"/>
    <hyperlink ref="K74" r:id="rId86" xr:uid="{E5D4CFBD-0CEA-47D1-B543-316E946193A4}"/>
    <hyperlink ref="K70" r:id="rId87" xr:uid="{758E923B-1A6A-42CC-8E4A-F2DC3B9867CE}"/>
    <hyperlink ref="L75" r:id="rId88" xr:uid="{AB4E30B5-BE40-4B1B-9847-7CD49F10A150}"/>
    <hyperlink ref="K75" r:id="rId89" xr:uid="{F29D9842-A114-476D-A3D5-941C4A7F1EAB}"/>
    <hyperlink ref="K76" r:id="rId90" xr:uid="{B25E0D02-9EA0-452A-BBCC-BA8AAB9EB3CE}"/>
    <hyperlink ref="K77" r:id="rId91" xr:uid="{D87C190A-DF07-47AA-9997-D7B09993FBFA}"/>
    <hyperlink ref="K78" r:id="rId92" xr:uid="{7DF85F31-3956-42AF-AA31-253C193D3BAB}"/>
    <hyperlink ref="K80" r:id="rId93" xr:uid="{EB5F30C0-6974-40B8-8B8A-B1C4A9C3F782}"/>
    <hyperlink ref="K79" r:id="rId94" xr:uid="{D88619E5-5F2E-4C1D-9028-8178D3EFBECC}"/>
    <hyperlink ref="K81" r:id="rId95" xr:uid="{E4A31100-028F-47CE-ABCC-D751D6EF1461}"/>
    <hyperlink ref="K82" r:id="rId96" xr:uid="{8DF4E549-F8D4-4E17-8A85-538884996132}"/>
    <hyperlink ref="K83" r:id="rId97" xr:uid="{A3156097-31B4-4ECC-B949-3FA9F5077F06}"/>
    <hyperlink ref="L83" r:id="rId98" xr:uid="{E41C345D-BB28-47A6-9F3C-99F906F792FD}"/>
    <hyperlink ref="K84" r:id="rId99" xr:uid="{F5C08CF4-1439-49EC-9BBD-6992B45B6646}"/>
    <hyperlink ref="K85" r:id="rId100" xr:uid="{E56366CD-B91F-4EBB-B0BB-51197EFF0D27}"/>
    <hyperlink ref="L85" r:id="rId101" xr:uid="{8BF9A688-D643-4126-BF26-F9367F9AE755}"/>
    <hyperlink ref="L86" r:id="rId102" xr:uid="{B58A18EC-B57C-4B87-B2E6-A1F6E70193A2}"/>
    <hyperlink ref="K86" r:id="rId103" xr:uid="{A5F2FA1B-679E-45C2-AE6D-6DDF2F5342B5}"/>
    <hyperlink ref="L87" r:id="rId104" xr:uid="{BAB4C540-FFB8-4098-AB9D-CD3C98BEBF6E}"/>
    <hyperlink ref="K87" r:id="rId105" xr:uid="{78781D31-7F95-4735-AAAF-6FE20387DAC1}"/>
    <hyperlink ref="L88" r:id="rId106" xr:uid="{386516A4-683B-4325-B371-35DBB93DAEF6}"/>
    <hyperlink ref="K88" r:id="rId107" xr:uid="{8700DCD7-DFB7-479C-8E72-E3BDAFA6A240}"/>
    <hyperlink ref="K89" r:id="rId108" xr:uid="{C7D0485B-9CD9-4FC7-B367-D0AC1F6DC447}"/>
    <hyperlink ref="K90" r:id="rId109" xr:uid="{220DB08F-48E6-4574-918D-8F662E67AE49}"/>
    <hyperlink ref="K91" r:id="rId110" xr:uid="{4B85644C-542C-4791-9168-B97EF319AC6B}"/>
    <hyperlink ref="L91" r:id="rId111" xr:uid="{B5E2D9BA-2EAE-43CF-A500-B1970AB51908}"/>
    <hyperlink ref="K92" r:id="rId112" xr:uid="{3DD0D9E7-37E0-4118-9629-0C853A747C09}"/>
    <hyperlink ref="L92" r:id="rId113" xr:uid="{8B731584-5898-45CA-939B-82CB5F2845BF}"/>
    <hyperlink ref="K93" r:id="rId114" xr:uid="{0C1764CC-C93A-4B95-9CF2-259D427ACF41}"/>
    <hyperlink ref="K94" r:id="rId115" xr:uid="{2A890461-BA65-4C43-8A0D-2D41642E8807}"/>
    <hyperlink ref="K95" r:id="rId116" xr:uid="{0826368E-E513-414D-844C-5E3551C5C921}"/>
    <hyperlink ref="K96" r:id="rId117" xr:uid="{A583B6C5-BEEB-425B-A9A8-489214D8515A}"/>
    <hyperlink ref="K97" r:id="rId118" xr:uid="{76BD13EE-7233-41EE-B5F9-D020F2C3DF27}"/>
    <hyperlink ref="K98" r:id="rId119" xr:uid="{4BA041DA-0E98-4FDB-9AB0-36400CE104FF}"/>
    <hyperlink ref="K99" r:id="rId120" xr:uid="{093694AC-DE77-4852-B48B-38CA6A8C6AB3}"/>
    <hyperlink ref="L99" r:id="rId121" xr:uid="{6BD77F79-4D28-4DAA-8005-B89EF868DDAD}"/>
    <hyperlink ref="K100" r:id="rId122" xr:uid="{9D952F77-9E01-4FF0-A99C-CCB20A95DE6A}"/>
    <hyperlink ref="K101" r:id="rId123" xr:uid="{A9707B16-B53E-4178-84B6-F39D02E00A12}"/>
    <hyperlink ref="K102" r:id="rId124" xr:uid="{C67AA84F-149E-45C4-95C8-7C9B3EB90C65}"/>
    <hyperlink ref="K103" r:id="rId125" xr:uid="{378036F3-AD57-42A2-9E97-2357698E0B6E}"/>
    <hyperlink ref="K104" r:id="rId126" xr:uid="{0762596E-61C9-4B70-9401-1D1A3E722DE5}"/>
    <hyperlink ref="K105" r:id="rId127" xr:uid="{2D195751-880E-4001-B744-2FDE53BA3A6C}"/>
    <hyperlink ref="K106" r:id="rId128" xr:uid="{F7F7C4D5-B13E-4D54-BDA6-35EA8812DD30}"/>
    <hyperlink ref="K107" r:id="rId129" xr:uid="{68C44596-59F2-435F-AED0-62A1B0B81F1E}"/>
    <hyperlink ref="K108" r:id="rId130" xr:uid="{9939BCF1-C805-4740-9A2D-E792511EE9A2}"/>
    <hyperlink ref="K109" r:id="rId131" xr:uid="{9A1F99EF-EDC6-4A6A-A212-4F7A60AE965E}"/>
    <hyperlink ref="K110" r:id="rId132" xr:uid="{40B6CBD9-C2F5-468D-92C9-5CE1E6780A2B}"/>
    <hyperlink ref="K111" r:id="rId133" xr:uid="{B34E33A2-4E5B-44F7-878B-B4BDD7D932E0}"/>
    <hyperlink ref="K112" r:id="rId134" xr:uid="{5E587BA3-B3D0-44ED-80D5-A2DDFF829F5C}"/>
    <hyperlink ref="K113" r:id="rId135" xr:uid="{69754AE1-5BBC-46EE-AC57-9E92AC15C2F0}"/>
    <hyperlink ref="K114" r:id="rId136" xr:uid="{E9EEF75C-2167-4870-9EFE-B58E668C1175}"/>
    <hyperlink ref="K115" r:id="rId137" xr:uid="{E7DF86EA-030C-4958-BEBA-FC79920FE333}"/>
    <hyperlink ref="K116" r:id="rId138" xr:uid="{E44BA5CB-5E0C-42CF-988E-3D606B5D1372}"/>
    <hyperlink ref="K117" r:id="rId139" xr:uid="{514454E4-E318-43AE-AD65-F7CC4462AC60}"/>
    <hyperlink ref="L117" r:id="rId140" xr:uid="{681F22F6-8980-4560-91E6-DE73DB8760E1}"/>
    <hyperlink ref="K118" r:id="rId141" xr:uid="{1A28E1B4-E106-4732-A880-BB9A4E2037B1}"/>
    <hyperlink ref="L118" r:id="rId142" xr:uid="{B96F661C-DD9B-4594-98DF-A4844E75BBA1}"/>
    <hyperlink ref="K120" r:id="rId143" xr:uid="{80C320D0-BE49-4F95-ADA9-4648D35638D8}"/>
    <hyperlink ref="K119" r:id="rId144" xr:uid="{B05A5548-FA0B-42B6-8B7E-9FAE2401E72C}"/>
    <hyperlink ref="K121" r:id="rId145" xr:uid="{BFCE078E-ECCB-4DDB-BD0C-284590AFA63A}"/>
    <hyperlink ref="L121" r:id="rId146" xr:uid="{21435277-0619-43A7-9C4E-DA3EC930595C}"/>
    <hyperlink ref="K122" r:id="rId147" xr:uid="{799A0B36-321D-4BF4-B012-8B917023FD7C}"/>
    <hyperlink ref="L122" r:id="rId148" xr:uid="{2392C6AD-5255-40A8-8715-76321C6E48D9}"/>
    <hyperlink ref="K123" r:id="rId149" xr:uid="{5574B0EA-1E59-4EDD-9624-0C3DF03E24BA}"/>
    <hyperlink ref="L123" r:id="rId150" xr:uid="{1D7ED7FC-3849-41E1-95D7-1D318FF13713}"/>
    <hyperlink ref="K124" r:id="rId151" xr:uid="{E5796155-C0B8-47DB-A676-D2A7988AA7C7}"/>
    <hyperlink ref="L124" r:id="rId152" xr:uid="{60FA0D1C-80E9-44E5-81C9-D7025E7E9100}"/>
    <hyperlink ref="K125" r:id="rId153" xr:uid="{AE654B89-5C5E-4534-AA74-BAFF2B2E2A54}"/>
    <hyperlink ref="L125" r:id="rId154" xr:uid="{53FAF1FD-C49A-48DA-8F6D-EC25311E03D2}"/>
    <hyperlink ref="K126" r:id="rId155" xr:uid="{07FBBCD3-7FB7-4AC4-B648-1056669ACCF4}"/>
    <hyperlink ref="K127" r:id="rId156" xr:uid="{FFB97587-7AB3-481F-9E19-8E98FF56C1C5}"/>
    <hyperlink ref="L127" r:id="rId157" xr:uid="{02FEF6E8-554E-4826-94C0-43A972E38173}"/>
    <hyperlink ref="K128" r:id="rId158" xr:uid="{79C99C4E-BE46-4F75-B61E-2A50140C09C0}"/>
    <hyperlink ref="K129" r:id="rId159" xr:uid="{529EC16F-5DC9-40A2-9E65-27F7179F45D5}"/>
    <hyperlink ref="K130" r:id="rId160" xr:uid="{D6DD6ED2-BDB3-404E-88C0-D0F2F69E6BEF}"/>
    <hyperlink ref="K131" r:id="rId161" xr:uid="{6C0262D9-5A31-488E-8B74-AD317A284A5F}"/>
    <hyperlink ref="K132" r:id="rId162" xr:uid="{777A7CD4-A86B-4876-A6F0-E4F59CD4A9B3}"/>
    <hyperlink ref="K133" r:id="rId163" xr:uid="{7E2CF45F-D086-4EEF-8DC9-2E686388B0EE}"/>
    <hyperlink ref="K134" r:id="rId164" xr:uid="{2659A0E9-646F-49C7-A198-59ABE0838A5F}"/>
    <hyperlink ref="K135" r:id="rId165" xr:uid="{D16F5861-946D-482B-BF8A-E2A508DF50D2}"/>
    <hyperlink ref="K136" r:id="rId166" xr:uid="{43B66001-7015-4EA2-A039-E9CD4C72E0CD}"/>
    <hyperlink ref="K137" r:id="rId167" xr:uid="{5142F54A-E5F6-424F-9393-1019CCCFA396}"/>
    <hyperlink ref="L137" r:id="rId168" xr:uid="{52BF6F9B-6F5E-43AC-9FF3-137747DA7A93}"/>
    <hyperlink ref="K138" r:id="rId169" xr:uid="{0CB7E636-D8DB-4B51-A52A-B0CC55E66B0B}"/>
    <hyperlink ref="K139" r:id="rId170" xr:uid="{CB1DA08C-42C7-4A87-9F9B-4CCA3CF88DCE}"/>
    <hyperlink ref="K140" r:id="rId171" xr:uid="{9D3B9AC5-E82A-49D6-94B2-E506E5B4977D}"/>
    <hyperlink ref="K141" r:id="rId172" xr:uid="{4FA56723-36BB-4B78-AE33-A47F2DB1BB1B}"/>
    <hyperlink ref="K142" r:id="rId173" xr:uid="{7AD72E37-ADB2-43BD-9F38-E44213BD9032}"/>
    <hyperlink ref="K143" r:id="rId174" xr:uid="{D85B2218-25C9-4E66-8218-3D849C4C9A41}"/>
    <hyperlink ref="K144" r:id="rId175" xr:uid="{52FAC04A-0A18-47CD-B609-50D691B8C271}"/>
    <hyperlink ref="K145" r:id="rId176" xr:uid="{594CFAD8-66B8-4A20-8AC3-E1A801DB2300}"/>
    <hyperlink ref="K146" r:id="rId177" xr:uid="{486B518B-8EE9-4B17-959E-99423846144F}"/>
    <hyperlink ref="K147" r:id="rId178" xr:uid="{7D5395D3-A76F-4A25-B875-F1EBE238B700}"/>
    <hyperlink ref="L148" r:id="rId179" xr:uid="{382354C0-AFB3-4117-9ABB-CB66F624A397}"/>
    <hyperlink ref="K148" r:id="rId180" xr:uid="{C15757D1-F3E8-4878-9DEC-C2A4239D9C5A}"/>
    <hyperlink ref="K149" r:id="rId181" xr:uid="{E5841CC1-0BB7-441D-803A-B49BF6EEB9BC}"/>
    <hyperlink ref="K150" r:id="rId182" xr:uid="{63FA39F0-1A26-4B3F-B7EE-06BDF546468A}"/>
    <hyperlink ref="K151" r:id="rId183" xr:uid="{961BE30C-0F6B-4C6E-A819-958FEBD02597}"/>
    <hyperlink ref="K152" r:id="rId184" xr:uid="{FD324EF9-70AE-452A-B145-5CAF30CFD713}"/>
    <hyperlink ref="L152" r:id="rId185" xr:uid="{FCC1BE1A-38E9-44BE-930E-264CBDD93591}"/>
    <hyperlink ref="K153" r:id="rId186" xr:uid="{43994B2B-F16A-4E66-8F03-C90108A2A89E}"/>
    <hyperlink ref="K154" r:id="rId187" xr:uid="{05AF5498-1267-4B7A-A018-A611F07D961A}"/>
    <hyperlink ref="K155" r:id="rId188" xr:uid="{C7CD19B5-E864-499D-B2E4-9928C633CDE6}"/>
    <hyperlink ref="K156" r:id="rId189" xr:uid="{8F58F8A7-3373-4FA8-AEB0-38CC6DC2A7E2}"/>
    <hyperlink ref="K158" r:id="rId190" xr:uid="{A1DDB65D-7202-45D3-89E4-051B8703A9D4}"/>
    <hyperlink ref="K157" r:id="rId191" xr:uid="{0A90FB6F-6D70-4611-BE99-57EF9CC99FCA}"/>
    <hyperlink ref="K159" r:id="rId192" xr:uid="{07F15112-1575-46DE-B3DC-BE21C6BA4CAF}"/>
    <hyperlink ref="K160" r:id="rId193" xr:uid="{536DF99A-998C-4DD3-9A12-1264BD616A7D}"/>
    <hyperlink ref="K161" r:id="rId194" xr:uid="{73A89D01-7793-48FC-8888-87AA205621CD}"/>
    <hyperlink ref="K162" r:id="rId195" xr:uid="{FE753017-E3EC-4D3D-BF04-E38C7CD25BAB}"/>
    <hyperlink ref="K163" r:id="rId196" xr:uid="{8296B62E-CA41-42D4-B7E7-3378EB919087}"/>
    <hyperlink ref="K164" r:id="rId197" xr:uid="{27C5040B-973F-4C73-8855-E6785DCFB16D}"/>
    <hyperlink ref="K165" r:id="rId198" xr:uid="{20451DA2-AD0A-4767-8B35-183F44B45080}"/>
    <hyperlink ref="K166" r:id="rId199" xr:uid="{E9C5F682-8FA8-4559-B359-7A1E41117CF6}"/>
    <hyperlink ref="K167" r:id="rId200" xr:uid="{F349C741-2B27-44E2-8434-0E724AE67534}"/>
    <hyperlink ref="K168" r:id="rId201" xr:uid="{2C3BA375-E860-4F6A-B5B9-C7A82BECCDA1}"/>
    <hyperlink ref="K169" r:id="rId202" xr:uid="{7FA7510D-9020-4285-9922-CB4854F61B1A}"/>
    <hyperlink ref="K170" r:id="rId203" xr:uid="{0CC0766F-D9E2-486B-B1E1-2305CF331E4A}"/>
    <hyperlink ref="K171" r:id="rId204" xr:uid="{4867E5F0-D4CD-4EB9-AEBA-856D83BD78B0}"/>
    <hyperlink ref="K172" r:id="rId205" xr:uid="{0D59C8D2-0A17-44C1-84AA-932D2041BC81}"/>
    <hyperlink ref="K173" r:id="rId206" xr:uid="{0B27441E-C54F-4208-8321-84DCAA5D8DC9}"/>
    <hyperlink ref="L173" r:id="rId207" xr:uid="{CFBF8286-9362-4F2B-8FCF-2AC2D23FF15D}"/>
    <hyperlink ref="K174" r:id="rId208" xr:uid="{8AEC2E25-59BD-4CF5-9A4B-709689671321}"/>
    <hyperlink ref="K175" r:id="rId209" xr:uid="{DCF86F58-B730-46CE-91E3-836809907F60}"/>
    <hyperlink ref="K176" r:id="rId210" xr:uid="{420D4FD6-1C7D-4A7E-A7B8-D7ABB52F3DD4}"/>
    <hyperlink ref="K177" r:id="rId211" xr:uid="{D4672E01-3A74-4018-9418-539E9176A518}"/>
    <hyperlink ref="K178" r:id="rId212" xr:uid="{EAFE8E90-DF08-4D0E-95FE-C1C0330FF23F}"/>
    <hyperlink ref="K179" r:id="rId213" xr:uid="{7044D5DE-5844-4682-A9BA-769D7DC037C6}"/>
    <hyperlink ref="J179" r:id="rId214" display="https://www.loom.com/i/9a9d5c5fe3d54b4490a17492fd653fb6" xr:uid="{6B9F3AB8-9E48-4A1D-B74F-7948BFBF9487}"/>
    <hyperlink ref="K180" r:id="rId215" xr:uid="{29C6D46E-C948-4C27-BA47-CC07D849B95E}"/>
    <hyperlink ref="K181" r:id="rId216" xr:uid="{E7557293-2CE2-4859-A509-C0509A8C3C7F}"/>
    <hyperlink ref="K182" r:id="rId217" xr:uid="{76D0694E-987F-4E9D-BA1F-10799FEFB93D}"/>
    <hyperlink ref="K183" r:id="rId218" xr:uid="{F335FF4A-38CC-4D85-BDE2-C5B542AFD92F}"/>
    <hyperlink ref="K184" r:id="rId219" xr:uid="{3395A260-5B7C-47B8-A0EB-7A6831A86B4C}"/>
    <hyperlink ref="K185" r:id="rId220" xr:uid="{48C06108-CD69-409E-B54A-5B4DDE594D66}"/>
    <hyperlink ref="K186" r:id="rId221" xr:uid="{1ACC5CC8-D911-4D19-814B-4E7187A18549}"/>
    <hyperlink ref="K187" r:id="rId222" xr:uid="{FD4E8635-2EB9-4011-BDAC-3D467C330F3A}"/>
    <hyperlink ref="K188" r:id="rId223" xr:uid="{CEA59E10-6C65-4710-812C-401130679746}"/>
    <hyperlink ref="K189" r:id="rId224" xr:uid="{AB8ADA5E-7A79-4912-A9D5-4F939BF102AE}"/>
    <hyperlink ref="K190" r:id="rId225" xr:uid="{B87CDFCB-7CBE-4CFC-8503-FAF9B14D9CD9}"/>
    <hyperlink ref="K191" r:id="rId226" xr:uid="{C7226B38-327C-45F4-AA4A-671C6FFE8FC8}"/>
    <hyperlink ref="K192" r:id="rId227" xr:uid="{B2435945-BF93-41FA-87EB-72C82ADD77DB}"/>
    <hyperlink ref="K193" r:id="rId228" xr:uid="{3520D2BC-80D1-47B1-B2E6-AE3863BEAB95}"/>
    <hyperlink ref="K194" r:id="rId229" xr:uid="{E58E064D-089C-4172-87D8-EC7123F2F97D}"/>
    <hyperlink ref="K195" r:id="rId230" xr:uid="{E239B09B-E815-4BD3-A003-1F49014E669E}"/>
    <hyperlink ref="K196" r:id="rId231" xr:uid="{091BD020-F1D0-405A-8222-0E29983BC937}"/>
    <hyperlink ref="K197" r:id="rId232" xr:uid="{067DA75D-FB77-453A-976F-4AB59CA333C5}"/>
    <hyperlink ref="K198" r:id="rId233" xr:uid="{F4203CA3-FD2D-4ABE-BC16-87A87F95923A}"/>
    <hyperlink ref="K199" r:id="rId234" xr:uid="{00037BC5-2647-408B-8EB4-E0867B8404C3}"/>
    <hyperlink ref="K200" r:id="rId235" xr:uid="{910E074D-9ED3-4A54-A0DC-461A5909A322}"/>
    <hyperlink ref="L200" r:id="rId236" xr:uid="{281A950C-34C8-49CF-AE95-AA4F692BFEB5}"/>
    <hyperlink ref="K201" r:id="rId237" xr:uid="{BC48F145-477E-4072-B9BE-B231D596A44A}"/>
    <hyperlink ref="K202" r:id="rId238" xr:uid="{8724022D-7AC2-45FE-AD9C-F0035ADBD0F1}"/>
    <hyperlink ref="K203" r:id="rId239" xr:uid="{A8B95A31-9C44-498C-A779-9EA7750F3B40}"/>
    <hyperlink ref="K204" r:id="rId240" xr:uid="{51AB41B5-DC34-4299-9B77-DF87A25715E7}"/>
    <hyperlink ref="K205" r:id="rId241" xr:uid="{31B99B5F-297C-4AB4-A569-1AB0845ACE2D}"/>
    <hyperlink ref="L205" r:id="rId242" xr:uid="{69BEC2DE-5ED0-426F-A05A-B716C47683CD}"/>
    <hyperlink ref="K206" r:id="rId243" xr:uid="{B2A09999-BCA1-49DF-A9C3-5F347731E4C9}"/>
    <hyperlink ref="K207" r:id="rId244" xr:uid="{623348DB-C97E-4ABE-AB2C-0DEFEE6FF5AD}"/>
    <hyperlink ref="K208" r:id="rId245" xr:uid="{321E62A1-B4E5-4E5A-9BDA-48C43EDCB137}"/>
    <hyperlink ref="K209" r:id="rId246" xr:uid="{B1452B35-5AA9-488C-8A6B-C48213A2819E}"/>
    <hyperlink ref="L209" r:id="rId247" xr:uid="{0F1CA40A-E65E-429C-8071-B1F6CDD24805}"/>
    <hyperlink ref="K210" r:id="rId248" xr:uid="{76B02C14-C5F8-45CA-A2B4-42780B309BAC}"/>
    <hyperlink ref="L210" r:id="rId249" xr:uid="{22E3B0A1-8D5E-4B4F-9D7E-0847CE1D2EBA}"/>
    <hyperlink ref="K211" r:id="rId250" xr:uid="{522C16CD-505B-47C1-8983-D96BFAB5E081}"/>
    <hyperlink ref="L211" r:id="rId251" xr:uid="{B07EFA96-0C6A-427B-91F4-02ED206CE323}"/>
    <hyperlink ref="K212" r:id="rId252" xr:uid="{51FC9136-65BA-4206-9683-61C88AE4F58B}"/>
    <hyperlink ref="K213" r:id="rId253" xr:uid="{18771953-F31E-4492-8A01-2E0FF198B233}"/>
    <hyperlink ref="K214" r:id="rId254" xr:uid="{13BDDD3A-7DA0-4BAF-AC34-E11F453FF573}"/>
    <hyperlink ref="K215" r:id="rId255" xr:uid="{2F76EE8B-5E85-4E52-9510-DB42B14406F4}"/>
    <hyperlink ref="L215" r:id="rId256" xr:uid="{DE245927-78A2-425B-AEC3-A7ACC619677B}"/>
    <hyperlink ref="K216" r:id="rId257" xr:uid="{B2D3918D-A722-4CD1-A15F-BAABA65D523A}"/>
    <hyperlink ref="L216" r:id="rId258" xr:uid="{7B51A342-99E2-4E97-BFAF-621A0F45F8DF}"/>
    <hyperlink ref="K217" r:id="rId259" xr:uid="{4B50C317-ED90-4DF4-8D22-176340F3ED11}"/>
    <hyperlink ref="L217" r:id="rId260" xr:uid="{86310235-0F74-4CEC-B222-C6037EBDB010}"/>
    <hyperlink ref="K218" r:id="rId261" xr:uid="{34BBD783-F77E-43F8-8958-8336ADBD0F12}"/>
    <hyperlink ref="L218" r:id="rId262" xr:uid="{950542E6-4487-428E-B32B-441A3B6A4F73}"/>
    <hyperlink ref="K219" r:id="rId263" xr:uid="{82D9C1FD-0D37-4E35-B606-2FFF81B39EED}"/>
    <hyperlink ref="K220" r:id="rId264" xr:uid="{D9D18483-A7A0-4345-AD0E-6DC05CC74C99}"/>
    <hyperlink ref="K221" r:id="rId265" xr:uid="{B4B78F1D-34DE-4A7E-AA21-8222DCA9B238}"/>
    <hyperlink ref="K222" r:id="rId266" xr:uid="{F6432760-5FCB-4A08-800D-9F5C4864F3A6}"/>
    <hyperlink ref="K223" r:id="rId267" xr:uid="{0CDF9929-12A4-405A-9236-10259110FF80}"/>
    <hyperlink ref="K224" r:id="rId268" xr:uid="{5FF86BE2-F1AC-40F8-A363-7613C586C076}"/>
    <hyperlink ref="K225" r:id="rId269" xr:uid="{DD67A9FE-FE20-4B8B-BB0F-8015659BE59C}"/>
    <hyperlink ref="K226" r:id="rId270" xr:uid="{52381E34-F68F-4B1A-B38E-74EAB67D465F}"/>
    <hyperlink ref="K227" r:id="rId271" xr:uid="{DBC44CA9-4BB4-4989-9B92-C0D13AC69040}"/>
    <hyperlink ref="L227" r:id="rId272" xr:uid="{C80BAF81-E8FA-4247-B37E-47AAD1B67F9A}"/>
    <hyperlink ref="K228" r:id="rId273" xr:uid="{7D0802A9-0D7F-463A-813F-B4E4511B4199}"/>
    <hyperlink ref="K229" r:id="rId274" xr:uid="{87FF2CB2-0E49-46B1-9154-62E99DD8EC62}"/>
    <hyperlink ref="K230" r:id="rId275" xr:uid="{C8026D65-9922-4C85-84EE-045D7DBE4DB9}"/>
    <hyperlink ref="K231" r:id="rId276" xr:uid="{468096E0-C5F8-4EF7-9B15-D9957CF69F07}"/>
    <hyperlink ref="K232" r:id="rId277" xr:uid="{886EFE16-49CB-47EB-8FE0-84A5F2567B27}"/>
    <hyperlink ref="K233" r:id="rId278" xr:uid="{F078C2CC-1847-42AF-81D5-578E43201B71}"/>
    <hyperlink ref="K234" r:id="rId279" xr:uid="{886DA6D5-AA62-4FB4-9B34-215515AE797F}"/>
    <hyperlink ref="K235" r:id="rId280" xr:uid="{D2704F1B-67A2-406D-A010-EBA43BD2178F}"/>
    <hyperlink ref="K236" r:id="rId281" xr:uid="{41F6AE24-E2F3-44E7-94BD-9F513341CCB4}"/>
    <hyperlink ref="K237" r:id="rId282" xr:uid="{DEEB05C2-8021-4E30-80C9-80F128C0C8A6}"/>
    <hyperlink ref="K238" r:id="rId283" xr:uid="{49267932-86FB-45BA-A6ED-3926394FEC91}"/>
    <hyperlink ref="K239" r:id="rId284" xr:uid="{18375573-D335-4418-A746-2452F4F95038}"/>
    <hyperlink ref="K240" r:id="rId285" xr:uid="{0D954908-7553-4BAE-A795-5F91DAD188DD}"/>
    <hyperlink ref="K241" r:id="rId286" xr:uid="{2FB25B59-DB1B-4827-BA72-DF847B7535F2}"/>
    <hyperlink ref="K242" r:id="rId287" xr:uid="{1430B04D-3F8F-42D0-A06A-186F828F933B}"/>
    <hyperlink ref="K243" r:id="rId288" xr:uid="{6B852597-45F3-4924-8782-848E3E7C1224}"/>
    <hyperlink ref="K244" r:id="rId289" xr:uid="{BF151725-5399-49ED-95D5-0AA27E158F16}"/>
    <hyperlink ref="K245" r:id="rId290" xr:uid="{9BEAEAFB-11D6-46C7-8110-34DF37428A26}"/>
    <hyperlink ref="K246" r:id="rId291" xr:uid="{023154AB-208E-48E6-8B8F-11BF5544D27C}"/>
    <hyperlink ref="K247" r:id="rId292" xr:uid="{29C996D3-FB74-4222-BAA1-E14BA9DED3DF}"/>
    <hyperlink ref="K248" r:id="rId293" xr:uid="{B790ACD7-FFC3-4827-A254-FCE0DE981801}"/>
    <hyperlink ref="K249" r:id="rId294" xr:uid="{3FA41543-5916-4CA3-A12A-29DDB7DEE9AE}"/>
    <hyperlink ref="K250" r:id="rId295" xr:uid="{2047564C-D211-49F3-92B3-AFD7A514B088}"/>
    <hyperlink ref="L250" r:id="rId296" xr:uid="{23FAD93D-7C24-4249-8DDF-CE499E4E298A}"/>
    <hyperlink ref="K251" r:id="rId297" xr:uid="{85CF46EA-B843-4810-B9FD-3FF050C0C0D6}"/>
    <hyperlink ref="K252" r:id="rId298" xr:uid="{C4E70535-FD96-4D99-91AC-FF7FAB1C255F}"/>
    <hyperlink ref="K253" r:id="rId299" xr:uid="{9FF70A2D-D40F-43CC-9F3E-EF006AB4E4EC}"/>
    <hyperlink ref="K254" r:id="rId300" xr:uid="{3DD064C7-3316-4587-9E9C-7B5A0E6A728D}"/>
    <hyperlink ref="L254" r:id="rId301" xr:uid="{F3503C54-29F3-48CD-BEF3-16FA0CB5F864}"/>
    <hyperlink ref="K255" r:id="rId302" xr:uid="{EBD02A98-9100-43C8-A6CE-F5901F9354F4}"/>
    <hyperlink ref="L255" r:id="rId303" xr:uid="{FF41ED43-27D2-4178-9486-250E9FD27344}"/>
    <hyperlink ref="K256" r:id="rId304" xr:uid="{975812EC-181D-46A6-BC0E-6A53E581ACC7}"/>
    <hyperlink ref="L256" r:id="rId305" xr:uid="{B519978B-B957-4527-8FB5-C5F72DAA6A24}"/>
    <hyperlink ref="K257" r:id="rId306" xr:uid="{811CFE77-B158-4BEF-8F84-DE548DD53DEF}"/>
    <hyperlink ref="T227" r:id="rId307" display="https://loom.com/i/c3d460a4f52a4c148b592bb8ccae0a06" xr:uid="{4D4DCD40-F370-416F-9F69-9BF58905F578}"/>
    <hyperlink ref="H155" r:id="rId308" xr:uid="{35C5BCE0-0DA8-49EE-8B31-1018D4E3224E}"/>
    <hyperlink ref="H141" r:id="rId309" xr:uid="{4A332C4D-3A70-484C-B0B9-8EE7EBA4D4CC}"/>
    <hyperlink ref="H14" r:id="rId310" xr:uid="{0A64A740-6C0F-4A3C-9FF9-26066A820737}"/>
    <hyperlink ref="H4" r:id="rId311" xr:uid="{6CA1165C-11F1-4D94-9B90-268A1B7A60C4}"/>
    <hyperlink ref="H16" r:id="rId312" xr:uid="{9A702570-1E60-4D70-BBBA-28AB9FF41560}"/>
    <hyperlink ref="H15" r:id="rId313" xr:uid="{10176EE8-0773-48FB-B41B-BFD4F261BF87}"/>
    <hyperlink ref="H251" r:id="rId314" xr:uid="{B4E51A7D-C7A2-43B5-B4E2-6F130B30A603}"/>
    <hyperlink ref="H8" r:id="rId315" xr:uid="{E4F376B8-36CA-4F72-981A-241CEC81A629}"/>
    <hyperlink ref="H92" r:id="rId316" xr:uid="{DB1BC51F-2F68-4DCB-8457-695BB1A532D2}"/>
    <hyperlink ref="H52" r:id="rId317" xr:uid="{025A62D9-089F-4CB8-9495-9CDB83BF5D13}"/>
    <hyperlink ref="H117" r:id="rId318" xr:uid="{7DD852B9-14D5-478A-973C-5BC4CA16C6A2}"/>
    <hyperlink ref="H37" r:id="rId319" xr:uid="{647223BD-4C51-42EF-B4F5-D5C3C9D9D93A}"/>
    <hyperlink ref="H27" r:id="rId320" xr:uid="{6D6643B5-3206-474C-9DEC-2C54B621C526}"/>
    <hyperlink ref="H28:H36" r:id="rId321" display="Tata Neu Infinity SBI Card" xr:uid="{C99CC8AB-7E35-4BD8-831B-D59434CE2330}"/>
    <hyperlink ref="H12" r:id="rId322" xr:uid="{E201C7F3-42E7-4CA3-B5D3-8CACDC296AEA}"/>
    <hyperlink ref="K258" r:id="rId323" xr:uid="{BA3F5781-060D-4951-B7F8-F81CEF1A77A2}"/>
    <hyperlink ref="H258" r:id="rId324" xr:uid="{EEDA1D76-0984-46DC-A574-5CE0E0DFAD3B}"/>
    <hyperlink ref="K259" r:id="rId325" xr:uid="{3E59823C-93C7-4FD6-AD9A-A2526843707B}"/>
    <hyperlink ref="H259" r:id="rId326" xr:uid="{9668B627-60A2-4042-A4EF-DE815316C1B0}"/>
    <hyperlink ref="K260" r:id="rId327" xr:uid="{942EEB36-2500-4869-ACDC-0B6ADBCAAD8B}"/>
    <hyperlink ref="H260" r:id="rId328" xr:uid="{DF2A40DF-2BEF-4E61-857E-BEDFCFA761E6}"/>
    <hyperlink ref="K261" r:id="rId329" xr:uid="{727ED36F-3411-467F-B4E2-D94D9A7C76E1}"/>
    <hyperlink ref="H261" r:id="rId330" xr:uid="{865238BF-E581-41B3-A82A-38D1B12660D5}"/>
    <hyperlink ref="L261" r:id="rId331" xr:uid="{5919AE85-5941-4118-B61C-047592779FDB}"/>
    <hyperlink ref="H262" r:id="rId332" xr:uid="{041EC0C0-8E4E-4D2C-A53A-51AD5A5B4099}"/>
    <hyperlink ref="K262" r:id="rId333" xr:uid="{2B719B5C-B11D-4652-BF5D-291BD14999D1}"/>
    <hyperlink ref="K263" r:id="rId334" xr:uid="{09EA5A7A-A3EA-427D-994B-8C43BCBD1141}"/>
    <hyperlink ref="H263" r:id="rId335" xr:uid="{2067586A-FDC8-4FED-BC12-2FF28A2CCD03}"/>
    <hyperlink ref="K264" r:id="rId336" xr:uid="{63E4D271-DF8F-4ABF-A18A-7E43103646EF}"/>
    <hyperlink ref="L264" r:id="rId337" xr:uid="{89253F32-6BE1-4DC7-830A-73E9096ADF4A}"/>
    <hyperlink ref="H264" r:id="rId338" xr:uid="{3F7868AF-0812-41D9-9A69-4DD006BF7737}"/>
    <hyperlink ref="K265" r:id="rId339" xr:uid="{2921FCA4-1A3C-43DC-A519-19FF2E43C425}"/>
    <hyperlink ref="H265" r:id="rId340" xr:uid="{0923FB27-1157-4C41-93B4-7971B265E544}"/>
    <hyperlink ref="K266" r:id="rId341" xr:uid="{B4BE761B-7357-4BE8-B61B-1429B46E3C55}"/>
    <hyperlink ref="H266" r:id="rId342" xr:uid="{938C9ADB-40D9-431C-A4E6-D4377ADF14DC}"/>
    <hyperlink ref="K267" r:id="rId343" xr:uid="{5385EFC5-6650-4F1E-8FB0-393B4AE989A9}"/>
    <hyperlink ref="H267" r:id="rId344" xr:uid="{DB22616B-9923-4C01-902E-589A704FBD7E}"/>
    <hyperlink ref="K268" r:id="rId345" xr:uid="{27199EE3-E3B7-4A57-9DF3-E104DCCDE022}"/>
    <hyperlink ref="H268" r:id="rId346" xr:uid="{B0692BB5-DF15-46AE-B409-BF2AF66A23ED}"/>
    <hyperlink ref="K269" r:id="rId347" xr:uid="{64925557-E7F1-407C-B328-E33E96D91DB6}"/>
    <hyperlink ref="K270" r:id="rId348" xr:uid="{7AB65DEC-03E9-4EBD-8835-E20C150ECFE0}"/>
    <hyperlink ref="L270" r:id="rId349" xr:uid="{6171F194-C378-42E0-811D-208B7EB51E94}"/>
    <hyperlink ref="K271" r:id="rId350" xr:uid="{4CA06D3D-E16E-4D02-B0FC-DFEA3F7BB7B9}"/>
    <hyperlink ref="H271" r:id="rId351" xr:uid="{211EBF01-5D7B-4943-B779-148BE623A862}"/>
    <hyperlink ref="K272" r:id="rId352" xr:uid="{F086E730-4024-48EA-8714-0A80D310C53E}"/>
    <hyperlink ref="H272" r:id="rId353" xr:uid="{B7564A1A-D929-4879-8771-560D9A41D45A}"/>
    <hyperlink ref="K273" r:id="rId354" xr:uid="{0BFFE522-CCC9-40A3-9532-F945E01738FA}"/>
    <hyperlink ref="H273" r:id="rId355" xr:uid="{9475F556-075A-447A-A7D2-D395E1EADEE5}"/>
    <hyperlink ref="H274" r:id="rId356" xr:uid="{B8E3479D-5384-4509-8479-6298DB5C66D1}"/>
    <hyperlink ref="K274" r:id="rId357" xr:uid="{CB887E4A-6F82-4B84-B9EF-1CF92C7E3C34}"/>
    <hyperlink ref="K275" r:id="rId358" xr:uid="{653C24A5-177A-448B-8F6B-77A0C3436008}"/>
    <hyperlink ref="K276" r:id="rId359" xr:uid="{0D958B97-0949-4F75-8244-6145BE39FD99}"/>
    <hyperlink ref="H276" r:id="rId360" xr:uid="{E29DED96-6E57-4D96-986C-D29539636050}"/>
    <hyperlink ref="K277" r:id="rId361" xr:uid="{AB4DC7A0-987B-4CB1-AD0B-9863C24C271D}"/>
    <hyperlink ref="H277" r:id="rId362" xr:uid="{CB3FA04D-DF66-45F6-AC26-33F43A31B64D}"/>
    <hyperlink ref="K278" r:id="rId363" xr:uid="{756FED68-BA20-4B1F-9811-AAA810FECEC7}"/>
    <hyperlink ref="K279" r:id="rId364" xr:uid="{80E6EEAF-D90A-4396-A538-8B99995AB950}"/>
    <hyperlink ref="H279" r:id="rId365" xr:uid="{7428B2E6-46AF-4C26-BBEF-D77576DA9315}"/>
    <hyperlink ref="K280" r:id="rId366" xr:uid="{4FCBFCC1-B31F-49D0-A123-A63FFE494DEA}"/>
    <hyperlink ref="H280" r:id="rId367" xr:uid="{D974D2FD-2312-447A-8255-CDC91093174F}"/>
    <hyperlink ref="K281" r:id="rId368" xr:uid="{54F86088-B675-43FE-B0F0-9208B9628FBB}"/>
    <hyperlink ref="H281" r:id="rId369" xr:uid="{C0D37253-7A17-4E3C-BDF4-CFA736C7CEC1}"/>
    <hyperlink ref="K282" r:id="rId370" xr:uid="{B015E702-626B-45F0-B30D-0FE60C7BA3AE}"/>
    <hyperlink ref="H282" r:id="rId371" xr:uid="{9D327894-7A2E-43CA-B685-FED7E450D78F}"/>
    <hyperlink ref="K283" r:id="rId372" xr:uid="{80466456-EE3C-407C-8311-B8466BD30A00}"/>
    <hyperlink ref="H283" r:id="rId373" xr:uid="{C16E86F7-5BC8-47C6-9887-BBAFAFC62EEA}"/>
    <hyperlink ref="L284" r:id="rId374" xr:uid="{DBB86926-E678-4CF3-B8AC-957B98A18288}"/>
    <hyperlink ref="K284" r:id="rId375" xr:uid="{4D2FC2C0-03C5-4D13-9329-49F2751B0284}"/>
    <hyperlink ref="K285" r:id="rId376" xr:uid="{AB244397-90B7-4A82-9159-76B1186C1EFB}"/>
    <hyperlink ref="H285" r:id="rId377" xr:uid="{AB0545C6-42D1-4DB5-B4BC-3B172454EB9F}"/>
    <hyperlink ref="K286" r:id="rId378" xr:uid="{3E89F65C-F2DB-46E9-B904-60812E6844A3}"/>
    <hyperlink ref="L286" r:id="rId379" xr:uid="{5B5E0A8F-40C2-46EE-9902-713F46ACBD14}"/>
    <hyperlink ref="K287" r:id="rId380" xr:uid="{2668C492-F30D-4A07-9220-AE089412FEB1}"/>
    <hyperlink ref="H287" r:id="rId381" xr:uid="{CEE845DD-0574-40F2-92B5-1B5A359DC136}"/>
    <hyperlink ref="K289" r:id="rId382" xr:uid="{EBE43CDC-0BDB-4023-8225-D84C9EFF7EC0}"/>
    <hyperlink ref="K288" r:id="rId383" xr:uid="{9DB7DDEA-1B4E-489F-8445-4F8592543E74}"/>
    <hyperlink ref="K290" r:id="rId384" xr:uid="{9A77E35E-A642-4672-A905-38FD675B459A}"/>
    <hyperlink ref="K291" r:id="rId385" xr:uid="{9BE131B2-5564-4062-BEE7-F52803F658DD}"/>
    <hyperlink ref="H156:H180" r:id="rId386" display="Doctor's SBI Card" xr:uid="{6A903102-C967-42D5-960C-61F0946D030E}"/>
    <hyperlink ref="H240" r:id="rId387" xr:uid="{1BBA765B-3F26-4D20-B1DE-34C743BC4FEF}"/>
    <hyperlink ref="H246" r:id="rId388" xr:uid="{3D45E33B-B3E9-4E29-8441-2E54B081BFB3}"/>
    <hyperlink ref="H142:H154" r:id="rId389" display="Doctor's SBI Card (In Association with IMA)" xr:uid="{CCA1A771-01D5-444F-A22E-13912B107772}"/>
    <hyperlink ref="H181:H182" r:id="rId390" display="Doctor's SBI Card (In Association with IMA)" xr:uid="{1C1788CA-AE97-4C8D-9956-113FC20522BC}"/>
    <hyperlink ref="H239" r:id="rId391" xr:uid="{D2AEB603-0CCB-4CB3-B39B-7A09C6325F7E}"/>
    <hyperlink ref="H183:H194" r:id="rId392" display="Flipkart SBI Card" xr:uid="{6B6E1FCB-8367-473C-AE8C-F6D0E1DACBC9}"/>
    <hyperlink ref="H241" r:id="rId393" xr:uid="{801A3F97-8C76-4D22-AE86-AAE13323F9C1}"/>
    <hyperlink ref="H18" r:id="rId394" xr:uid="{424C70F4-2FA2-44C5-B6C8-F7F27556484A}"/>
    <hyperlink ref="H269" r:id="rId395" xr:uid="{F4479620-E364-4EF0-AA6F-05DB7947E8FE}"/>
    <hyperlink ref="H284" r:id="rId396" xr:uid="{02F2A7E2-A90D-4358-8190-C870FA01CCBA}"/>
    <hyperlink ref="H247" r:id="rId397" xr:uid="{06955200-E2C3-4009-A042-9B2B71F2ED2A}"/>
    <hyperlink ref="H208:H233" r:id="rId398" display="PhonePe SBI Card Select Black" xr:uid="{B57106C7-F903-47D6-8F6B-F5C4F2A7E861}"/>
    <hyperlink ref="H248" r:id="rId399" xr:uid="{8C4D45ED-4778-41E7-BDB8-5D59B73D5EEB}"/>
    <hyperlink ref="H252:H257" r:id="rId400" display="SBI Card Cashback" xr:uid="{245F573E-2ACF-4F12-8FD3-D79EDBD2F797}"/>
    <hyperlink ref="H9:H11" r:id="rId401" display="SBI Card Elite" xr:uid="{1C795897-DF24-4EF8-8A00-B8D86D830754}"/>
    <hyperlink ref="H56:H75" r:id="rId402" display="SBI Card Elite" xr:uid="{5EA2292C-5868-47EE-A992-EF590C88C37B}"/>
    <hyperlink ref="H87" r:id="rId403" xr:uid="{7EC8A0F1-E85C-4F94-BF90-C51CE51DE6A6}"/>
    <hyperlink ref="H133" r:id="rId404" xr:uid="{F70E8AC3-A8AE-4D32-8285-D9F373BF48B6}"/>
    <hyperlink ref="H234" r:id="rId405" xr:uid="{086EED86-5555-4B6D-9F7F-D456837CFC42}"/>
    <hyperlink ref="H93:H99" r:id="rId406" display="SBI Card Miles" xr:uid="{6EEFD426-1C61-4A29-8DE0-281F3FAD7052}"/>
    <hyperlink ref="H109" r:id="rId407" xr:uid="{A007380C-39E9-4FC1-8E0A-89519A8A6E2A}"/>
    <hyperlink ref="H237" r:id="rId408" xr:uid="{4DB177DD-7F2C-4A96-86F6-44444DAA9A9E}"/>
    <hyperlink ref="H244" r:id="rId409" xr:uid="{6BB690BB-7853-4156-B8C6-FE96110DFF65}"/>
    <hyperlink ref="H53:H55" r:id="rId410" display="SBI Card Miles Elite" xr:uid="{EC8E45F4-ECC9-4438-AF79-EA64CC689D63}"/>
    <hyperlink ref="H286" r:id="rId411" xr:uid="{905BE4BD-64A3-4CF6-A081-C28A6047E14B}"/>
    <hyperlink ref="H118:H122" r:id="rId412" display="SBI Card Prime" xr:uid="{02EEF0CD-23D5-4917-A259-4F7B5ADA9EDD}"/>
    <hyperlink ref="H124" r:id="rId413" xr:uid="{E3375D6C-C509-4C3E-ADB3-6385202A8768}"/>
    <hyperlink ref="H126:H132" r:id="rId414" display="SBI Card Prime" xr:uid="{6E16969F-C594-4E56-B902-4879EEDCB64A}"/>
    <hyperlink ref="H134:H139" r:id="rId415" display="SBI Card Prime" xr:uid="{6B21B102-D925-4644-9F32-4A8319D8F654}"/>
    <hyperlink ref="H235" r:id="rId416" xr:uid="{5DD0B5FC-AB7D-495C-8EF1-7D35EB706F39}"/>
    <hyperlink ref="H243" r:id="rId417" xr:uid="{DB819C55-ED34-48C8-8E82-40EA47929CBE}"/>
    <hyperlink ref="H38:H51" r:id="rId418" display="SBI Card Pulse" xr:uid="{F3D69751-9A48-4679-951A-81D2B6707032}"/>
    <hyperlink ref="H76:H86" r:id="rId419" display="SBI Card Pulse" xr:uid="{E03E512F-3DA5-4F56-B74B-237DA892E85A}"/>
    <hyperlink ref="H88:H91" r:id="rId420" display="SBI Card Pulse" xr:uid="{DB77F6C2-CA91-49D2-BAF2-1B9EEA105D02}"/>
    <hyperlink ref="H140" r:id="rId421" xr:uid="{AA910A66-3F49-4A88-8632-DEEED2BFC47E}"/>
    <hyperlink ref="H236" r:id="rId422" xr:uid="{5C6848F1-B144-49FB-AED5-DA7C0F3DAD97}"/>
    <hyperlink ref="H249" r:id="rId423" xr:uid="{F1AB98EE-B578-4B12-A77F-6C5B2BFD3D2D}"/>
    <hyperlink ref="H36" r:id="rId424" xr:uid="{7C32038F-827C-4124-ADBD-A5E485681F87}"/>
    <hyperlink ref="H110:H116" r:id="rId425" display="Tata Neu Infinity SBI Card" xr:uid="{ADF493BD-56B2-442A-BB7A-64CE049CDAA2}"/>
    <hyperlink ref="H238" r:id="rId426" xr:uid="{B5BB3D44-6D19-44E4-B53F-9338488B726D}"/>
    <hyperlink ref="H245" r:id="rId427" xr:uid="{E5ED6A82-F3E4-4844-A5C1-C5CF6AC3E2F9}"/>
    <hyperlink ref="H19:H26" r:id="rId428" display="Tata Neu Plus SBI Card" xr:uid="{7C560D9C-33B0-48CD-8757-7616C7C8E708}"/>
    <hyperlink ref="H100:H108" r:id="rId429" display="Tata Neu Plus SBI Card" xr:uid="{F0703C20-33B3-4DBF-9C3B-87D6D00FDC0B}"/>
    <hyperlink ref="K292" r:id="rId430" xr:uid="{767F5840-404F-4888-A2ED-5B838027AEFC}"/>
    <hyperlink ref="K295" r:id="rId431" xr:uid="{7F23F132-4D92-49ED-80D2-BEC151727E91}"/>
    <hyperlink ref="K296" r:id="rId432" xr:uid="{215BCD94-3988-42AB-9F76-B74D26963F17}"/>
    <hyperlink ref="K297" r:id="rId433" xr:uid="{C2B9CD0B-659D-4708-BC49-39B3A8EFD4C8}"/>
    <hyperlink ref="K298" r:id="rId434" xr:uid="{2036F5F9-2D61-4848-BBEA-0CB193623969}"/>
    <hyperlink ref="K299" r:id="rId435" xr:uid="{03B81C54-4CFE-40DE-800F-5AFC186D9425}"/>
    <hyperlink ref="K300" r:id="rId436" display="https://loom.com/i/fc54eba201534b0e88e35d0dd691adde" xr:uid="{50333895-1584-4982-A7CB-EF37D5EED5F4}"/>
    <hyperlink ref="K301" r:id="rId437" xr:uid="{0DC85EB7-6D76-4377-BB3C-9880673C0D77}"/>
    <hyperlink ref="L301" r:id="rId438" xr:uid="{DC3CA0ED-E60B-4E87-A949-7D28E64FF457}"/>
    <hyperlink ref="K302" r:id="rId439" xr:uid="{CD3539BA-70BF-4332-8090-D35763697171}"/>
    <hyperlink ref="K303" r:id="rId440" xr:uid="{603F5200-5BFE-4A78-8DA3-27DF66B371B4}"/>
    <hyperlink ref="K304" r:id="rId441" xr:uid="{556C92AE-7BDE-48B6-B93F-8780252AE1E9}"/>
    <hyperlink ref="K305" r:id="rId442" xr:uid="{E8F086F1-521B-4000-9F60-0DA23D24EBB4}"/>
    <hyperlink ref="K306" r:id="rId443" xr:uid="{BF454A78-AD80-4148-AA2A-F5BC9BCE277A}"/>
    <hyperlink ref="K307" r:id="rId444" xr:uid="{065395FF-BA75-4194-9D44-D0C9E9F380C7}"/>
    <hyperlink ref="L307" r:id="rId445" xr:uid="{50236B75-43F7-4386-BB08-665D34140D55}"/>
    <hyperlink ref="K308" r:id="rId446" xr:uid="{7763526D-D320-49CF-BDE4-81CFF74A9907}"/>
    <hyperlink ref="K309" r:id="rId447" xr:uid="{7B5848F0-C64C-4CCA-A45A-3617FC395AD5}"/>
    <hyperlink ref="K310" r:id="rId448" xr:uid="{E542EDF5-5FFE-4642-9451-252A060A71A9}"/>
    <hyperlink ref="H111" r:id="rId449" xr:uid="{C58B4F7A-70A5-4321-9B05-7FF3EA6AB07A}"/>
    <hyperlink ref="H148" r:id="rId450" xr:uid="{C3D644E9-E350-42E3-9B5F-F003B72A0837}"/>
    <hyperlink ref="H116" r:id="rId451" xr:uid="{96DBD638-D990-4698-9F8E-1160CEA64B30}"/>
    <hyperlink ref="K311" r:id="rId452" xr:uid="{70986032-9BC0-468F-951A-3E76D3A624AC}"/>
    <hyperlink ref="K312" r:id="rId453" xr:uid="{0882CE86-397E-4326-BBE5-F6950B0D9120}"/>
    <hyperlink ref="K313" r:id="rId454" xr:uid="{4FDF2F58-7E87-4103-9DB2-949FB72DF5D7}"/>
    <hyperlink ref="K314" r:id="rId455" xr:uid="{A0431C70-3B06-47BA-804A-B0F4CE766B93}"/>
    <hyperlink ref="K315" r:id="rId456" xr:uid="{1106AC18-B8DE-4C2A-8903-3C646A39FD1F}"/>
    <hyperlink ref="K316" r:id="rId457" xr:uid="{F4CC39D1-3FCE-4924-88F9-9DCF4B7CBF20}"/>
    <hyperlink ref="K317" r:id="rId458" xr:uid="{6DC0D4DA-4B59-4937-9430-A5E150ACC1CF}"/>
    <hyperlink ref="K318" r:id="rId459" xr:uid="{160297FC-D2D1-4092-8693-4A8B7DEAD313}"/>
    <hyperlink ref="K319" r:id="rId460" xr:uid="{829957D6-42F2-4643-8304-8E8D9D82F8D9}"/>
    <hyperlink ref="K320" r:id="rId461" xr:uid="{97C7C43E-B8E0-43FB-BA6E-BC94B39C78D4}"/>
    <hyperlink ref="K321" r:id="rId462" xr:uid="{7858B7D5-EF47-453B-A959-7E4BBC733C6C}"/>
    <hyperlink ref="K322" r:id="rId463" xr:uid="{98B6291B-6315-49C9-B2A3-692D8FD6D5F9}"/>
    <hyperlink ref="K323" r:id="rId464" xr:uid="{2EF1EDDA-C9E5-4CF8-87B9-A094A9459705}"/>
    <hyperlink ref="K324" r:id="rId465" xr:uid="{47F61844-55BA-44B2-98A1-E2E944F8F4B4}"/>
    <hyperlink ref="K325" r:id="rId466" xr:uid="{AD0678B7-9AC1-47DB-8E44-5721F170BD48}"/>
    <hyperlink ref="K326" r:id="rId467" xr:uid="{08D282F2-CDA5-4E6F-88AF-2EED0F1C7D97}"/>
    <hyperlink ref="K327" r:id="rId468" xr:uid="{5C36F5A9-1267-422F-9BF7-C08BA2D59A7D}"/>
    <hyperlink ref="K328" r:id="rId469" xr:uid="{44964BC2-4CF5-4217-A10F-BF2D12E92976}"/>
    <hyperlink ref="K329" r:id="rId470" xr:uid="{B6A81456-20BD-42D6-B566-B7F47DAB761D}"/>
    <hyperlink ref="K330" r:id="rId471" xr:uid="{3A6EF89F-FCCB-4916-A0DB-5C16F9552D79}"/>
    <hyperlink ref="L330" r:id="rId472" xr:uid="{07098BB1-2480-446B-AA57-79CB944A7430}"/>
    <hyperlink ref="K331" r:id="rId473" xr:uid="{3640BBA2-893A-4BAA-9421-A364C6B8DCE6}"/>
    <hyperlink ref="L331" r:id="rId474" xr:uid="{2EF1C6BD-CF7E-4C1C-865B-EE0F332ED269}"/>
    <hyperlink ref="K332" r:id="rId475" xr:uid="{63ED241C-B563-4DB0-982B-E60D1DF519A2}"/>
    <hyperlink ref="K333" r:id="rId476" xr:uid="{F982BC29-0971-4339-AB1C-314827AE8380}"/>
    <hyperlink ref="K334" r:id="rId477" xr:uid="{3ABA8260-270E-4F71-90E2-6EDB6A4D334B}"/>
    <hyperlink ref="K335" r:id="rId478" display="https://www.loom.com/i/26d276fb3cad47a297709e514ff96fa7" xr:uid="{C4D8210D-9B9E-4395-8C28-99F2BEBA1EB8}"/>
    <hyperlink ref="L335" r:id="rId479" xr:uid="{5BF38970-BDCE-4CBC-AECF-DBD9BAF59886}"/>
    <hyperlink ref="K336" r:id="rId480" xr:uid="{7A674156-DBB9-45F5-846D-2DBC77941988}"/>
    <hyperlink ref="K337" r:id="rId481" xr:uid="{D7208C3D-C1FD-41C9-BDA2-C2F4483E13F7}"/>
  </hyperlinks>
  <pageMargins left="0.7" right="0.7" top="0.75" bottom="0.75" header="0.3" footer="0.3"/>
  <headerFooter>
    <oddFooter>&amp;C_x000D_&amp;1#&amp;"Aptos"&amp;12&amp;K000000 SBI Card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3E85-4C67-42DC-BD52-77612EF6ED44}">
  <dimension ref="A1:E189"/>
  <sheetViews>
    <sheetView workbookViewId="0">
      <pane ySplit="1" topLeftCell="A8" activePane="bottomLeft" state="frozen"/>
      <selection pane="bottomLeft" activeCell="D39" sqref="D39"/>
    </sheetView>
  </sheetViews>
  <sheetFormatPr defaultRowHeight="15"/>
  <cols>
    <col min="1" max="1" width="37.5703125" style="282" customWidth="1"/>
    <col min="2" max="2" width="34.85546875" style="278" customWidth="1"/>
    <col min="3" max="4" width="26.140625" style="277" customWidth="1"/>
    <col min="5" max="5" width="40.7109375" style="278" customWidth="1"/>
    <col min="6" max="16384" width="9.140625" style="278"/>
  </cols>
  <sheetData>
    <row r="1" spans="1:5" s="277" customFormat="1">
      <c r="A1" s="276" t="s">
        <v>4413</v>
      </c>
      <c r="B1" s="276" t="s">
        <v>4414</v>
      </c>
      <c r="C1" s="276" t="s">
        <v>4415</v>
      </c>
      <c r="D1" s="276" t="s">
        <v>4416</v>
      </c>
      <c r="E1" s="276" t="s">
        <v>276</v>
      </c>
    </row>
    <row r="2" spans="1:5" ht="21" customHeight="1">
      <c r="A2" s="275" t="s">
        <v>50</v>
      </c>
      <c r="B2" s="275" t="s">
        <v>502</v>
      </c>
      <c r="C2" s="283" t="s">
        <v>559</v>
      </c>
      <c r="D2" s="283" t="s">
        <v>559</v>
      </c>
      <c r="E2" s="275"/>
    </row>
    <row r="3" spans="1:5" ht="66" customHeight="1">
      <c r="A3" s="275" t="s">
        <v>58</v>
      </c>
      <c r="B3" s="275" t="s">
        <v>4417</v>
      </c>
      <c r="C3" s="283" t="s">
        <v>559</v>
      </c>
      <c r="D3" s="283" t="s">
        <v>559</v>
      </c>
      <c r="E3" s="275" t="s">
        <v>4418</v>
      </c>
    </row>
    <row r="4" spans="1:5" ht="91.5" customHeight="1">
      <c r="A4" s="275" t="s">
        <v>63</v>
      </c>
      <c r="B4" s="275" t="s">
        <v>4419</v>
      </c>
      <c r="C4" s="283" t="s">
        <v>559</v>
      </c>
      <c r="D4" s="283" t="s">
        <v>559</v>
      </c>
      <c r="E4" s="275" t="s">
        <v>4420</v>
      </c>
    </row>
    <row r="5" spans="1:5" ht="112.5" customHeight="1">
      <c r="A5" s="275" t="s">
        <v>70</v>
      </c>
      <c r="B5" s="275" t="s">
        <v>4421</v>
      </c>
      <c r="C5" s="283" t="s">
        <v>559</v>
      </c>
      <c r="D5" s="283" t="s">
        <v>559</v>
      </c>
      <c r="E5" s="275"/>
    </row>
    <row r="6" spans="1:5" ht="63" customHeight="1">
      <c r="A6" s="275" t="s">
        <v>74</v>
      </c>
      <c r="B6" s="284" t="s">
        <v>4422</v>
      </c>
      <c r="C6" s="283" t="s">
        <v>559</v>
      </c>
      <c r="D6" s="283" t="s">
        <v>559</v>
      </c>
      <c r="E6" s="275" t="s">
        <v>4423</v>
      </c>
    </row>
    <row r="7" spans="1:5" s="279" customFormat="1" ht="92.25" customHeight="1">
      <c r="A7" s="275" t="s">
        <v>79</v>
      </c>
      <c r="B7" s="275" t="s">
        <v>4424</v>
      </c>
      <c r="C7" s="283" t="s">
        <v>559</v>
      </c>
      <c r="D7" s="283" t="s">
        <v>559</v>
      </c>
      <c r="E7" s="275"/>
    </row>
    <row r="8" spans="1:5" ht="62.25" customHeight="1">
      <c r="A8" s="275" t="s">
        <v>82</v>
      </c>
      <c r="B8" s="275" t="s">
        <v>4425</v>
      </c>
      <c r="C8" s="283" t="s">
        <v>559</v>
      </c>
      <c r="D8" s="283" t="s">
        <v>559</v>
      </c>
      <c r="E8" s="275"/>
    </row>
    <row r="9" spans="1:5" ht="91.5" customHeight="1">
      <c r="A9" s="275" t="s">
        <v>85</v>
      </c>
      <c r="B9" s="275" t="s">
        <v>4426</v>
      </c>
      <c r="C9" s="283" t="s">
        <v>559</v>
      </c>
      <c r="D9" s="283" t="s">
        <v>559</v>
      </c>
      <c r="E9" s="275" t="s">
        <v>4427</v>
      </c>
    </row>
    <row r="10" spans="1:5" ht="19.5" customHeight="1">
      <c r="A10" s="275" t="s">
        <v>88</v>
      </c>
      <c r="B10" s="275" t="s">
        <v>608</v>
      </c>
      <c r="C10" s="283" t="s">
        <v>559</v>
      </c>
      <c r="D10" s="283" t="s">
        <v>559</v>
      </c>
      <c r="E10" s="275"/>
    </row>
    <row r="11" spans="1:5" ht="93" customHeight="1">
      <c r="A11" s="275" t="s">
        <v>93</v>
      </c>
      <c r="B11" s="275" t="s">
        <v>4428</v>
      </c>
      <c r="C11" s="283" t="s">
        <v>559</v>
      </c>
      <c r="D11" s="283" t="s">
        <v>559</v>
      </c>
      <c r="E11" s="275" t="s">
        <v>4429</v>
      </c>
    </row>
    <row r="12" spans="1:5" ht="96.75" customHeight="1">
      <c r="A12" s="275" t="s">
        <v>625</v>
      </c>
      <c r="B12" s="275" t="s">
        <v>4430</v>
      </c>
      <c r="C12" s="283" t="s">
        <v>559</v>
      </c>
      <c r="D12" s="283" t="s">
        <v>559</v>
      </c>
      <c r="E12" s="275" t="s">
        <v>4431</v>
      </c>
    </row>
    <row r="13" spans="1:5" ht="91.5" customHeight="1">
      <c r="A13" s="275" t="s">
        <v>100</v>
      </c>
      <c r="B13" s="284" t="s">
        <v>4432</v>
      </c>
      <c r="C13" s="283" t="s">
        <v>559</v>
      </c>
      <c r="D13" s="283" t="s">
        <v>559</v>
      </c>
      <c r="E13" s="275"/>
    </row>
    <row r="14" spans="1:5" ht="63" customHeight="1">
      <c r="A14" s="275" t="s">
        <v>479</v>
      </c>
      <c r="B14" s="275" t="s">
        <v>4433</v>
      </c>
      <c r="C14" s="283" t="s">
        <v>559</v>
      </c>
      <c r="D14" s="283" t="s">
        <v>559</v>
      </c>
      <c r="E14" s="275"/>
    </row>
    <row r="15" spans="1:5" ht="115.5">
      <c r="A15" s="275" t="s">
        <v>106</v>
      </c>
      <c r="B15" s="275" t="s">
        <v>4434</v>
      </c>
      <c r="C15" s="283" t="s">
        <v>559</v>
      </c>
      <c r="D15" s="283" t="s">
        <v>559</v>
      </c>
      <c r="E15" s="275" t="s">
        <v>4435</v>
      </c>
    </row>
    <row r="16" spans="1:5" ht="66" customHeight="1">
      <c r="A16" s="275" t="s">
        <v>110</v>
      </c>
      <c r="B16" s="275" t="s">
        <v>4436</v>
      </c>
      <c r="C16" s="283" t="s">
        <v>559</v>
      </c>
      <c r="D16" s="283" t="s">
        <v>559</v>
      </c>
      <c r="E16" s="275" t="s">
        <v>4437</v>
      </c>
    </row>
    <row r="17" spans="1:5" ht="48" customHeight="1">
      <c r="A17" s="275" t="s">
        <v>3556</v>
      </c>
      <c r="B17" s="275" t="s">
        <v>4438</v>
      </c>
      <c r="C17" s="283" t="s">
        <v>559</v>
      </c>
      <c r="D17" s="283" t="s">
        <v>559</v>
      </c>
      <c r="E17" s="275"/>
    </row>
    <row r="18" spans="1:5" ht="90.75" customHeight="1">
      <c r="A18" s="280" t="s">
        <v>481</v>
      </c>
      <c r="B18" s="275" t="s">
        <v>4439</v>
      </c>
      <c r="C18" s="283" t="s">
        <v>559</v>
      </c>
      <c r="D18" s="283" t="s">
        <v>559</v>
      </c>
      <c r="E18" s="275"/>
    </row>
    <row r="19" spans="1:5" ht="94.5" customHeight="1">
      <c r="A19" s="280" t="s">
        <v>120</v>
      </c>
      <c r="B19" s="275" t="s">
        <v>4440</v>
      </c>
      <c r="C19" s="283" t="s">
        <v>559</v>
      </c>
      <c r="D19" s="283" t="s">
        <v>559</v>
      </c>
      <c r="E19" s="275"/>
    </row>
    <row r="20" spans="1:5" ht="60" customHeight="1">
      <c r="A20" s="275" t="s">
        <v>123</v>
      </c>
      <c r="B20" s="275" t="s">
        <v>4441</v>
      </c>
      <c r="C20" s="283" t="s">
        <v>559</v>
      </c>
      <c r="D20" s="283" t="s">
        <v>559</v>
      </c>
      <c r="E20" s="421" t="s">
        <v>4442</v>
      </c>
    </row>
    <row r="21" spans="1:5" ht="93" customHeight="1">
      <c r="A21" s="275" t="s">
        <v>672</v>
      </c>
      <c r="B21" s="275" t="s">
        <v>4443</v>
      </c>
      <c r="C21" s="283" t="s">
        <v>559</v>
      </c>
      <c r="D21" s="283" t="s">
        <v>559</v>
      </c>
      <c r="E21" s="275" t="s">
        <v>4444</v>
      </c>
    </row>
    <row r="22" spans="1:5" ht="115.5">
      <c r="A22" s="275" t="s">
        <v>129</v>
      </c>
      <c r="B22" s="275" t="s">
        <v>4445</v>
      </c>
      <c r="C22" s="283" t="s">
        <v>559</v>
      </c>
      <c r="D22" s="283" t="s">
        <v>559</v>
      </c>
      <c r="E22" s="275" t="s">
        <v>4446</v>
      </c>
    </row>
    <row r="23" spans="1:5" ht="90.75" customHeight="1">
      <c r="A23" s="280" t="s">
        <v>539</v>
      </c>
      <c r="B23" s="275" t="s">
        <v>4447</v>
      </c>
      <c r="C23" s="283" t="s">
        <v>559</v>
      </c>
      <c r="D23" s="283" t="s">
        <v>559</v>
      </c>
      <c r="E23" s="275"/>
    </row>
    <row r="24" spans="1:5" ht="94.5" customHeight="1">
      <c r="A24" s="280" t="s">
        <v>135</v>
      </c>
      <c r="B24" s="275" t="s">
        <v>4448</v>
      </c>
      <c r="C24" s="283" t="s">
        <v>559</v>
      </c>
      <c r="D24" s="283" t="s">
        <v>559</v>
      </c>
      <c r="E24" s="275" t="s">
        <v>4429</v>
      </c>
    </row>
    <row r="25" spans="1:5" ht="93" customHeight="1">
      <c r="A25" s="275" t="s">
        <v>540</v>
      </c>
      <c r="B25" s="275" t="s">
        <v>4449</v>
      </c>
      <c r="C25" s="283" t="s">
        <v>559</v>
      </c>
      <c r="D25" s="283" t="s">
        <v>559</v>
      </c>
      <c r="E25" s="275" t="s">
        <v>4450</v>
      </c>
    </row>
    <row r="26" spans="1:5" ht="22.5" customHeight="1">
      <c r="A26" s="280" t="s">
        <v>499</v>
      </c>
      <c r="B26" s="275" t="s">
        <v>579</v>
      </c>
      <c r="C26" s="283" t="s">
        <v>559</v>
      </c>
      <c r="D26" s="283" t="s">
        <v>559</v>
      </c>
      <c r="E26" s="275"/>
    </row>
    <row r="27" spans="1:5" ht="86.25" customHeight="1">
      <c r="A27" s="280" t="s">
        <v>4451</v>
      </c>
      <c r="B27" s="275" t="s">
        <v>4452</v>
      </c>
      <c r="C27" s="283" t="s">
        <v>559</v>
      </c>
      <c r="D27" s="283" t="s">
        <v>559</v>
      </c>
      <c r="E27" s="275"/>
    </row>
    <row r="28" spans="1:5" ht="63" customHeight="1">
      <c r="A28" s="275" t="s">
        <v>502</v>
      </c>
      <c r="B28" s="275" t="s">
        <v>4453</v>
      </c>
      <c r="C28" s="283" t="s">
        <v>559</v>
      </c>
      <c r="D28" s="283" t="s">
        <v>559</v>
      </c>
      <c r="E28" s="275" t="s">
        <v>4454</v>
      </c>
    </row>
    <row r="29" spans="1:5" ht="89.25" customHeight="1">
      <c r="A29" s="275" t="s">
        <v>608</v>
      </c>
      <c r="B29" s="275" t="s">
        <v>4455</v>
      </c>
      <c r="C29" s="283" t="s">
        <v>559</v>
      </c>
      <c r="D29" s="283" t="s">
        <v>559</v>
      </c>
      <c r="E29" s="275"/>
    </row>
    <row r="30" spans="1:5" ht="64.5" customHeight="1">
      <c r="A30" s="275" t="s">
        <v>525</v>
      </c>
      <c r="B30" s="275" t="s">
        <v>4456</v>
      </c>
      <c r="C30" s="283" t="s">
        <v>559</v>
      </c>
      <c r="D30" s="283" t="s">
        <v>559</v>
      </c>
      <c r="E30" s="275"/>
    </row>
    <row r="31" spans="1:5" ht="71.25" customHeight="1">
      <c r="A31" s="275" t="s">
        <v>639</v>
      </c>
      <c r="B31" s="275" t="s">
        <v>4457</v>
      </c>
      <c r="C31" s="283" t="s">
        <v>559</v>
      </c>
      <c r="D31" s="283" t="s">
        <v>559</v>
      </c>
      <c r="E31" s="275"/>
    </row>
    <row r="32" spans="1:5" ht="94.5" customHeight="1">
      <c r="A32" s="275" t="s">
        <v>161</v>
      </c>
      <c r="B32" s="275" t="s">
        <v>4458</v>
      </c>
      <c r="C32" s="283" t="s">
        <v>559</v>
      </c>
      <c r="D32" s="283" t="s">
        <v>559</v>
      </c>
      <c r="E32" s="275" t="s">
        <v>4429</v>
      </c>
    </row>
    <row r="33" spans="1:5" ht="94.5" customHeight="1">
      <c r="A33" s="275" t="s">
        <v>4459</v>
      </c>
      <c r="B33" s="275" t="s">
        <v>4460</v>
      </c>
      <c r="C33" s="283" t="s">
        <v>559</v>
      </c>
      <c r="D33" s="283" t="s">
        <v>559</v>
      </c>
      <c r="E33" s="275" t="s">
        <v>4461</v>
      </c>
    </row>
    <row r="34" spans="1:5" ht="98.25" customHeight="1">
      <c r="A34" s="275" t="s">
        <v>634</v>
      </c>
      <c r="B34" s="275" t="s">
        <v>4462</v>
      </c>
      <c r="C34" s="283" t="s">
        <v>559</v>
      </c>
      <c r="D34" s="283" t="s">
        <v>559</v>
      </c>
      <c r="E34" s="275"/>
    </row>
    <row r="35" spans="1:5" ht="82.5" customHeight="1">
      <c r="A35" s="275" t="s">
        <v>508</v>
      </c>
      <c r="B35" s="275" t="s">
        <v>4463</v>
      </c>
      <c r="C35" s="283" t="s">
        <v>559</v>
      </c>
      <c r="D35" s="283" t="s">
        <v>559</v>
      </c>
      <c r="E35" s="275"/>
    </row>
    <row r="36" spans="1:5" ht="97.5" customHeight="1">
      <c r="A36" s="275" t="s">
        <v>509</v>
      </c>
      <c r="B36" s="275" t="s">
        <v>4464</v>
      </c>
      <c r="C36" s="283" t="s">
        <v>559</v>
      </c>
      <c r="D36" s="283" t="s">
        <v>559</v>
      </c>
      <c r="E36" s="275"/>
    </row>
    <row r="37" spans="1:5" ht="98.25" customHeight="1">
      <c r="A37" s="275" t="s">
        <v>588</v>
      </c>
      <c r="B37" s="275" t="s">
        <v>4465</v>
      </c>
      <c r="C37" s="283" t="s">
        <v>559</v>
      </c>
      <c r="D37" s="283" t="s">
        <v>559</v>
      </c>
      <c r="E37" s="275" t="s">
        <v>4466</v>
      </c>
    </row>
    <row r="38" spans="1:5" ht="94.5" customHeight="1">
      <c r="A38" s="275" t="s">
        <v>648</v>
      </c>
      <c r="B38" s="275" t="s">
        <v>4467</v>
      </c>
      <c r="C38" s="283" t="s">
        <v>559</v>
      </c>
      <c r="D38" s="283" t="s">
        <v>559</v>
      </c>
      <c r="E38" s="275"/>
    </row>
    <row r="39" spans="1:5" ht="95.25" customHeight="1">
      <c r="A39" s="275" t="s">
        <v>4468</v>
      </c>
      <c r="B39" s="275" t="s">
        <v>4469</v>
      </c>
      <c r="C39" s="283" t="s">
        <v>559</v>
      </c>
      <c r="D39" s="283" t="s">
        <v>559</v>
      </c>
      <c r="E39" s="275" t="s">
        <v>4470</v>
      </c>
    </row>
    <row r="40" spans="1:5" ht="87">
      <c r="A40" s="275" t="s">
        <v>187</v>
      </c>
      <c r="B40" s="275" t="s">
        <v>4471</v>
      </c>
      <c r="C40" s="283" t="s">
        <v>559</v>
      </c>
      <c r="D40" s="283" t="s">
        <v>559</v>
      </c>
      <c r="E40" s="275" t="s">
        <v>4472</v>
      </c>
    </row>
    <row r="41" spans="1:5" ht="87">
      <c r="A41" s="275" t="s">
        <v>4473</v>
      </c>
      <c r="B41" s="275" t="s">
        <v>4474</v>
      </c>
      <c r="C41" s="283" t="s">
        <v>559</v>
      </c>
      <c r="D41" s="283" t="s">
        <v>559</v>
      </c>
      <c r="E41" s="275"/>
    </row>
    <row r="42" spans="1:5" ht="95.25" customHeight="1">
      <c r="A42" s="275" t="s">
        <v>4475</v>
      </c>
      <c r="B42" s="275" t="s">
        <v>4476</v>
      </c>
      <c r="C42" s="283" t="s">
        <v>559</v>
      </c>
      <c r="D42" s="283" t="s">
        <v>559</v>
      </c>
      <c r="E42" s="275" t="s">
        <v>4477</v>
      </c>
    </row>
    <row r="43" spans="1:5" ht="87">
      <c r="A43" s="85" t="s">
        <v>214</v>
      </c>
      <c r="B43" s="275" t="s">
        <v>4478</v>
      </c>
      <c r="C43" s="283" t="s">
        <v>559</v>
      </c>
      <c r="D43" s="283" t="s">
        <v>559</v>
      </c>
      <c r="E43" s="275"/>
    </row>
    <row r="44" spans="1:5" ht="115.5">
      <c r="A44" s="275" t="s">
        <v>216</v>
      </c>
      <c r="B44" s="275" t="s">
        <v>4479</v>
      </c>
      <c r="C44" s="283" t="s">
        <v>559</v>
      </c>
      <c r="D44" s="283" t="s">
        <v>559</v>
      </c>
      <c r="E44" s="275" t="s">
        <v>4480</v>
      </c>
    </row>
    <row r="45" spans="1:5" ht="57.75">
      <c r="A45" s="275" t="s">
        <v>218</v>
      </c>
      <c r="B45" s="275" t="s">
        <v>4481</v>
      </c>
      <c r="C45" s="283" t="s">
        <v>559</v>
      </c>
      <c r="D45" s="283" t="s">
        <v>559</v>
      </c>
      <c r="E45" s="275"/>
    </row>
    <row r="46" spans="1:5">
      <c r="A46" s="275"/>
      <c r="B46" s="275"/>
      <c r="C46" s="283"/>
      <c r="D46" s="283"/>
      <c r="E46" s="275"/>
    </row>
    <row r="47" spans="1:5" s="281" customFormat="1">
      <c r="A47" s="275"/>
      <c r="B47" s="275"/>
      <c r="C47" s="283"/>
      <c r="D47" s="283"/>
      <c r="E47" s="275"/>
    </row>
    <row r="48" spans="1:5">
      <c r="A48" s="275"/>
      <c r="B48" s="275"/>
      <c r="C48" s="283"/>
      <c r="D48" s="283"/>
      <c r="E48" s="275"/>
    </row>
    <row r="49" spans="1:5">
      <c r="A49" s="275"/>
      <c r="B49" s="275"/>
      <c r="C49" s="283"/>
      <c r="D49" s="283"/>
      <c r="E49" s="275"/>
    </row>
    <row r="50" spans="1:5">
      <c r="A50" s="275"/>
      <c r="B50" s="275"/>
      <c r="C50" s="283"/>
      <c r="D50" s="283"/>
      <c r="E50" s="275"/>
    </row>
    <row r="51" spans="1:5">
      <c r="A51" s="278"/>
    </row>
    <row r="52" spans="1:5">
      <c r="A52" s="278"/>
    </row>
    <row r="53" spans="1:5">
      <c r="A53" s="278"/>
    </row>
    <row r="54" spans="1:5">
      <c r="A54" s="278"/>
    </row>
    <row r="55" spans="1:5">
      <c r="A55" s="278"/>
    </row>
    <row r="56" spans="1:5">
      <c r="A56" s="278"/>
    </row>
    <row r="57" spans="1:5">
      <c r="A57" s="278"/>
    </row>
    <row r="58" spans="1:5">
      <c r="A58" s="278"/>
    </row>
    <row r="59" spans="1:5">
      <c r="A59" s="278"/>
    </row>
    <row r="60" spans="1:5">
      <c r="A60" s="278"/>
    </row>
    <row r="61" spans="1:5">
      <c r="A61" s="278"/>
    </row>
    <row r="62" spans="1:5">
      <c r="A62" s="278"/>
    </row>
    <row r="63" spans="1:5">
      <c r="A63" s="278"/>
    </row>
    <row r="64" spans="1:5">
      <c r="A64" s="278"/>
    </row>
    <row r="65" spans="1:1">
      <c r="A65" s="278"/>
    </row>
    <row r="66" spans="1:1">
      <c r="A66" s="278"/>
    </row>
    <row r="67" spans="1:1">
      <c r="A67" s="278"/>
    </row>
    <row r="68" spans="1:1">
      <c r="A68" s="278"/>
    </row>
    <row r="69" spans="1:1">
      <c r="A69" s="278"/>
    </row>
    <row r="70" spans="1:1">
      <c r="A70" s="278"/>
    </row>
    <row r="71" spans="1:1">
      <c r="A71" s="278"/>
    </row>
    <row r="72" spans="1:1">
      <c r="A72" s="278"/>
    </row>
    <row r="73" spans="1:1">
      <c r="A73" s="278"/>
    </row>
    <row r="74" spans="1:1">
      <c r="A74" s="278"/>
    </row>
    <row r="75" spans="1:1">
      <c r="A75" s="278"/>
    </row>
    <row r="76" spans="1:1">
      <c r="A76" s="278"/>
    </row>
    <row r="77" spans="1:1">
      <c r="A77" s="278"/>
    </row>
    <row r="78" spans="1:1">
      <c r="A78" s="278"/>
    </row>
    <row r="79" spans="1:1">
      <c r="A79" s="278"/>
    </row>
    <row r="80" spans="1:1">
      <c r="A80" s="278"/>
    </row>
    <row r="81" spans="1:1">
      <c r="A81" s="278"/>
    </row>
    <row r="82" spans="1:1">
      <c r="A82" s="278"/>
    </row>
    <row r="83" spans="1:1">
      <c r="A83" s="278"/>
    </row>
    <row r="84" spans="1:1">
      <c r="A84" s="278"/>
    </row>
    <row r="85" spans="1:1">
      <c r="A85" s="278"/>
    </row>
    <row r="86" spans="1:1">
      <c r="A86" s="278"/>
    </row>
    <row r="87" spans="1:1">
      <c r="A87" s="278"/>
    </row>
    <row r="88" spans="1:1">
      <c r="A88" s="278"/>
    </row>
    <row r="89" spans="1:1">
      <c r="A89" s="278"/>
    </row>
    <row r="90" spans="1:1">
      <c r="A90" s="278"/>
    </row>
    <row r="91" spans="1:1">
      <c r="A91" s="278"/>
    </row>
    <row r="92" spans="1:1">
      <c r="A92" s="278"/>
    </row>
    <row r="93" spans="1:1">
      <c r="A93" s="278"/>
    </row>
    <row r="94" spans="1:1">
      <c r="A94" s="278"/>
    </row>
    <row r="95" spans="1:1">
      <c r="A95" s="278"/>
    </row>
    <row r="96" spans="1:1">
      <c r="A96" s="278"/>
    </row>
    <row r="97" spans="1:1">
      <c r="A97" s="278"/>
    </row>
    <row r="98" spans="1:1">
      <c r="A98" s="278"/>
    </row>
    <row r="99" spans="1:1">
      <c r="A99" s="278"/>
    </row>
    <row r="100" spans="1:1">
      <c r="A100" s="278"/>
    </row>
    <row r="101" spans="1:1">
      <c r="A101" s="278"/>
    </row>
    <row r="102" spans="1:1">
      <c r="A102" s="278"/>
    </row>
    <row r="103" spans="1:1">
      <c r="A103" s="278"/>
    </row>
    <row r="104" spans="1:1">
      <c r="A104" s="278"/>
    </row>
    <row r="105" spans="1:1">
      <c r="A105" s="278"/>
    </row>
    <row r="106" spans="1:1">
      <c r="A106" s="278"/>
    </row>
    <row r="107" spans="1:1">
      <c r="A107" s="278"/>
    </row>
    <row r="108" spans="1:1">
      <c r="A108" s="278"/>
    </row>
    <row r="109" spans="1:1">
      <c r="A109" s="278"/>
    </row>
    <row r="110" spans="1:1">
      <c r="A110" s="278"/>
    </row>
    <row r="111" spans="1:1">
      <c r="A111" s="278"/>
    </row>
    <row r="112" spans="1:1">
      <c r="A112" s="278"/>
    </row>
    <row r="113" spans="1:1">
      <c r="A113" s="278"/>
    </row>
    <row r="114" spans="1:1">
      <c r="A114" s="278"/>
    </row>
    <row r="115" spans="1:1">
      <c r="A115" s="278"/>
    </row>
    <row r="116" spans="1:1">
      <c r="A116" s="278"/>
    </row>
    <row r="117" spans="1:1">
      <c r="A117" s="278"/>
    </row>
    <row r="118" spans="1:1">
      <c r="A118" s="278"/>
    </row>
    <row r="119" spans="1:1">
      <c r="A119" s="278"/>
    </row>
    <row r="120" spans="1:1">
      <c r="A120" s="278"/>
    </row>
    <row r="121" spans="1:1">
      <c r="A121" s="278"/>
    </row>
    <row r="122" spans="1:1">
      <c r="A122" s="278"/>
    </row>
    <row r="123" spans="1:1">
      <c r="A123" s="278"/>
    </row>
    <row r="124" spans="1:1">
      <c r="A124" s="278"/>
    </row>
    <row r="125" spans="1:1">
      <c r="A125" s="278"/>
    </row>
    <row r="126" spans="1:1">
      <c r="A126" s="278"/>
    </row>
    <row r="127" spans="1:1">
      <c r="A127" s="278"/>
    </row>
    <row r="128" spans="1:1">
      <c r="A128" s="278"/>
    </row>
    <row r="129" spans="1:1">
      <c r="A129" s="278"/>
    </row>
    <row r="130" spans="1:1">
      <c r="A130" s="278"/>
    </row>
    <row r="131" spans="1:1">
      <c r="A131" s="278"/>
    </row>
    <row r="132" spans="1:1">
      <c r="A132" s="278"/>
    </row>
    <row r="133" spans="1:1">
      <c r="A133" s="278"/>
    </row>
    <row r="134" spans="1:1">
      <c r="A134" s="278"/>
    </row>
    <row r="135" spans="1:1">
      <c r="A135" s="278"/>
    </row>
    <row r="136" spans="1:1">
      <c r="A136" s="278"/>
    </row>
    <row r="137" spans="1:1">
      <c r="A137" s="278"/>
    </row>
    <row r="138" spans="1:1">
      <c r="A138" s="278"/>
    </row>
    <row r="139" spans="1:1">
      <c r="A139" s="278"/>
    </row>
    <row r="140" spans="1:1">
      <c r="A140" s="278"/>
    </row>
    <row r="141" spans="1:1">
      <c r="A141" s="278"/>
    </row>
    <row r="142" spans="1:1">
      <c r="A142" s="278"/>
    </row>
    <row r="143" spans="1:1">
      <c r="A143" s="278"/>
    </row>
    <row r="144" spans="1:1">
      <c r="A144" s="278"/>
    </row>
    <row r="145" spans="1:1">
      <c r="A145" s="278"/>
    </row>
    <row r="146" spans="1:1">
      <c r="A146" s="278"/>
    </row>
    <row r="147" spans="1:1">
      <c r="A147" s="278"/>
    </row>
    <row r="148" spans="1:1">
      <c r="A148" s="278"/>
    </row>
    <row r="149" spans="1:1">
      <c r="A149" s="278"/>
    </row>
    <row r="150" spans="1:1">
      <c r="A150" s="278"/>
    </row>
    <row r="151" spans="1:1">
      <c r="A151" s="278"/>
    </row>
    <row r="152" spans="1:1">
      <c r="A152" s="278"/>
    </row>
    <row r="153" spans="1:1">
      <c r="A153" s="278"/>
    </row>
    <row r="154" spans="1:1">
      <c r="A154" s="278"/>
    </row>
    <row r="155" spans="1:1">
      <c r="A155" s="278"/>
    </row>
    <row r="156" spans="1:1">
      <c r="A156" s="278"/>
    </row>
    <row r="157" spans="1:1">
      <c r="A157" s="278"/>
    </row>
    <row r="158" spans="1:1">
      <c r="A158" s="278"/>
    </row>
    <row r="159" spans="1:1">
      <c r="A159" s="278"/>
    </row>
    <row r="160" spans="1:1">
      <c r="A160" s="278"/>
    </row>
    <row r="161" spans="1:1">
      <c r="A161" s="278"/>
    </row>
    <row r="162" spans="1:1">
      <c r="A162" s="278"/>
    </row>
    <row r="163" spans="1:1">
      <c r="A163" s="278"/>
    </row>
    <row r="164" spans="1:1">
      <c r="A164" s="278"/>
    </row>
    <row r="165" spans="1:1">
      <c r="A165" s="278"/>
    </row>
    <row r="166" spans="1:1">
      <c r="A166" s="278"/>
    </row>
    <row r="167" spans="1:1">
      <c r="A167" s="278"/>
    </row>
    <row r="168" spans="1:1">
      <c r="A168" s="278"/>
    </row>
    <row r="169" spans="1:1">
      <c r="A169" s="278"/>
    </row>
    <row r="170" spans="1:1">
      <c r="A170" s="278"/>
    </row>
    <row r="171" spans="1:1">
      <c r="A171" s="278"/>
    </row>
    <row r="172" spans="1:1">
      <c r="A172" s="278"/>
    </row>
    <row r="173" spans="1:1">
      <c r="A173" s="278"/>
    </row>
    <row r="174" spans="1:1">
      <c r="A174" s="278"/>
    </row>
    <row r="175" spans="1:1">
      <c r="A175" s="278"/>
    </row>
    <row r="176" spans="1:1">
      <c r="A176" s="278"/>
    </row>
    <row r="177" spans="1:1">
      <c r="A177" s="278"/>
    </row>
    <row r="178" spans="1:1">
      <c r="A178" s="278"/>
    </row>
    <row r="179" spans="1:1">
      <c r="A179" s="278"/>
    </row>
    <row r="180" spans="1:1">
      <c r="A180" s="278"/>
    </row>
    <row r="181" spans="1:1">
      <c r="A181" s="278"/>
    </row>
    <row r="182" spans="1:1">
      <c r="A182" s="278"/>
    </row>
    <row r="183" spans="1:1">
      <c r="A183" s="278"/>
    </row>
    <row r="184" spans="1:1">
      <c r="A184" s="278"/>
    </row>
    <row r="185" spans="1:1">
      <c r="A185" s="278"/>
    </row>
    <row r="186" spans="1:1">
      <c r="A186" s="278"/>
    </row>
    <row r="187" spans="1:1">
      <c r="A187" s="278"/>
    </row>
    <row r="188" spans="1:1">
      <c r="A188" s="278"/>
    </row>
    <row r="189" spans="1:1">
      <c r="A189" s="278"/>
    </row>
  </sheetData>
  <autoFilter ref="A1:E50" xr:uid="{5E953E85-4C67-42DC-BD52-77612EF6ED44}"/>
  <pageMargins left="0.7" right="0.7" top="0.75" bottom="0.75" header="0.3" footer="0.3"/>
  <headerFooter>
    <oddFooter>&amp;C_x000D_&amp;1#&amp;"Aptos"&amp;12&amp;K000000 SBI Card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DC4A-2169-4B1D-A782-1B9E3C5A2B29}">
  <dimension ref="A1:I65"/>
  <sheetViews>
    <sheetView workbookViewId="0">
      <pane ySplit="1" topLeftCell="A2" activePane="bottomLeft" state="frozen"/>
      <selection pane="bottomLeft" activeCell="F30" sqref="F30"/>
    </sheetView>
  </sheetViews>
  <sheetFormatPr defaultRowHeight="15"/>
  <cols>
    <col min="1" max="1" width="26.7109375" style="8" customWidth="1"/>
    <col min="2" max="2" width="20.42578125" style="27" customWidth="1"/>
    <col min="3" max="3" width="52" style="42" customWidth="1"/>
    <col min="4" max="6" width="17.7109375" style="8" customWidth="1"/>
    <col min="7" max="7" width="88.5703125" style="80" customWidth="1"/>
    <col min="8" max="8" width="22.7109375" style="97" customWidth="1"/>
    <col min="9" max="9" width="50.42578125" style="27" bestFit="1" customWidth="1"/>
    <col min="10" max="10" width="29.5703125" customWidth="1"/>
  </cols>
  <sheetData>
    <row r="1" spans="1:9">
      <c r="A1" s="10" t="s">
        <v>4482</v>
      </c>
      <c r="B1" s="10" t="s">
        <v>4483</v>
      </c>
      <c r="C1" s="10" t="s">
        <v>4484</v>
      </c>
      <c r="D1" s="10" t="s">
        <v>4485</v>
      </c>
      <c r="E1" s="10" t="s">
        <v>4486</v>
      </c>
      <c r="F1" s="10" t="s">
        <v>275</v>
      </c>
      <c r="G1" s="11" t="s">
        <v>4487</v>
      </c>
      <c r="H1" s="11" t="s">
        <v>899</v>
      </c>
      <c r="I1" s="10" t="s">
        <v>900</v>
      </c>
    </row>
    <row r="2" spans="1:9" ht="50.25" customHeight="1">
      <c r="A2" s="7" t="s">
        <v>4488</v>
      </c>
      <c r="B2" s="7" t="s">
        <v>4489</v>
      </c>
      <c r="C2" s="79" t="s">
        <v>4490</v>
      </c>
      <c r="D2" s="81" t="s">
        <v>559</v>
      </c>
      <c r="E2" s="81" t="s">
        <v>559</v>
      </c>
      <c r="F2" s="47">
        <v>46298</v>
      </c>
      <c r="G2" s="96" t="s">
        <v>4491</v>
      </c>
      <c r="H2" s="95"/>
      <c r="I2" s="101" t="s">
        <v>4492</v>
      </c>
    </row>
    <row r="3" spans="1:9" ht="61.5" customHeight="1">
      <c r="A3" s="7" t="s">
        <v>4488</v>
      </c>
      <c r="B3" s="7" t="s">
        <v>4493</v>
      </c>
      <c r="C3" s="79" t="s">
        <v>4494</v>
      </c>
      <c r="D3" s="81" t="s">
        <v>559</v>
      </c>
      <c r="E3" s="81" t="s">
        <v>559</v>
      </c>
      <c r="F3" s="47">
        <v>46298</v>
      </c>
      <c r="G3" s="96" t="s">
        <v>4495</v>
      </c>
      <c r="H3" s="95"/>
      <c r="I3" s="101"/>
    </row>
    <row r="4" spans="1:9" ht="64.5" customHeight="1">
      <c r="A4" s="7" t="s">
        <v>4488</v>
      </c>
      <c r="B4" s="7" t="s">
        <v>4496</v>
      </c>
      <c r="C4" s="79" t="s">
        <v>4497</v>
      </c>
      <c r="D4" s="81" t="s">
        <v>559</v>
      </c>
      <c r="E4" s="81" t="s">
        <v>559</v>
      </c>
      <c r="F4" s="47">
        <v>46298</v>
      </c>
      <c r="G4" s="96" t="s">
        <v>4498</v>
      </c>
      <c r="H4" s="95"/>
      <c r="I4" s="101"/>
    </row>
    <row r="5" spans="1:9" ht="64.5" customHeight="1">
      <c r="A5" s="7" t="s">
        <v>4488</v>
      </c>
      <c r="B5" s="7" t="s">
        <v>4499</v>
      </c>
      <c r="C5" s="79" t="s">
        <v>4500</v>
      </c>
      <c r="D5" s="81" t="s">
        <v>559</v>
      </c>
      <c r="E5" s="81" t="s">
        <v>559</v>
      </c>
      <c r="F5" s="47">
        <v>46298</v>
      </c>
      <c r="G5" s="96" t="s">
        <v>4501</v>
      </c>
      <c r="H5" s="95"/>
      <c r="I5" s="102"/>
    </row>
    <row r="6" spans="1:9" ht="61.5" customHeight="1">
      <c r="A6" s="7" t="s">
        <v>4488</v>
      </c>
      <c r="B6" s="7" t="s">
        <v>4502</v>
      </c>
      <c r="C6" s="79" t="s">
        <v>4503</v>
      </c>
      <c r="D6" s="81" t="s">
        <v>559</v>
      </c>
      <c r="E6" s="81" t="s">
        <v>559</v>
      </c>
      <c r="F6" s="47">
        <v>46298</v>
      </c>
      <c r="G6" s="96" t="s">
        <v>4504</v>
      </c>
      <c r="H6" s="95"/>
      <c r="I6" s="102"/>
    </row>
    <row r="7" spans="1:9" ht="30">
      <c r="A7" s="7" t="s">
        <v>4488</v>
      </c>
      <c r="B7" s="7" t="s">
        <v>4505</v>
      </c>
      <c r="C7" s="14" t="s">
        <v>579</v>
      </c>
      <c r="D7" s="81" t="s">
        <v>559</v>
      </c>
      <c r="E7" s="81" t="s">
        <v>559</v>
      </c>
      <c r="F7" s="47" t="s">
        <v>4506</v>
      </c>
      <c r="G7" s="96" t="s">
        <v>4507</v>
      </c>
      <c r="H7" s="95"/>
      <c r="I7" s="102"/>
    </row>
    <row r="8" spans="1:9" ht="46.5" customHeight="1">
      <c r="A8" s="7" t="s">
        <v>4488</v>
      </c>
      <c r="B8" s="7" t="s">
        <v>4508</v>
      </c>
      <c r="C8" s="79" t="s">
        <v>4509</v>
      </c>
      <c r="D8" s="81" t="s">
        <v>559</v>
      </c>
      <c r="E8" s="81" t="s">
        <v>559</v>
      </c>
      <c r="F8" s="47" t="s">
        <v>2580</v>
      </c>
      <c r="G8" s="96" t="s">
        <v>4510</v>
      </c>
      <c r="H8" s="95"/>
      <c r="I8" s="102" t="s">
        <v>4511</v>
      </c>
    </row>
    <row r="9" spans="1:9" ht="33" customHeight="1">
      <c r="A9" s="7" t="s">
        <v>4488</v>
      </c>
      <c r="B9" s="7" t="s">
        <v>4512</v>
      </c>
      <c r="C9" s="79" t="s">
        <v>4513</v>
      </c>
      <c r="D9" s="81" t="s">
        <v>559</v>
      </c>
      <c r="E9" s="81" t="s">
        <v>559</v>
      </c>
      <c r="F9" s="7" t="s">
        <v>1033</v>
      </c>
      <c r="G9" s="96"/>
      <c r="H9" s="95"/>
      <c r="I9" s="98"/>
    </row>
    <row r="10" spans="1:9" ht="108" customHeight="1">
      <c r="A10" s="7" t="s">
        <v>4514</v>
      </c>
      <c r="B10" s="7" t="s">
        <v>4515</v>
      </c>
      <c r="C10" s="79" t="s">
        <v>4516</v>
      </c>
      <c r="D10" s="81" t="s">
        <v>559</v>
      </c>
      <c r="E10" s="81" t="s">
        <v>559</v>
      </c>
      <c r="F10" s="47" t="s">
        <v>4506</v>
      </c>
      <c r="G10" s="96" t="s">
        <v>4517</v>
      </c>
      <c r="H10" s="95"/>
      <c r="I10" s="101" t="s">
        <v>4518</v>
      </c>
    </row>
    <row r="11" spans="1:9" ht="215.25" customHeight="1">
      <c r="A11" s="7" t="s">
        <v>4514</v>
      </c>
      <c r="B11" s="7" t="s">
        <v>4489</v>
      </c>
      <c r="C11" s="79" t="s">
        <v>4519</v>
      </c>
      <c r="D11" s="81" t="s">
        <v>559</v>
      </c>
      <c r="E11" s="81" t="s">
        <v>559</v>
      </c>
      <c r="F11" s="47">
        <v>46359</v>
      </c>
      <c r="G11" s="96" t="s">
        <v>4520</v>
      </c>
      <c r="H11" s="95" t="s">
        <v>1028</v>
      </c>
      <c r="I11" s="106" t="s">
        <v>4521</v>
      </c>
    </row>
    <row r="12" spans="1:9" ht="113.25" customHeight="1">
      <c r="A12" s="7" t="s">
        <v>4514</v>
      </c>
      <c r="B12" s="7" t="s">
        <v>4522</v>
      </c>
      <c r="C12" s="79" t="s">
        <v>4523</v>
      </c>
      <c r="D12" s="81" t="s">
        <v>559</v>
      </c>
      <c r="E12" s="81" t="s">
        <v>559</v>
      </c>
      <c r="F12" s="47">
        <v>46298</v>
      </c>
      <c r="G12" s="96" t="s">
        <v>4524</v>
      </c>
      <c r="H12" s="95"/>
      <c r="I12" s="102"/>
    </row>
    <row r="13" spans="1:9" ht="171.75" customHeight="1">
      <c r="A13" s="7" t="s">
        <v>4514</v>
      </c>
      <c r="B13" s="7" t="s">
        <v>4525</v>
      </c>
      <c r="C13" s="79" t="s">
        <v>4526</v>
      </c>
      <c r="D13" s="81" t="s">
        <v>559</v>
      </c>
      <c r="E13" s="81" t="s">
        <v>559</v>
      </c>
      <c r="F13" s="47">
        <v>46298</v>
      </c>
      <c r="G13" s="96" t="s">
        <v>4527</v>
      </c>
      <c r="H13" s="95"/>
      <c r="I13" s="101" t="s">
        <v>4528</v>
      </c>
    </row>
    <row r="14" spans="1:9" ht="96" customHeight="1">
      <c r="A14" s="7" t="s">
        <v>4514</v>
      </c>
      <c r="B14" s="7" t="s">
        <v>4529</v>
      </c>
      <c r="C14" s="79" t="s">
        <v>4530</v>
      </c>
      <c r="D14" s="81" t="s">
        <v>559</v>
      </c>
      <c r="E14" s="81" t="s">
        <v>559</v>
      </c>
      <c r="F14" s="47">
        <v>46298</v>
      </c>
      <c r="G14" s="96" t="s">
        <v>4531</v>
      </c>
      <c r="H14" s="95" t="s">
        <v>1028</v>
      </c>
      <c r="I14" s="106" t="s">
        <v>4532</v>
      </c>
    </row>
    <row r="15" spans="1:9" ht="198" customHeight="1">
      <c r="A15" s="7" t="s">
        <v>4514</v>
      </c>
      <c r="B15" s="7" t="s">
        <v>4533</v>
      </c>
      <c r="C15" s="79" t="s">
        <v>4534</v>
      </c>
      <c r="D15" s="81" t="s">
        <v>559</v>
      </c>
      <c r="E15" s="81" t="s">
        <v>559</v>
      </c>
      <c r="F15" s="47" t="s">
        <v>2580</v>
      </c>
      <c r="G15" s="96" t="s">
        <v>4535</v>
      </c>
      <c r="H15" s="99"/>
      <c r="I15" s="103"/>
    </row>
    <row r="16" spans="1:9" ht="259.5" customHeight="1">
      <c r="A16" s="7" t="s">
        <v>4514</v>
      </c>
      <c r="B16" s="7" t="s">
        <v>4536</v>
      </c>
      <c r="C16" s="79" t="s">
        <v>4537</v>
      </c>
      <c r="D16" s="81" t="s">
        <v>559</v>
      </c>
      <c r="E16" s="81" t="s">
        <v>559</v>
      </c>
      <c r="F16" s="47">
        <v>46298</v>
      </c>
      <c r="G16" s="96" t="s">
        <v>4538</v>
      </c>
      <c r="H16" s="95"/>
      <c r="I16" s="102"/>
    </row>
    <row r="17" spans="1:9" ht="375">
      <c r="A17" s="7" t="s">
        <v>4514</v>
      </c>
      <c r="B17" s="7" t="s">
        <v>4539</v>
      </c>
      <c r="C17" s="79" t="s">
        <v>4540</v>
      </c>
      <c r="D17" s="81" t="s">
        <v>559</v>
      </c>
      <c r="E17" s="81" t="s">
        <v>559</v>
      </c>
      <c r="F17" s="47">
        <v>46298</v>
      </c>
      <c r="G17" s="96" t="s">
        <v>4541</v>
      </c>
      <c r="H17" s="95"/>
      <c r="I17" s="102"/>
    </row>
    <row r="18" spans="1:9" ht="111" customHeight="1">
      <c r="A18" s="7" t="s">
        <v>4542</v>
      </c>
      <c r="B18" s="7" t="s">
        <v>4529</v>
      </c>
      <c r="C18" s="79" t="s">
        <v>4543</v>
      </c>
      <c r="D18" s="81" t="s">
        <v>559</v>
      </c>
      <c r="E18" s="81" t="s">
        <v>559</v>
      </c>
      <c r="F18" s="47">
        <v>46298</v>
      </c>
      <c r="G18" s="96" t="s">
        <v>4544</v>
      </c>
      <c r="H18" s="95"/>
      <c r="I18" s="102"/>
    </row>
    <row r="19" spans="1:9" ht="409.6">
      <c r="A19" s="7" t="s">
        <v>4542</v>
      </c>
      <c r="B19" s="7" t="s">
        <v>4545</v>
      </c>
      <c r="C19" s="79" t="s">
        <v>4546</v>
      </c>
      <c r="D19" s="81" t="s">
        <v>559</v>
      </c>
      <c r="E19" s="81" t="s">
        <v>559</v>
      </c>
      <c r="F19" s="47">
        <v>46298</v>
      </c>
      <c r="G19" s="96" t="s">
        <v>4547</v>
      </c>
      <c r="H19" s="95"/>
      <c r="I19" s="102"/>
    </row>
    <row r="20" spans="1:9" ht="45.75" customHeight="1">
      <c r="A20" s="7" t="s">
        <v>4542</v>
      </c>
      <c r="B20" s="7" t="s">
        <v>4548</v>
      </c>
      <c r="C20" s="79" t="s">
        <v>4549</v>
      </c>
      <c r="D20" s="81" t="s">
        <v>559</v>
      </c>
      <c r="E20" s="81" t="s">
        <v>559</v>
      </c>
      <c r="F20" s="47" t="s">
        <v>2580</v>
      </c>
      <c r="G20" s="96" t="s">
        <v>4550</v>
      </c>
      <c r="H20" s="95"/>
      <c r="I20" s="102"/>
    </row>
    <row r="21" spans="1:9" ht="409.6">
      <c r="A21" s="7" t="s">
        <v>4542</v>
      </c>
      <c r="B21" s="7" t="s">
        <v>4551</v>
      </c>
      <c r="C21" s="79" t="s">
        <v>4552</v>
      </c>
      <c r="D21" s="81" t="s">
        <v>559</v>
      </c>
      <c r="E21" s="81" t="s">
        <v>559</v>
      </c>
      <c r="F21" s="47" t="s">
        <v>2580</v>
      </c>
      <c r="G21" s="96" t="s">
        <v>4553</v>
      </c>
      <c r="H21" s="100"/>
      <c r="I21" s="104"/>
    </row>
    <row r="22" spans="1:9" ht="198.75" customHeight="1">
      <c r="A22" s="7" t="s">
        <v>4542</v>
      </c>
      <c r="B22" s="7" t="s">
        <v>4554</v>
      </c>
      <c r="C22" s="79" t="s">
        <v>4555</v>
      </c>
      <c r="D22" s="81" t="s">
        <v>559</v>
      </c>
      <c r="E22" s="81" t="s">
        <v>559</v>
      </c>
      <c r="F22" s="47" t="s">
        <v>2580</v>
      </c>
      <c r="G22" s="96" t="s">
        <v>4556</v>
      </c>
      <c r="H22" s="95" t="s">
        <v>1028</v>
      </c>
      <c r="I22" s="106" t="s">
        <v>4557</v>
      </c>
    </row>
    <row r="23" spans="1:9" ht="409.6">
      <c r="A23" s="7" t="s">
        <v>4542</v>
      </c>
      <c r="B23" s="7" t="s">
        <v>4558</v>
      </c>
      <c r="C23" s="79" t="s">
        <v>4559</v>
      </c>
      <c r="D23" s="81" t="s">
        <v>559</v>
      </c>
      <c r="E23" s="81" t="s">
        <v>559</v>
      </c>
      <c r="F23" s="7" t="s">
        <v>2580</v>
      </c>
      <c r="G23" s="96" t="s">
        <v>4560</v>
      </c>
      <c r="H23" s="95"/>
      <c r="I23" s="102"/>
    </row>
    <row r="24" spans="1:9" ht="409.6">
      <c r="A24" s="7" t="s">
        <v>4542</v>
      </c>
      <c r="B24" s="7" t="s">
        <v>4561</v>
      </c>
      <c r="C24" s="79" t="s">
        <v>4562</v>
      </c>
      <c r="D24" s="81" t="s">
        <v>559</v>
      </c>
      <c r="E24" s="81" t="s">
        <v>559</v>
      </c>
      <c r="F24" s="47" t="s">
        <v>2580</v>
      </c>
      <c r="G24" s="96" t="s">
        <v>4563</v>
      </c>
      <c r="H24" s="95"/>
      <c r="I24" s="101"/>
    </row>
    <row r="25" spans="1:9">
      <c r="A25" s="7" t="s">
        <v>4542</v>
      </c>
      <c r="B25" s="7" t="s">
        <v>4564</v>
      </c>
      <c r="C25" s="79" t="s">
        <v>579</v>
      </c>
      <c r="D25" s="81" t="s">
        <v>559</v>
      </c>
      <c r="E25" s="81" t="s">
        <v>559</v>
      </c>
      <c r="F25" s="7" t="s">
        <v>2580</v>
      </c>
      <c r="G25" s="96" t="s">
        <v>4565</v>
      </c>
      <c r="H25" s="95"/>
      <c r="I25" s="101"/>
    </row>
    <row r="26" spans="1:9" ht="57.75">
      <c r="A26" s="7" t="s">
        <v>4542</v>
      </c>
      <c r="B26" s="7" t="s">
        <v>4566</v>
      </c>
      <c r="C26" s="79" t="s">
        <v>4567</v>
      </c>
      <c r="D26" s="81" t="s">
        <v>559</v>
      </c>
      <c r="E26" s="81" t="s">
        <v>559</v>
      </c>
      <c r="F26" s="7" t="s">
        <v>2580</v>
      </c>
      <c r="G26" s="96" t="s">
        <v>4568</v>
      </c>
      <c r="H26" s="95"/>
      <c r="I26" s="102"/>
    </row>
    <row r="27" spans="1:9" ht="231.75" customHeight="1">
      <c r="A27" s="7" t="s">
        <v>4569</v>
      </c>
      <c r="B27" s="7" t="s">
        <v>4570</v>
      </c>
      <c r="C27" s="79" t="s">
        <v>4571</v>
      </c>
      <c r="D27" s="81" t="s">
        <v>559</v>
      </c>
      <c r="E27" s="81" t="s">
        <v>559</v>
      </c>
      <c r="F27" s="47" t="s">
        <v>701</v>
      </c>
      <c r="G27" s="96" t="s">
        <v>4572</v>
      </c>
      <c r="H27" s="95"/>
      <c r="I27" s="102" t="s">
        <v>4573</v>
      </c>
    </row>
    <row r="28" spans="1:9" ht="346.5">
      <c r="A28" s="7" t="s">
        <v>4569</v>
      </c>
      <c r="B28" s="7" t="s">
        <v>4574</v>
      </c>
      <c r="C28" s="79" t="s">
        <v>4575</v>
      </c>
      <c r="D28" s="81" t="s">
        <v>559</v>
      </c>
      <c r="E28" s="81" t="s">
        <v>559</v>
      </c>
      <c r="F28" s="47" t="s">
        <v>2580</v>
      </c>
      <c r="G28" s="96" t="s">
        <v>4576</v>
      </c>
      <c r="H28" s="95"/>
      <c r="I28" s="102"/>
    </row>
    <row r="29" spans="1:9" ht="78.75" customHeight="1">
      <c r="A29" s="7" t="s">
        <v>4569</v>
      </c>
      <c r="B29" s="7" t="s">
        <v>4577</v>
      </c>
      <c r="C29" s="79" t="s">
        <v>4578</v>
      </c>
      <c r="D29" s="81" t="s">
        <v>559</v>
      </c>
      <c r="E29" s="81" t="s">
        <v>559</v>
      </c>
      <c r="F29" s="47" t="s">
        <v>701</v>
      </c>
      <c r="G29" s="96" t="s">
        <v>4579</v>
      </c>
      <c r="H29" s="95"/>
      <c r="I29" s="102" t="s">
        <v>4573</v>
      </c>
    </row>
    <row r="30" spans="1:9" ht="101.25">
      <c r="A30" s="7" t="s">
        <v>4569</v>
      </c>
      <c r="B30" s="7" t="s">
        <v>4580</v>
      </c>
      <c r="C30" s="79" t="s">
        <v>4581</v>
      </c>
      <c r="D30" s="81" t="s">
        <v>559</v>
      </c>
      <c r="E30" s="81" t="s">
        <v>559</v>
      </c>
      <c r="F30" s="47" t="s">
        <v>701</v>
      </c>
      <c r="G30" s="96" t="s">
        <v>4582</v>
      </c>
      <c r="H30" s="95"/>
      <c r="I30" s="102" t="s">
        <v>4573</v>
      </c>
    </row>
    <row r="31" spans="1:9" ht="214.5" customHeight="1">
      <c r="A31" s="7" t="s">
        <v>4583</v>
      </c>
      <c r="B31" s="7" t="s">
        <v>4584</v>
      </c>
      <c r="C31" s="79" t="s">
        <v>4585</v>
      </c>
      <c r="D31" s="81" t="s">
        <v>559</v>
      </c>
      <c r="E31" s="81" t="s">
        <v>559</v>
      </c>
      <c r="F31" s="47">
        <v>46298</v>
      </c>
      <c r="G31" s="96" t="s">
        <v>4586</v>
      </c>
      <c r="H31" s="95"/>
      <c r="I31" s="101" t="s">
        <v>4587</v>
      </c>
    </row>
    <row r="32" spans="1:9">
      <c r="A32" s="7" t="s">
        <v>4583</v>
      </c>
      <c r="B32" s="7" t="s">
        <v>4588</v>
      </c>
      <c r="C32" s="4" t="s">
        <v>584</v>
      </c>
      <c r="D32" s="81" t="s">
        <v>559</v>
      </c>
      <c r="E32" s="81" t="s">
        <v>559</v>
      </c>
      <c r="F32" s="47">
        <v>46055</v>
      </c>
      <c r="G32" s="96"/>
      <c r="H32" s="95"/>
      <c r="I32" s="102"/>
    </row>
    <row r="33" spans="1:9" ht="240.75" customHeight="1">
      <c r="A33" s="7" t="s">
        <v>4583</v>
      </c>
      <c r="B33" s="7" t="s">
        <v>4589</v>
      </c>
      <c r="C33" s="79" t="s">
        <v>4590</v>
      </c>
      <c r="D33" s="81" t="s">
        <v>559</v>
      </c>
      <c r="E33" s="81" t="s">
        <v>559</v>
      </c>
      <c r="F33" s="47" t="s">
        <v>2580</v>
      </c>
      <c r="G33" s="96" t="s">
        <v>4591</v>
      </c>
      <c r="H33" s="95"/>
      <c r="I33" s="102"/>
    </row>
    <row r="34" spans="1:9" ht="105.75" customHeight="1">
      <c r="A34" s="7" t="s">
        <v>4583</v>
      </c>
      <c r="B34" s="7" t="s">
        <v>4592</v>
      </c>
      <c r="C34" s="79" t="s">
        <v>4593</v>
      </c>
      <c r="D34" s="81" t="s">
        <v>559</v>
      </c>
      <c r="E34" s="81" t="s">
        <v>559</v>
      </c>
      <c r="F34" s="47">
        <v>46298</v>
      </c>
      <c r="G34" s="96" t="s">
        <v>4594</v>
      </c>
      <c r="H34" s="95"/>
      <c r="I34" s="102"/>
    </row>
    <row r="35" spans="1:9" ht="80.25" customHeight="1">
      <c r="A35" s="7" t="s">
        <v>4583</v>
      </c>
      <c r="B35" s="7" t="s">
        <v>4595</v>
      </c>
      <c r="C35" s="79" t="s">
        <v>4578</v>
      </c>
      <c r="D35" s="81" t="s">
        <v>559</v>
      </c>
      <c r="E35" s="81" t="s">
        <v>559</v>
      </c>
      <c r="F35" s="47">
        <v>46298</v>
      </c>
      <c r="G35" s="96" t="s">
        <v>4596</v>
      </c>
      <c r="H35" s="95"/>
      <c r="I35" s="102"/>
    </row>
    <row r="36" spans="1:9" ht="30">
      <c r="A36" s="7" t="s">
        <v>4583</v>
      </c>
      <c r="B36" s="7" t="s">
        <v>4597</v>
      </c>
      <c r="C36" s="79" t="s">
        <v>4581</v>
      </c>
      <c r="D36" s="81" t="s">
        <v>559</v>
      </c>
      <c r="E36" s="81" t="s">
        <v>559</v>
      </c>
      <c r="F36" s="47">
        <v>46298</v>
      </c>
      <c r="G36" s="96" t="s">
        <v>4598</v>
      </c>
      <c r="H36" s="95"/>
      <c r="I36" s="102"/>
    </row>
    <row r="37" spans="1:9">
      <c r="I37" s="107"/>
    </row>
    <row r="38" spans="1:9">
      <c r="I38" s="107"/>
    </row>
    <row r="39" spans="1:9">
      <c r="I39" s="107"/>
    </row>
    <row r="40" spans="1:9">
      <c r="I40" s="107"/>
    </row>
    <row r="41" spans="1:9">
      <c r="I41" s="107"/>
    </row>
    <row r="42" spans="1:9">
      <c r="I42" s="107"/>
    </row>
    <row r="43" spans="1:9">
      <c r="I43" s="107"/>
    </row>
    <row r="44" spans="1:9">
      <c r="I44" s="107"/>
    </row>
    <row r="45" spans="1:9">
      <c r="I45" s="107"/>
    </row>
    <row r="46" spans="1:9">
      <c r="I46" s="107"/>
    </row>
    <row r="47" spans="1:9">
      <c r="I47" s="107"/>
    </row>
    <row r="48" spans="1:9">
      <c r="I48" s="107"/>
    </row>
    <row r="49" spans="9:9">
      <c r="I49" s="107"/>
    </row>
    <row r="50" spans="9:9">
      <c r="I50" s="108"/>
    </row>
    <row r="51" spans="9:9">
      <c r="I51" s="108"/>
    </row>
    <row r="52" spans="9:9">
      <c r="I52" s="107"/>
    </row>
    <row r="53" spans="9:9">
      <c r="I53" s="107"/>
    </row>
    <row r="54" spans="9:9">
      <c r="I54" s="107"/>
    </row>
    <row r="55" spans="9:9">
      <c r="I55" s="107"/>
    </row>
    <row r="56" spans="9:9">
      <c r="I56" s="107"/>
    </row>
    <row r="57" spans="9:9">
      <c r="I57" s="107"/>
    </row>
    <row r="58" spans="9:9">
      <c r="I58" s="107"/>
    </row>
    <row r="59" spans="9:9">
      <c r="I59" s="107"/>
    </row>
    <row r="60" spans="9:9">
      <c r="I60" s="107"/>
    </row>
    <row r="61" spans="9:9">
      <c r="I61" s="107"/>
    </row>
    <row r="62" spans="9:9">
      <c r="I62" s="107"/>
    </row>
    <row r="63" spans="9:9">
      <c r="I63" s="107"/>
    </row>
    <row r="64" spans="9:9">
      <c r="I64" s="107"/>
    </row>
    <row r="65" spans="9:9">
      <c r="I65" s="107"/>
    </row>
  </sheetData>
  <autoFilter ref="A1:I36" xr:uid="{E989DC4A-2169-4B1D-A782-1B9E3C5A2B29}"/>
  <dataValidations count="1">
    <dataValidation type="list" allowBlank="1" showInputMessage="1" showErrorMessage="1" sqref="H2:H1048576" xr:uid="{6931F3E3-4026-450C-BB3E-CC0A50A0048A}">
      <formula1>"Fixed, In Progress, Need Discussion, Rejected, Duplicate"</formula1>
    </dataValidation>
  </dataValidations>
  <pageMargins left="0.7" right="0.7" top="0.75" bottom="0.75" header="0.3" footer="0.3"/>
  <headerFooter>
    <oddFooter>&amp;C_x000D_&amp;1#&amp;"Aptos"&amp;12&amp;K000000 SBI Card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3FEA-C3C0-4F68-9CA7-50ED9B104170}">
  <dimension ref="A1:U7"/>
  <sheetViews>
    <sheetView tabSelected="1" workbookViewId="0">
      <selection activeCell="D9" sqref="D9"/>
    </sheetView>
  </sheetViews>
  <sheetFormatPr defaultRowHeight="15"/>
  <cols>
    <col min="1" max="1" width="15.5703125" customWidth="1"/>
    <col min="2" max="2" width="12.140625" customWidth="1"/>
    <col min="3" max="3" width="9.140625" bestFit="1" customWidth="1"/>
    <col min="4" max="4" width="16.140625" customWidth="1"/>
    <col min="5" max="5" width="24.5703125" customWidth="1"/>
    <col min="6" max="7" width="9.140625" bestFit="1" customWidth="1"/>
    <col min="8" max="8" width="25.85546875" style="129" customWidth="1"/>
    <col min="9" max="9" width="35.28515625" customWidth="1"/>
    <col min="10" max="10" width="63.42578125" customWidth="1"/>
    <col min="11" max="11" width="49" customWidth="1"/>
    <col min="12" max="12" width="37.140625" customWidth="1"/>
    <col min="13" max="13" width="13" customWidth="1"/>
    <col min="14" max="14" width="17.28515625" customWidth="1"/>
    <col min="15" max="15" width="15.7109375" customWidth="1"/>
    <col min="16" max="16" width="14.85546875" customWidth="1"/>
    <col min="17" max="17" width="15" customWidth="1"/>
    <col min="18" max="18" width="17.28515625" customWidth="1"/>
    <col min="19" max="19" width="28.42578125" customWidth="1"/>
    <col min="20" max="20" width="16.28515625" customWidth="1"/>
  </cols>
  <sheetData>
    <row r="1" spans="1:21">
      <c r="A1" s="1" t="s">
        <v>889</v>
      </c>
      <c r="B1" s="1" t="s">
        <v>890</v>
      </c>
      <c r="C1" s="1" t="s">
        <v>739</v>
      </c>
      <c r="D1" s="1" t="s">
        <v>891</v>
      </c>
      <c r="E1" s="1" t="s">
        <v>740</v>
      </c>
      <c r="F1" s="1" t="s">
        <v>460</v>
      </c>
      <c r="G1" s="1" t="s">
        <v>892</v>
      </c>
      <c r="H1" s="1" t="s">
        <v>893</v>
      </c>
      <c r="I1" s="1" t="s">
        <v>894</v>
      </c>
      <c r="J1" s="6" t="s">
        <v>895</v>
      </c>
      <c r="K1" s="6" t="s">
        <v>896</v>
      </c>
      <c r="L1" s="6" t="s">
        <v>897</v>
      </c>
      <c r="M1" s="6" t="s">
        <v>898</v>
      </c>
      <c r="N1" s="6" t="s">
        <v>744</v>
      </c>
      <c r="O1" s="1" t="s">
        <v>899</v>
      </c>
      <c r="P1" s="301" t="s">
        <v>900</v>
      </c>
      <c r="Q1" s="1" t="s">
        <v>901</v>
      </c>
      <c r="R1" s="2" t="s">
        <v>902</v>
      </c>
      <c r="S1" s="123" t="s">
        <v>276</v>
      </c>
      <c r="T1" s="169" t="s">
        <v>903</v>
      </c>
    </row>
    <row r="2" spans="1:21" s="300" customFormat="1">
      <c r="A2" s="292" t="s">
        <v>1233</v>
      </c>
      <c r="B2" s="293" t="s">
        <v>1139</v>
      </c>
      <c r="C2" s="292" t="s">
        <v>746</v>
      </c>
      <c r="D2" s="292" t="s">
        <v>906</v>
      </c>
      <c r="E2" s="294" t="s">
        <v>1003</v>
      </c>
      <c r="F2" s="395" t="s">
        <v>39</v>
      </c>
      <c r="G2" s="395" t="s">
        <v>12</v>
      </c>
      <c r="H2" s="292" t="s">
        <v>1109</v>
      </c>
      <c r="I2" s="396" t="s">
        <v>1234</v>
      </c>
      <c r="J2" s="396" t="s">
        <v>1235</v>
      </c>
      <c r="K2" s="296" t="s">
        <v>1236</v>
      </c>
      <c r="L2" s="406" t="s">
        <v>39</v>
      </c>
      <c r="M2" s="395" t="s">
        <v>912</v>
      </c>
      <c r="N2" s="294" t="s">
        <v>752</v>
      </c>
      <c r="O2" s="407"/>
      <c r="P2" s="408"/>
      <c r="Q2" s="292" t="s">
        <v>4</v>
      </c>
      <c r="R2" s="409">
        <v>46267</v>
      </c>
      <c r="S2" s="410" t="s">
        <v>1237</v>
      </c>
      <c r="T2" s="395" t="s">
        <v>1028</v>
      </c>
    </row>
    <row r="3" spans="1:21" s="300" customFormat="1">
      <c r="A3" s="292" t="s">
        <v>3510</v>
      </c>
      <c r="B3" s="292" t="s">
        <v>1010</v>
      </c>
      <c r="C3" s="292" t="s">
        <v>746</v>
      </c>
      <c r="D3" s="292" t="s">
        <v>906</v>
      </c>
      <c r="E3" s="294" t="s">
        <v>828</v>
      </c>
      <c r="F3" s="294" t="s">
        <v>12</v>
      </c>
      <c r="G3" s="292" t="s">
        <v>1799</v>
      </c>
      <c r="H3" s="412" t="s">
        <v>176</v>
      </c>
      <c r="I3" s="295" t="s">
        <v>3511</v>
      </c>
      <c r="J3" s="295" t="s">
        <v>3512</v>
      </c>
      <c r="K3" s="296" t="s">
        <v>3513</v>
      </c>
      <c r="L3" s="295" t="s">
        <v>39</v>
      </c>
      <c r="M3" s="292" t="s">
        <v>39</v>
      </c>
      <c r="N3" s="294" t="s">
        <v>912</v>
      </c>
      <c r="O3" s="294" t="s">
        <v>752</v>
      </c>
      <c r="P3" s="292"/>
      <c r="Q3" s="294"/>
      <c r="R3" s="292" t="s">
        <v>4</v>
      </c>
      <c r="S3" s="292" t="s">
        <v>3174</v>
      </c>
      <c r="T3" s="411" t="s">
        <v>3514</v>
      </c>
    </row>
    <row r="4" spans="1:21">
      <c r="A4" s="7" t="s">
        <v>4080</v>
      </c>
      <c r="B4" s="7" t="s">
        <v>1159</v>
      </c>
      <c r="C4" s="7" t="s">
        <v>746</v>
      </c>
      <c r="D4" s="7" t="s">
        <v>906</v>
      </c>
      <c r="E4" s="32" t="s">
        <v>828</v>
      </c>
      <c r="F4" s="32" t="s">
        <v>6</v>
      </c>
      <c r="G4" s="7" t="s">
        <v>2302</v>
      </c>
      <c r="H4" s="243" t="s">
        <v>4081</v>
      </c>
      <c r="I4" s="14" t="s">
        <v>4082</v>
      </c>
      <c r="J4" s="14" t="s">
        <v>4083</v>
      </c>
      <c r="K4" s="56" t="s">
        <v>4084</v>
      </c>
      <c r="L4" s="56" t="s">
        <v>4085</v>
      </c>
      <c r="M4" s="7" t="s">
        <v>39</v>
      </c>
      <c r="N4" s="32" t="s">
        <v>912</v>
      </c>
      <c r="O4" s="32" t="s">
        <v>752</v>
      </c>
      <c r="P4" s="7" t="s">
        <v>3007</v>
      </c>
      <c r="Q4" s="14" t="s">
        <v>3008</v>
      </c>
      <c r="R4" s="7" t="s">
        <v>4</v>
      </c>
      <c r="S4" s="7" t="s">
        <v>1278</v>
      </c>
      <c r="T4" s="405" t="s">
        <v>4086</v>
      </c>
    </row>
    <row r="5" spans="1:21" s="300" customFormat="1">
      <c r="A5" s="292" t="s">
        <v>2502</v>
      </c>
      <c r="B5" s="293">
        <v>46145</v>
      </c>
      <c r="C5" s="292" t="s">
        <v>746</v>
      </c>
      <c r="D5" s="292" t="s">
        <v>906</v>
      </c>
      <c r="E5" s="294" t="s">
        <v>828</v>
      </c>
      <c r="F5" s="292" t="s">
        <v>39</v>
      </c>
      <c r="G5" s="292" t="s">
        <v>6</v>
      </c>
      <c r="H5" s="292" t="s">
        <v>907</v>
      </c>
      <c r="I5" s="295" t="s">
        <v>2498</v>
      </c>
      <c r="J5" s="295" t="s">
        <v>2499</v>
      </c>
      <c r="K5" s="296" t="s">
        <v>2500</v>
      </c>
      <c r="L5" s="295" t="s">
        <v>39</v>
      </c>
      <c r="M5" s="294" t="s">
        <v>912</v>
      </c>
      <c r="N5" s="294" t="s">
        <v>752</v>
      </c>
      <c r="O5" s="292"/>
      <c r="P5" s="297"/>
      <c r="Q5" s="292" t="s">
        <v>4</v>
      </c>
      <c r="R5" s="292"/>
      <c r="S5" s="298"/>
      <c r="T5" s="299"/>
    </row>
    <row r="6" spans="1:21" s="300" customFormat="1">
      <c r="A6" s="292" t="s">
        <v>1744</v>
      </c>
      <c r="B6" s="292" t="s">
        <v>1564</v>
      </c>
      <c r="C6" s="292" t="s">
        <v>754</v>
      </c>
      <c r="D6" s="292" t="s">
        <v>906</v>
      </c>
      <c r="E6" s="294" t="s">
        <v>1574</v>
      </c>
      <c r="F6" s="292" t="s">
        <v>39</v>
      </c>
      <c r="G6" s="292" t="s">
        <v>12</v>
      </c>
      <c r="H6" s="292" t="s">
        <v>1171</v>
      </c>
      <c r="I6" s="295" t="s">
        <v>1745</v>
      </c>
      <c r="J6" s="295" t="s">
        <v>1746</v>
      </c>
      <c r="K6" s="295" t="s">
        <v>1747</v>
      </c>
      <c r="L6" s="295"/>
      <c r="M6" s="294" t="s">
        <v>912</v>
      </c>
      <c r="N6" s="294" t="s">
        <v>1748</v>
      </c>
      <c r="O6" s="292"/>
      <c r="P6" s="297"/>
      <c r="Q6" s="292" t="s">
        <v>4</v>
      </c>
      <c r="R6" s="293">
        <v>46176</v>
      </c>
      <c r="S6" s="402" t="s">
        <v>1749</v>
      </c>
      <c r="T6" s="292"/>
    </row>
    <row r="7" spans="1:21">
      <c r="A7" s="7" t="s">
        <v>4313</v>
      </c>
      <c r="B7" s="7" t="s">
        <v>3174</v>
      </c>
      <c r="C7" s="7" t="s">
        <v>746</v>
      </c>
      <c r="D7" s="7" t="s">
        <v>906</v>
      </c>
      <c r="E7" s="32" t="s">
        <v>828</v>
      </c>
      <c r="F7" s="32" t="s">
        <v>6</v>
      </c>
      <c r="G7" s="7" t="s">
        <v>2302</v>
      </c>
      <c r="H7" s="32" t="s">
        <v>70</v>
      </c>
      <c r="I7" s="14" t="s">
        <v>2988</v>
      </c>
      <c r="J7" s="14" t="s">
        <v>4314</v>
      </c>
      <c r="K7" s="56" t="s">
        <v>4315</v>
      </c>
      <c r="L7" s="14" t="s">
        <v>39</v>
      </c>
      <c r="M7" s="7" t="s">
        <v>39</v>
      </c>
      <c r="N7" s="32" t="s">
        <v>912</v>
      </c>
      <c r="O7" s="32" t="s">
        <v>1748</v>
      </c>
      <c r="P7" s="7"/>
      <c r="Q7" s="14"/>
      <c r="R7" s="7" t="s">
        <v>4</v>
      </c>
      <c r="S7" s="7"/>
      <c r="T7" s="4"/>
      <c r="U7" s="160"/>
    </row>
  </sheetData>
  <autoFilter ref="A1:T1" xr:uid="{0A4B3FEA-C3C0-4F68-9CA7-50ED9B104170}"/>
  <dataValidations count="10">
    <dataValidation allowBlank="1" showInputMessage="1" showErrorMessage="1" sqref="R1 M2:N2 O3:O4 S3:T4 Q2:Q4 R5:R6 O7 Q7 S7:T7 D1:D7" xr:uid="{EA70B912-2A79-46CA-A8AF-B8ED51C7931F}"/>
    <dataValidation type="list" allowBlank="1" showInputMessage="1" showErrorMessage="1" sqref="T5:T6 U7 T2" xr:uid="{DF47E9BA-4DAE-48AE-B808-8D0594622A4A}">
      <formula1>"Fixed, Pending, Reopen"</formula1>
    </dataValidation>
    <dataValidation type="list" allowBlank="1" showInputMessage="1" showErrorMessage="1" sqref="F3:F4 G5:G6 F7 G2" xr:uid="{FD10DC8E-D517-4A19-BDED-6DFCC4513041}">
      <formula1>"PVT, UAT, HTML/CSS"</formula1>
    </dataValidation>
    <dataValidation type="list" allowBlank="1" showInputMessage="1" showErrorMessage="1" sqref="T3:T4 R3:R4 R7 T7 Q2" xr:uid="{769F2526-055B-4541-9D11-BF79C4E210E0}">
      <formula1>"Open, Hold, Resolved, Reopened, Need Discussion"</formula1>
    </dataValidation>
    <dataValidation type="list" allowBlank="1" showInputMessage="1" showErrorMessage="1" sqref="P2 O5:O6 P7" xr:uid="{B22560A5-69AE-4DAC-9764-AC51D4CEA4DB}">
      <formula1>"Fixed, In Progress, Need Discussion"</formula1>
    </dataValidation>
    <dataValidation type="list" allowBlank="1" showInputMessage="1" showErrorMessage="1" sqref="Q5" xr:uid="{7569D7AA-0039-42B5-9AC8-008C561C946F}">
      <formula1>"Open, Resolved, Hold,  Reopened, Need Discussion"</formula1>
    </dataValidation>
    <dataValidation type="list" allowBlank="1" showInputMessage="1" showErrorMessage="1" sqref="P3:P4" xr:uid="{C18A2564-D85D-4671-A64B-F3ED87375FEC}">
      <formula1>"Fixed, In-Progress, Need-Discussion, Duplicate, Rejected, Blocked"</formula1>
    </dataValidation>
    <dataValidation type="list" allowBlank="1" showInputMessage="1" showErrorMessage="1" sqref="N3:N4 N7" xr:uid="{168285F4-76E6-4EA6-BF11-855F2208E6B4}">
      <formula1>"Sampreet"</formula1>
    </dataValidation>
    <dataValidation type="list" allowBlank="1" showInputMessage="1" showErrorMessage="1" sqref="Q6" xr:uid="{9D4BCF6A-8A92-479E-9973-C72797C17AF1}">
      <formula1>"Open, Resolved, Hold, Reopened, Need Discussion"</formula1>
    </dataValidation>
    <dataValidation type="list" allowBlank="1" showInputMessage="1" showErrorMessage="1" sqref="C2:C7" xr:uid="{A4A995AB-622B-4909-BF77-B9AF64AD59FC}">
      <formula1>"P0, P1, P2, P3"</formula1>
    </dataValidation>
  </dataValidations>
  <hyperlinks>
    <hyperlink ref="K2" r:id="rId1" xr:uid="{F939A3DA-878F-4A7A-BC96-E6F8CCE7CDE7}"/>
    <hyperlink ref="K3" r:id="rId2" xr:uid="{A2C423DE-7AC5-454A-85A2-4F55152D6A9E}"/>
    <hyperlink ref="H3" r:id="rId3" xr:uid="{4189010B-E2AD-4379-87C8-318983B5D6D6}"/>
    <hyperlink ref="K4" r:id="rId4" xr:uid="{98D4FF8B-7D8F-4696-B505-E921F3FA5BAC}"/>
    <hyperlink ref="L4" r:id="rId5" xr:uid="{E557F348-96EC-49F6-8711-0C266DBCBB5E}"/>
    <hyperlink ref="K5" r:id="rId6" xr:uid="{FB3FF2E5-DEA3-4FDF-83C0-9EBB4FF035B4}"/>
    <hyperlink ref="K7" r:id="rId7" xr:uid="{CB194159-C08F-4C34-9902-BCA55BB463C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3DCE4E19C3C4F88EB34FD9AEA4928" ma:contentTypeVersion="10" ma:contentTypeDescription="Create a new document." ma:contentTypeScope="" ma:versionID="5db4f025d15505f2331ce9990ef1697c">
  <xsd:schema xmlns:xsd="http://www.w3.org/2001/XMLSchema" xmlns:xs="http://www.w3.org/2001/XMLSchema" xmlns:p="http://schemas.microsoft.com/office/2006/metadata/properties" xmlns:ns2="48097b46-acca-45a2-b4cf-ab041f65b295" xmlns:ns3="b854fe5f-73d9-4b2e-914d-fdd194cf0985" targetNamespace="http://schemas.microsoft.com/office/2006/metadata/properties" ma:root="true" ma:fieldsID="b2fa06b40152e2114ba096f04a686b21" ns2:_="" ns3:_="">
    <xsd:import namespace="48097b46-acca-45a2-b4cf-ab041f65b295"/>
    <xsd:import namespace="b854fe5f-73d9-4b2e-914d-fdd194cf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97b46-acca-45a2-b4cf-ab041f65b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42798db-79d3-4202-bfed-a90f20051c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54fe5f-73d9-4b2e-914d-fdd194cf09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dd1c47-3225-461c-9245-c4dcea7e00c1}" ma:internalName="TaxCatchAll" ma:showField="CatchAllData" ma:web="b854fe5f-73d9-4b2e-914d-fdd194cf09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8097b46-acca-45a2-b4cf-ab041f65b295">
      <Terms xmlns="http://schemas.microsoft.com/office/infopath/2007/PartnerControls"/>
    </lcf76f155ced4ddcb4097134ff3c332f>
    <TaxCatchAll xmlns="b854fe5f-73d9-4b2e-914d-fdd194cf0985" xsi:nil="true"/>
  </documentManagement>
</p:properties>
</file>

<file path=customXml/itemProps1.xml><?xml version="1.0" encoding="utf-8"?>
<ds:datastoreItem xmlns:ds="http://schemas.openxmlformats.org/officeDocument/2006/customXml" ds:itemID="{6DE347EA-D611-490A-BB6A-95E7F6F093BF}"/>
</file>

<file path=customXml/itemProps2.xml><?xml version="1.0" encoding="utf-8"?>
<ds:datastoreItem xmlns:ds="http://schemas.openxmlformats.org/officeDocument/2006/customXml" ds:itemID="{3A8028D4-9A49-430E-80A6-C290B007BC75}"/>
</file>

<file path=customXml/itemProps3.xml><?xml version="1.0" encoding="utf-8"?>
<ds:datastoreItem xmlns:ds="http://schemas.openxmlformats.org/officeDocument/2006/customXml" ds:itemID="{CA38BD5B-53E0-410B-A90D-A87A6AB2D0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Laddha, Neha (SBICard)</dc:creator>
  <cp:keywords/>
  <dc:description/>
  <cp:lastModifiedBy/>
  <cp:revision/>
  <dcterms:created xsi:type="dcterms:W3CDTF">2026-01-16T05:09:03Z</dcterms:created>
  <dcterms:modified xsi:type="dcterms:W3CDTF">2026-03-18T06:00:01Z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0x010100C3A3DCE4E19C3C4F88EB34FD9AEA4928</vt:lpwstr>
  </property>
  <property fmtid="{D5CDD505-2E9C-101B-9397-08002B2CF9AE}" pid="3" name="MediaServiceImageTags">
    <vt:lpwstr/>
  </property>
  <property fmtid="{D5CDD505-2E9C-101B-9397-08002B2CF9AE}" pid="4" name="MSIP_Label_571a81e6-da78-4b3c-9e8e-baf707cee5b6_Enabled">
    <vt:lpwstr>true</vt:lpwstr>
  </property>
  <property fmtid="{D5CDD505-2E9C-101B-9397-08002B2CF9AE}" pid="5" name="MSIP_Label_571a81e6-da78-4b3c-9e8e-baf707cee5b6_SetDate">
    <vt:lpwstr>2026-02-03T17:05:48Z</vt:lpwstr>
  </property>
  <property fmtid="{D5CDD505-2E9C-101B-9397-08002B2CF9AE}" pid="6" name="MSIP_Label_571a81e6-da78-4b3c-9e8e-baf707cee5b6_Method">
    <vt:lpwstr>Standard</vt:lpwstr>
  </property>
  <property fmtid="{D5CDD505-2E9C-101B-9397-08002B2CF9AE}" pid="7" name="MSIP_Label_571a81e6-da78-4b3c-9e8e-baf707cee5b6_Name">
    <vt:lpwstr>SBI Card Restricted</vt:lpwstr>
  </property>
  <property fmtid="{D5CDD505-2E9C-101B-9397-08002B2CF9AE}" pid="8" name="MSIP_Label_571a81e6-da78-4b3c-9e8e-baf707cee5b6_SiteId">
    <vt:lpwstr>80940975-4f68-45c3-b5b6-4f9a76a187e2</vt:lpwstr>
  </property>
  <property fmtid="{D5CDD505-2E9C-101B-9397-08002B2CF9AE}" pid="9" name="MSIP_Label_571a81e6-da78-4b3c-9e8e-baf707cee5b6_ActionId">
    <vt:lpwstr>365a94a2-548e-4bbd-8830-e86ac8db5a10</vt:lpwstr>
  </property>
  <property fmtid="{D5CDD505-2E9C-101B-9397-08002B2CF9AE}" pid="10" name="MSIP_Label_571a81e6-da78-4b3c-9e8e-baf707cee5b6_ContentBits">
    <vt:lpwstr>2</vt:lpwstr>
  </property>
  <property fmtid="{D5CDD505-2E9C-101B-9397-08002B2CF9AE}" pid="11" name="MSIP_Label_571a81e6-da78-4b3c-9e8e-baf707cee5b6_Tag">
    <vt:lpwstr>10, 1, 2, 1</vt:lpwstr>
  </property>
</Properties>
</file>